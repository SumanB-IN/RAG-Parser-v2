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filterPrivacy="1" defaultThemeVersion="124226"/>
  <xr:revisionPtr revIDLastSave="0" documentId="13_ncr:1_{AFAAD433-1302-470D-87F8-61865B944E7F}" xr6:coauthVersionLast="47" xr6:coauthVersionMax="47" xr10:uidLastSave="{00000000-0000-0000-0000-000000000000}"/>
  <bookViews>
    <workbookView xWindow="3510" yWindow="3510" windowWidth="21600" windowHeight="11385" activeTab="1" xr2:uid="{00000000-000D-0000-FFFF-FFFF00000000}"/>
  </bookViews>
  <sheets>
    <sheet name="Appx A (B veh)" sheetId="12" r:id="rId1"/>
    <sheet name="Appx A (C veh)," sheetId="25" r:id="rId2"/>
    <sheet name="Appx B" sheetId="2" r:id="rId3"/>
    <sheet name="Appx C" sheetId="3" r:id="rId4"/>
    <sheet name="Appx E" sheetId="8" r:id="rId5"/>
  </sheets>
  <definedNames>
    <definedName name="_xlnm._FilterDatabase" localSheetId="0" hidden="1">'Appx A (B veh)'!$A$1:$J$25</definedName>
    <definedName name="_xlnm._FilterDatabase" localSheetId="1" hidden="1">'Appx A (C veh),'!$A$1:$AA$21</definedName>
    <definedName name="_xlnm._FilterDatabase" localSheetId="2" hidden="1">'Appx B'!$A$5:$T$6</definedName>
    <definedName name="_xlnm._FilterDatabase" localSheetId="3" hidden="1">'Appx C'!$H$1:$H$13</definedName>
    <definedName name="_xlnm._FilterDatabase" localSheetId="4" hidden="1">'Appx E'!$A$1:$R$24</definedName>
    <definedName name="_xlnm.Print_Area" localSheetId="0">'Appx A (B veh)'!$A$1:$J$25</definedName>
    <definedName name="_xlnm.Print_Area" localSheetId="1">'Appx A (C veh),'!$A$1:$J$21</definedName>
    <definedName name="_xlnm.Print_Area" localSheetId="2">'Appx B'!$A$1:$T$6</definedName>
    <definedName name="_xlnm.Print_Area" localSheetId="3">'Appx C'!$A$1:$Q$11</definedName>
    <definedName name="_xlnm.Print_Area" localSheetId="4">'Appx E'!$A$1:$P$24</definedName>
    <definedName name="_xlnm.Print_Titles" localSheetId="0">'Appx A (B veh)'!$2:$4</definedName>
    <definedName name="_xlnm.Print_Titles" localSheetId="1">'Appx A (C veh),'!$2:$3</definedName>
    <definedName name="_xlnm.Print_Titles" localSheetId="3">'Appx C'!$4:$6</definedName>
    <definedName name="_xlnm.Print_Titles" localSheetId="4">'Appx E'!$1:$3</definedName>
  </definedNames>
  <calcPr calcId="191029"/>
  <fileRecoveryPr autoRecover="0"/>
</workbook>
</file>

<file path=xl/calcChain.xml><?xml version="1.0" encoding="utf-8"?>
<calcChain xmlns="http://schemas.openxmlformats.org/spreadsheetml/2006/main">
  <c r="C5" i="25" l="1"/>
  <c r="D5" i="25"/>
  <c r="H5" i="25"/>
  <c r="D8" i="3"/>
  <c r="D15" i="25"/>
  <c r="E10" i="8"/>
  <c r="E12" i="8"/>
  <c r="D12" i="12"/>
  <c r="D15" i="12"/>
  <c r="D8" i="12"/>
  <c r="D7" i="12"/>
  <c r="E5" i="8"/>
  <c r="I5" i="25" l="1"/>
  <c r="D6" i="2"/>
  <c r="E7" i="8" l="1"/>
  <c r="E11" i="8"/>
  <c r="D9" i="12" l="1"/>
  <c r="D11" i="12" l="1"/>
  <c r="I24" i="8"/>
  <c r="E24" i="8"/>
  <c r="M24" i="8" s="1"/>
  <c r="D24" i="8"/>
  <c r="I23" i="8"/>
  <c r="E23" i="8"/>
  <c r="M23" i="8" s="1"/>
  <c r="D23" i="8"/>
  <c r="D10" i="8"/>
  <c r="K23" i="8" l="1"/>
  <c r="N23" i="8" s="1"/>
  <c r="L24" i="8"/>
  <c r="L23" i="8"/>
  <c r="K24" i="8"/>
  <c r="N24" i="8" s="1"/>
  <c r="D22" i="8"/>
  <c r="E22" i="8"/>
  <c r="I22" i="8"/>
  <c r="I21" i="8"/>
  <c r="E21" i="8"/>
  <c r="M21" i="8" s="1"/>
  <c r="D21" i="8"/>
  <c r="I8" i="8"/>
  <c r="E8" i="8"/>
  <c r="M8" i="8" s="1"/>
  <c r="D8" i="8"/>
  <c r="E14" i="8"/>
  <c r="M14" i="8" s="1"/>
  <c r="D14" i="8"/>
  <c r="I14" i="8"/>
  <c r="I13" i="8"/>
  <c r="E13" i="8"/>
  <c r="M13" i="8" s="1"/>
  <c r="D13" i="8"/>
  <c r="M12" i="8"/>
  <c r="D12" i="8"/>
  <c r="M11" i="8"/>
  <c r="I11" i="8"/>
  <c r="L11" i="8" s="1"/>
  <c r="D11" i="8"/>
  <c r="M10" i="8"/>
  <c r="I10" i="8"/>
  <c r="M7" i="8"/>
  <c r="I7" i="8"/>
  <c r="I6" i="8"/>
  <c r="E6" i="8"/>
  <c r="M6" i="8" s="1"/>
  <c r="I5" i="8"/>
  <c r="M5" i="8"/>
  <c r="D5" i="8"/>
  <c r="I4" i="8"/>
  <c r="E4" i="8"/>
  <c r="M4" i="8" s="1"/>
  <c r="D9" i="25"/>
  <c r="J11" i="3"/>
  <c r="J10" i="3"/>
  <c r="J9" i="3"/>
  <c r="D11" i="3"/>
  <c r="N11" i="3" s="1"/>
  <c r="D10" i="3"/>
  <c r="N10" i="3" s="1"/>
  <c r="C10" i="3"/>
  <c r="D9" i="3"/>
  <c r="N9" i="3" s="1"/>
  <c r="C9" i="3"/>
  <c r="N8" i="3"/>
  <c r="J8" i="3"/>
  <c r="C8" i="3"/>
  <c r="J7" i="3"/>
  <c r="D7" i="3"/>
  <c r="C7" i="3"/>
  <c r="Q6" i="2"/>
  <c r="M6" i="2"/>
  <c r="O6" i="2" s="1"/>
  <c r="S6" i="2" s="1"/>
  <c r="K22" i="8" l="1"/>
  <c r="N22" i="8" s="1"/>
  <c r="L4" i="8"/>
  <c r="L6" i="8"/>
  <c r="L13" i="8"/>
  <c r="L7" i="3"/>
  <c r="P7" i="3" s="1"/>
  <c r="M7" i="3"/>
  <c r="M11" i="3"/>
  <c r="R6" i="2"/>
  <c r="M8" i="3"/>
  <c r="L10" i="8"/>
  <c r="M22" i="8"/>
  <c r="L22" i="8"/>
  <c r="L5" i="8"/>
  <c r="N7" i="3"/>
  <c r="K8" i="8"/>
  <c r="N8" i="8" s="1"/>
  <c r="M9" i="3"/>
  <c r="K12" i="8"/>
  <c r="N12" i="8" s="1"/>
  <c r="L10" i="3"/>
  <c r="P10" i="3" s="1"/>
  <c r="K4" i="8"/>
  <c r="N4" i="8" s="1"/>
  <c r="L21" i="8"/>
  <c r="K21" i="8"/>
  <c r="N21" i="8" s="1"/>
  <c r="L8" i="8"/>
  <c r="L14" i="8"/>
  <c r="K14" i="8"/>
  <c r="N14" i="8" s="1"/>
  <c r="K13" i="8"/>
  <c r="N13" i="8" s="1"/>
  <c r="L12" i="8"/>
  <c r="K11" i="8"/>
  <c r="K10" i="8"/>
  <c r="N10" i="8" s="1"/>
  <c r="L7" i="8"/>
  <c r="K7" i="8"/>
  <c r="N7" i="8" s="1"/>
  <c r="K6" i="8"/>
  <c r="N6" i="8" s="1"/>
  <c r="K5" i="8"/>
  <c r="L11" i="3"/>
  <c r="O10" i="3"/>
  <c r="M10" i="3"/>
  <c r="L9" i="3"/>
  <c r="L8" i="3"/>
  <c r="P8" i="3" s="1"/>
  <c r="P6" i="2"/>
  <c r="O7" i="3" l="1"/>
  <c r="N5" i="8"/>
  <c r="O5" i="8"/>
  <c r="N11" i="8"/>
  <c r="P11" i="3"/>
  <c r="O11" i="3"/>
  <c r="P9" i="3"/>
  <c r="O9" i="3"/>
  <c r="O8" i="3"/>
  <c r="D17" i="25" l="1"/>
  <c r="C17" i="25"/>
  <c r="C13" i="25"/>
  <c r="D13" i="25"/>
  <c r="D19" i="25"/>
  <c r="C19" i="25"/>
  <c r="D18" i="25"/>
  <c r="C18" i="25"/>
  <c r="D21" i="25"/>
  <c r="C21" i="25"/>
  <c r="D20" i="25"/>
  <c r="C20" i="25"/>
  <c r="D12" i="25"/>
  <c r="C12" i="25"/>
  <c r="C15" i="25"/>
  <c r="D14" i="25"/>
  <c r="C14" i="25"/>
  <c r="C8" i="25"/>
  <c r="D11" i="25"/>
  <c r="C11" i="25"/>
  <c r="D24" i="12"/>
  <c r="D10" i="25"/>
  <c r="C10" i="25"/>
  <c r="C9" i="25"/>
  <c r="D7" i="25"/>
  <c r="C7" i="25"/>
  <c r="D8" i="25"/>
  <c r="D6" i="25"/>
  <c r="C6" i="25"/>
  <c r="D25" i="12"/>
  <c r="H21" i="25"/>
  <c r="H20" i="25"/>
  <c r="H19" i="25"/>
  <c r="H18" i="25"/>
  <c r="H17" i="25"/>
  <c r="H16" i="25"/>
  <c r="I16" i="25" s="1"/>
  <c r="H15" i="25"/>
  <c r="I15" i="25" s="1"/>
  <c r="H14" i="25"/>
  <c r="H13" i="25"/>
  <c r="H12" i="25"/>
  <c r="H11" i="25"/>
  <c r="H10" i="25"/>
  <c r="H9" i="25"/>
  <c r="I9" i="25" s="1"/>
  <c r="H8" i="25"/>
  <c r="H7" i="25"/>
  <c r="H6" i="25"/>
  <c r="C24" i="12"/>
  <c r="D22" i="12"/>
  <c r="C22" i="12"/>
  <c r="D23" i="12"/>
  <c r="C23" i="12"/>
  <c r="D21" i="12"/>
  <c r="C21" i="12"/>
  <c r="D20" i="12"/>
  <c r="C20" i="12"/>
  <c r="D19" i="12"/>
  <c r="D18" i="12"/>
  <c r="C18" i="12"/>
  <c r="D17" i="12"/>
  <c r="C25" i="12"/>
  <c r="C19" i="12"/>
  <c r="C17" i="12"/>
  <c r="D16" i="12"/>
  <c r="C16" i="12"/>
  <c r="C15" i="12"/>
  <c r="D14" i="12"/>
  <c r="C14" i="12"/>
  <c r="D13" i="12"/>
  <c r="C13" i="12"/>
  <c r="C12" i="12"/>
  <c r="D10" i="12"/>
  <c r="C9" i="12"/>
  <c r="C10" i="12"/>
  <c r="C11" i="12"/>
  <c r="H25" i="12"/>
  <c r="H24" i="12"/>
  <c r="H23" i="12"/>
  <c r="H22" i="12"/>
  <c r="H21" i="12"/>
  <c r="H20" i="12"/>
  <c r="H19" i="12"/>
  <c r="H18" i="12"/>
  <c r="H17" i="12"/>
  <c r="H16" i="12"/>
  <c r="H15" i="12"/>
  <c r="H14" i="12"/>
  <c r="H9" i="12"/>
  <c r="I9" i="12" s="1"/>
  <c r="H10" i="12"/>
  <c r="H11" i="12"/>
  <c r="I11" i="12" s="1"/>
  <c r="H12" i="12"/>
  <c r="I12" i="12" s="1"/>
  <c r="H13" i="12"/>
  <c r="H7" i="12"/>
  <c r="H8" i="12"/>
  <c r="H6" i="12"/>
  <c r="C8" i="12"/>
  <c r="C7" i="12"/>
  <c r="D6" i="12"/>
  <c r="C6" i="12"/>
  <c r="I14" i="25" l="1"/>
  <c r="I11" i="25"/>
  <c r="I7" i="25"/>
  <c r="I17" i="25"/>
  <c r="I8" i="25"/>
  <c r="I19" i="25"/>
  <c r="I20" i="25"/>
  <c r="I18" i="25"/>
  <c r="I14" i="12"/>
  <c r="I22" i="12"/>
  <c r="I10" i="12"/>
  <c r="I6" i="12"/>
  <c r="I13" i="12"/>
  <c r="I16" i="12"/>
  <c r="I13" i="25"/>
  <c r="I7" i="12"/>
  <c r="I21" i="25"/>
  <c r="I12" i="25"/>
  <c r="I10" i="25"/>
  <c r="I6" i="25"/>
  <c r="I21" i="12"/>
  <c r="I25" i="12"/>
  <c r="I23" i="12"/>
  <c r="I24" i="12"/>
  <c r="I20" i="12"/>
  <c r="I19" i="12"/>
  <c r="I17" i="12"/>
  <c r="I18" i="12"/>
  <c r="I15" i="12"/>
  <c r="I8" i="12"/>
</calcChain>
</file>

<file path=xl/sharedStrings.xml><?xml version="1.0" encoding="utf-8"?>
<sst xmlns="http://schemas.openxmlformats.org/spreadsheetml/2006/main" count="249" uniqueCount="159">
  <si>
    <t>Ser</t>
  </si>
  <si>
    <t>(i)</t>
  </si>
  <si>
    <t>(ii)</t>
  </si>
  <si>
    <t>(iii)</t>
  </si>
  <si>
    <t>(iv)</t>
  </si>
  <si>
    <t>(v)</t>
  </si>
  <si>
    <t>(vi)</t>
  </si>
  <si>
    <t>(vii)</t>
  </si>
  <si>
    <t>(viii)</t>
  </si>
  <si>
    <t>(ix)</t>
  </si>
  <si>
    <t>(x)</t>
  </si>
  <si>
    <t>(xi)</t>
  </si>
  <si>
    <t>(xii)</t>
  </si>
  <si>
    <t>(xiii)</t>
  </si>
  <si>
    <t>Category (Make &amp; Type)</t>
  </si>
  <si>
    <t>Eng</t>
  </si>
  <si>
    <t xml:space="preserve">Make &amp; Eqpt </t>
  </si>
  <si>
    <t>Dependency</t>
  </si>
  <si>
    <t>Total NMC (Nos)</t>
  </si>
  <si>
    <t xml:space="preserve">PMC (Nos) 
</t>
  </si>
  <si>
    <t>FMC (Nos)</t>
  </si>
  <si>
    <t>NMC %</t>
  </si>
  <si>
    <t>PMC%</t>
  </si>
  <si>
    <t>FMC %</t>
  </si>
  <si>
    <t>Avl %</t>
  </si>
  <si>
    <t>Auth (UE)</t>
  </si>
  <si>
    <t>Held (UH)</t>
  </si>
  <si>
    <t>Spares</t>
  </si>
  <si>
    <t>OBE</t>
  </si>
  <si>
    <t>(xiv)</t>
  </si>
  <si>
    <t>(xv)</t>
  </si>
  <si>
    <t>NMC Due to</t>
  </si>
  <si>
    <t>PMC (Nos) 
(Due to OH)</t>
  </si>
  <si>
    <t>FMC</t>
  </si>
  <si>
    <t>MUA</t>
  </si>
  <si>
    <t>OH</t>
  </si>
  <si>
    <t>MR</t>
  </si>
  <si>
    <t>FR</t>
  </si>
  <si>
    <t>R4</t>
  </si>
  <si>
    <t>(xvi)</t>
  </si>
  <si>
    <t>(xvii)</t>
  </si>
  <si>
    <t>(xviii)</t>
  </si>
  <si>
    <t>(xix)</t>
  </si>
  <si>
    <t>(xx)</t>
  </si>
  <si>
    <t>FMN READINESS STATE  : ARMT</t>
  </si>
  <si>
    <t>FMN READINESS STATE  : SMALL ARMS</t>
  </si>
  <si>
    <t xml:space="preserve">NMC due to </t>
  </si>
  <si>
    <t>Remarks (To incl present loc of eqpt EOA)</t>
  </si>
  <si>
    <t xml:space="preserve"> </t>
  </si>
  <si>
    <t>Auth 
(UE)</t>
  </si>
  <si>
    <t>Total</t>
  </si>
  <si>
    <t>Ser No</t>
  </si>
  <si>
    <t xml:space="preserve"> Under OH /MR/R4/
FR/ Base Repair</t>
  </si>
  <si>
    <t>Eng/
 Brl</t>
  </si>
  <si>
    <t>FMN READINESS STATE :  C VEHS</t>
  </si>
  <si>
    <t>Remarks
(To incl present loc of eqpt EOA)</t>
  </si>
  <si>
    <t xml:space="preserve">Remarks
(Demand Detls of VOR/EOA) </t>
  </si>
  <si>
    <t>Light Vehicle</t>
  </si>
  <si>
    <t>Tlr for 5.6 kW Charging Set</t>
  </si>
  <si>
    <t xml:space="preserve">M/s Greaves
Held excl 02 x Genr at Gopalpur </t>
  </si>
  <si>
    <t>Held excl 02 x veh at Gopalpur.</t>
  </si>
  <si>
    <t>Held excl 01 x MC at Gopalpur</t>
  </si>
  <si>
    <t>HF Deluxe</t>
  </si>
  <si>
    <t>Auth 11.25 KVA</t>
  </si>
  <si>
    <t xml:space="preserve">Held excl 02 x Chg Set at Gopalpur </t>
  </si>
  <si>
    <t>6 KVA Honda Genr Set for ILM Shelter for TC REPORTER</t>
  </si>
  <si>
    <t>Honda Genr Sets for MSST</t>
  </si>
  <si>
    <t>04 x M/s Escort (ACSFP) and 02 x M/s Eicher</t>
  </si>
  <si>
    <t>DG Set for TC REPORTER Rdr</t>
  </si>
  <si>
    <t>Held excl 57 x CM at Gopalpur.</t>
  </si>
  <si>
    <t>Held excl 01 x LMG at Gopalpur.</t>
  </si>
  <si>
    <t>Held excl one at Gopalpur</t>
  </si>
  <si>
    <t xml:space="preserve"> Under OH/ R4/ FR/ Base Repair</t>
  </si>
  <si>
    <t>ACSFP Stores</t>
  </si>
  <si>
    <t>Held excl 08 x Sight at Gopalpur</t>
  </si>
  <si>
    <t>TATRA veh for TC REPORTER</t>
  </si>
  <si>
    <t>MMTS at Gopalpur since 02 Jul 25</t>
  </si>
  <si>
    <t>Appx C</t>
  </si>
  <si>
    <t>Collimator Sight
Held excl 08 x Sight at Gopalpur</t>
  </si>
  <si>
    <t>Held excl 04 x veh at Gopalpur.</t>
  </si>
  <si>
    <t>NMC%</t>
  </si>
  <si>
    <t>Held excl 09 x LMG at Gopalpur.
01 x LMG declared R4 during AIA Insp 2025-26.</t>
  </si>
  <si>
    <t>Held excl one at Gopalpur
05 x HHTI fwd to 509 ABW on 15 Oct 2025 for Getter Activation.</t>
  </si>
  <si>
    <t>FMN READINESS STATE : 'B' VEH OF 945 LT AD REGT (COMP) WKSP FOR THE MONTH OF DEC 2025</t>
  </si>
  <si>
    <t>Held excl 06 x veh at Gopalpur.
01 x Veh VOR since 30 Oct 25.</t>
  </si>
  <si>
    <t>12.1   Held excl 08 x Guns at AAD College Gopalpur.
12.2  Gun Regd No E-3169 &amp; C-4184 under BOH at 510 ABW.
12.3   Left Org Brl assy with Rx assy of Gun Regd No CH-51 fwd to 510 ABW on DRWO for necessary sentencing against defect observed during after firing insp in Mar 2025. Gun repaired by 510 ABW. CIN recd vide 510 ABW letter No 70301/ ZU/OH/P&amp;P dt 21 Nov 25.</t>
  </si>
  <si>
    <t>Held excl 08 x FATs at Gopalpur</t>
  </si>
  <si>
    <r>
      <t xml:space="preserve">Held excl 01 x W/B at Gopalpur.
01 x veh ex 402 Lt AD Regt (Comp) downgraded to Cl-VI, being backloaded.
</t>
    </r>
    <r>
      <rPr>
        <sz val="12"/>
        <color rgb="FFFF0000"/>
        <rFont val="Arial"/>
        <family val="2"/>
      </rPr>
      <t>01 x W/B ex 945 Lt AD Regt (Comp) Wksp newly collected on 24 Dec 25.</t>
    </r>
  </si>
  <si>
    <t>Held excl 04 x Bino Prism declared BER, deposited with 222 ABOD.</t>
  </si>
  <si>
    <r>
      <rPr>
        <sz val="10"/>
        <color rgb="FFFF0000"/>
        <rFont val="Arial"/>
        <family val="2"/>
      </rPr>
      <t xml:space="preserve">Held excl 05 x Compass Prism Liquid declared BER, deposited with 222 ABOD. </t>
    </r>
    <r>
      <rPr>
        <sz val="10"/>
        <color theme="1"/>
        <rFont val="Arial"/>
        <family val="2"/>
      </rPr>
      <t xml:space="preserve">
Held excl, 12 x Compass at Gopalpur</t>
    </r>
  </si>
  <si>
    <r>
      <rPr>
        <sz val="12"/>
        <color rgb="FFFF0000"/>
        <rFont val="Arial Narrow"/>
        <family val="2"/>
      </rPr>
      <t>Held excl 01 x Bty Charger (BER) backloaded to 222 ABOD.</t>
    </r>
    <r>
      <rPr>
        <sz val="12"/>
        <rFont val="Arial Narrow"/>
        <family val="2"/>
      </rPr>
      <t xml:space="preserve">
Held excl 01 x Bty Charger at Gopalpur</t>
    </r>
  </si>
  <si>
    <t>M/s Accurate for AKASHTEER
01 x Genr Set (Regd No 38)  Dynamo faulty &amp; Self Starter Sw not work since 15 Dec 25.</t>
  </si>
  <si>
    <r>
      <t xml:space="preserve">M/s Accurate for AKASHTEER
</t>
    </r>
    <r>
      <rPr>
        <sz val="12"/>
        <color rgb="FFFF0000"/>
        <rFont val="Arial"/>
        <family val="2"/>
      </rPr>
      <t>01 x Genr Set (Regd No 75)  faulty (overload) since 29 Oct 25.</t>
    </r>
  </si>
  <si>
    <r>
      <t xml:space="preserve">Held excl 44 x Rif at Gopalpur.
01 x Rif declared R4 during AIA Insp 2025-26.
</t>
    </r>
    <r>
      <rPr>
        <sz val="12"/>
        <color rgb="FFFF0000"/>
        <rFont val="Arial"/>
        <family val="2"/>
      </rPr>
      <t>Held excl 04 x Rif (R4) backloaded to 222 ABOD.</t>
    </r>
  </si>
  <si>
    <r>
      <t xml:space="preserve">Held excl two at Gopalpur
Incl 08 x TI Sights ex ACSFP Stores.
02 x TI IGLA Sights fwd to 509 ABW on 15 Oct 2025 for Getter Activation.
</t>
    </r>
    <r>
      <rPr>
        <sz val="10"/>
        <color rgb="FFFF0000"/>
        <rFont val="Arial Narrow"/>
        <family val="2"/>
      </rPr>
      <t>04 x TI Sights (ACSFP) EOA due to Tablet faulty.</t>
    </r>
  </si>
  <si>
    <t>B1</t>
  </si>
  <si>
    <t>B2</t>
  </si>
  <si>
    <t>B3</t>
  </si>
  <si>
    <t>B34</t>
  </si>
  <si>
    <t>B46</t>
  </si>
  <si>
    <t>B47</t>
  </si>
  <si>
    <t>B48</t>
  </si>
  <si>
    <t>B53</t>
  </si>
  <si>
    <t>B63</t>
  </si>
  <si>
    <t>B67</t>
  </si>
  <si>
    <t>B68</t>
  </si>
  <si>
    <t>B69</t>
  </si>
  <si>
    <t>B71</t>
  </si>
  <si>
    <t>B80</t>
  </si>
  <si>
    <t>B84</t>
  </si>
  <si>
    <t>B99</t>
  </si>
  <si>
    <t>B104</t>
  </si>
  <si>
    <t>B105</t>
  </si>
  <si>
    <t>B119</t>
  </si>
  <si>
    <t>B121</t>
  </si>
  <si>
    <t>C61</t>
  </si>
  <si>
    <t>C66</t>
  </si>
  <si>
    <t>C76</t>
  </si>
  <si>
    <t>C78</t>
  </si>
  <si>
    <t>C85</t>
  </si>
  <si>
    <t>C117</t>
  </si>
  <si>
    <t>C87</t>
  </si>
  <si>
    <t>C122</t>
  </si>
  <si>
    <t>C127</t>
  </si>
  <si>
    <t>C130</t>
  </si>
  <si>
    <t>C180</t>
  </si>
  <si>
    <t>C181</t>
  </si>
  <si>
    <t>C184</t>
  </si>
  <si>
    <t>C188</t>
  </si>
  <si>
    <t>C207</t>
  </si>
  <si>
    <t>C208</t>
  </si>
  <si>
    <t>C209</t>
  </si>
  <si>
    <t>D12</t>
  </si>
  <si>
    <t>S10</t>
  </si>
  <si>
    <t>S24</t>
  </si>
  <si>
    <t>S26</t>
  </si>
  <si>
    <t>S27</t>
  </si>
  <si>
    <t>S18</t>
  </si>
  <si>
    <t>S22</t>
  </si>
  <si>
    <t>S25</t>
  </si>
  <si>
    <t>S28</t>
  </si>
  <si>
    <t>S36</t>
  </si>
  <si>
    <t>S37</t>
  </si>
  <si>
    <t>S53</t>
  </si>
  <si>
    <t>S60</t>
  </si>
  <si>
    <t>S64</t>
  </si>
  <si>
    <t>S65</t>
  </si>
  <si>
    <t>S75</t>
  </si>
  <si>
    <t>S76</t>
  </si>
  <si>
    <t>S77</t>
  </si>
  <si>
    <t>S78</t>
  </si>
  <si>
    <t>S79</t>
  </si>
  <si>
    <t>S80</t>
  </si>
  <si>
    <t>S81</t>
  </si>
  <si>
    <t>S82</t>
  </si>
  <si>
    <t>S83</t>
  </si>
  <si>
    <t>S84</t>
  </si>
  <si>
    <t>S103</t>
  </si>
  <si>
    <t>S108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</si>
</sst>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x14ac:knownFonts="1">
    <font>
      <sz val="11"/>
      <color theme="1"/>
      <name val="Calibri"/>
      <family val="2"/>
      <scheme val="minor"/>
    </font>
    <font>
      <sz val="10"/>
      <name val="Arial"/>
      <family val="2"/>
    </font>
    <font>
      <sz val="11"/>
      <color theme="1"/>
      <name val="Calibri"/>
      <family val="2"/>
      <scheme val="minor"/>
    </font>
    <font>
      <sz val="12"/>
      <name val="Arial"/>
      <family val="2"/>
    </font>
    <font>
      <b/>
      <sz val="12"/>
      <name val="Arial"/>
      <family val="2"/>
    </font>
    <font>
      <b/>
      <u/>
      <sz val="12"/>
      <name val="Arial"/>
      <family val="2"/>
    </font>
    <font>
      <sz val="12"/>
      <name val="Calibri"/>
      <family val="2"/>
      <scheme val="minor"/>
    </font>
    <font>
      <b/>
      <sz val="12"/>
      <name val="Calibri"/>
      <family val="2"/>
      <scheme val="minor"/>
    </font>
    <font>
      <sz val="12"/>
      <color theme="1"/>
      <name val="Arial"/>
      <family val="2"/>
    </font>
    <font>
      <b/>
      <sz val="13"/>
      <name val="Arial"/>
      <family val="2"/>
    </font>
    <font>
      <sz val="13"/>
      <name val="Arial"/>
      <family val="2"/>
    </font>
    <font>
      <sz val="11"/>
      <color indexed="8"/>
      <name val="Calibri"/>
      <family val="2"/>
    </font>
    <font>
      <sz val="11"/>
      <name val="Calibri"/>
      <family val="2"/>
      <scheme val="minor"/>
    </font>
    <font>
      <sz val="12"/>
      <color rgb="FFFF0000"/>
      <name val="Arial"/>
      <family val="2"/>
    </font>
    <font>
      <sz val="13"/>
      <color theme="1"/>
      <name val="Arial"/>
      <family val="2"/>
    </font>
    <font>
      <sz val="12"/>
      <name val="Arial Narrow"/>
      <family val="2"/>
    </font>
    <font>
      <sz val="12"/>
      <color theme="1"/>
      <name val="Arial Narrow"/>
      <family val="2"/>
    </font>
    <font>
      <sz val="11"/>
      <name val="Arial"/>
      <family val="2"/>
    </font>
    <font>
      <sz val="10"/>
      <name val="Arial Narrow"/>
      <family val="2"/>
    </font>
    <font>
      <sz val="10"/>
      <color theme="1"/>
      <name val="Arial Narrow"/>
      <family val="2"/>
    </font>
    <font>
      <sz val="10"/>
      <color theme="1"/>
      <name val="Arial"/>
      <family val="2"/>
    </font>
    <font>
      <sz val="10"/>
      <color rgb="FFFF0000"/>
      <name val="Arial"/>
      <family val="2"/>
    </font>
    <font>
      <sz val="12"/>
      <color rgb="FFFF0000"/>
      <name val="Arial Narrow"/>
      <family val="2"/>
    </font>
    <font>
      <sz val="10"/>
      <color rgb="FFFF0000"/>
      <name val="Arial Narrow"/>
      <family val="2"/>
    </font>
    <font>
      <sz val="8"/>
      <name val="Calibri"/>
      <family val="2"/>
      <scheme val="minor"/>
    </font>
  </fonts>
  <fills count="4">
    <fill>
      <patternFill patternType="none"/>
    </fill>
    <fill>
      <patternFill patternType="gray125"/>
    </fill>
    <fill>
      <patternFill patternType="solid">
        <fgColor theme="0"/>
        <bgColor indexed="64"/>
      </patternFill>
    </fill>
    <fill>
      <patternFill patternType="solid">
        <fgColor rgb="FF92D050"/>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right/>
      <top style="thin">
        <color indexed="64"/>
      </top>
      <bottom/>
      <diagonal/>
    </border>
  </borders>
  <cellStyleXfs count="10">
    <xf numFmtId="0" fontId="0" fillId="0" borderId="0"/>
    <xf numFmtId="0" fontId="1" fillId="0" borderId="0"/>
    <xf numFmtId="0" fontId="1" fillId="0" borderId="0"/>
    <xf numFmtId="9" fontId="2" fillId="0" borderId="0" applyFont="0" applyFill="0" applyBorder="0" applyAlignment="0" applyProtection="0"/>
    <xf numFmtId="0" fontId="2" fillId="0" borderId="0"/>
    <xf numFmtId="0" fontId="1" fillId="0" borderId="0"/>
    <xf numFmtId="0" fontId="1" fillId="0" borderId="0"/>
    <xf numFmtId="0" fontId="1" fillId="0" borderId="0"/>
    <xf numFmtId="0" fontId="11" fillId="0" borderId="0"/>
    <xf numFmtId="0" fontId="1" fillId="0" borderId="0"/>
  </cellStyleXfs>
  <cellXfs count="160">
    <xf numFmtId="0" fontId="0" fillId="0" borderId="0" xfId="0"/>
    <xf numFmtId="0" fontId="3" fillId="2" borderId="1" xfId="0" applyFont="1" applyFill="1" applyBorder="1" applyAlignment="1">
      <alignment horizontal="center" vertical="center"/>
    </xf>
    <xf numFmtId="0" fontId="3" fillId="2" borderId="0" xfId="0" applyFont="1" applyFill="1" applyAlignment="1">
      <alignment horizontal="left" vertical="center"/>
    </xf>
    <xf numFmtId="0" fontId="3" fillId="2" borderId="0" xfId="0" applyFont="1" applyFill="1" applyAlignment="1">
      <alignment horizontal="center" vertical="center"/>
    </xf>
    <xf numFmtId="0" fontId="4" fillId="2" borderId="0" xfId="0" applyFont="1" applyFill="1" applyAlignment="1">
      <alignment horizontal="left" indent="2"/>
    </xf>
    <xf numFmtId="0" fontId="3" fillId="2" borderId="0" xfId="0" applyFont="1" applyFill="1" applyAlignment="1">
      <alignment horizontal="left" indent="2"/>
    </xf>
    <xf numFmtId="0" fontId="3" fillId="2" borderId="0" xfId="0" applyFont="1" applyFill="1" applyAlignment="1">
      <alignment horizontal="center"/>
    </xf>
    <xf numFmtId="0" fontId="3" fillId="2" borderId="0" xfId="0" applyFont="1" applyFill="1" applyAlignment="1">
      <alignment horizontal="left"/>
    </xf>
    <xf numFmtId="0" fontId="3" fillId="2" borderId="0" xfId="0" applyFont="1" applyFill="1"/>
    <xf numFmtId="0" fontId="3" fillId="2" borderId="0" xfId="0" applyFont="1" applyFill="1" applyAlignment="1">
      <alignment vertical="center"/>
    </xf>
    <xf numFmtId="0" fontId="6" fillId="2" borderId="0" xfId="0" applyFont="1" applyFill="1"/>
    <xf numFmtId="0" fontId="3" fillId="2" borderId="0" xfId="5" applyFont="1" applyFill="1" applyAlignment="1">
      <alignment vertical="center"/>
    </xf>
    <xf numFmtId="0" fontId="3" fillId="2" borderId="1" xfId="2" applyFont="1" applyFill="1" applyBorder="1" applyAlignment="1">
      <alignment horizontal="left" vertical="center" wrapText="1"/>
    </xf>
    <xf numFmtId="0" fontId="4" fillId="2" borderId="0" xfId="0" applyFont="1" applyFill="1" applyAlignment="1">
      <alignment horizontal="center" vertical="center" wrapText="1" readingOrder="1"/>
    </xf>
    <xf numFmtId="0" fontId="3" fillId="2" borderId="0" xfId="0" applyFont="1" applyFill="1" applyAlignment="1">
      <alignment horizontal="left" vertical="top"/>
    </xf>
    <xf numFmtId="0" fontId="8" fillId="2" borderId="1" xfId="0" applyFont="1" applyFill="1" applyBorder="1" applyAlignment="1">
      <alignment horizontal="center" vertical="center"/>
    </xf>
    <xf numFmtId="0" fontId="8" fillId="2" borderId="1" xfId="0" applyFont="1" applyFill="1" applyBorder="1" applyAlignment="1" applyProtection="1">
      <alignment horizontal="center" vertical="center"/>
      <protection locked="0"/>
    </xf>
    <xf numFmtId="0" fontId="8" fillId="2" borderId="1" xfId="0" applyFont="1" applyFill="1" applyBorder="1" applyAlignment="1" applyProtection="1">
      <alignment horizontal="left" vertical="center" wrapText="1"/>
      <protection locked="0"/>
    </xf>
    <xf numFmtId="0" fontId="9" fillId="2" borderId="0" xfId="0" applyFont="1" applyFill="1" applyAlignment="1">
      <alignment horizontal="center" vertical="center"/>
    </xf>
    <xf numFmtId="0" fontId="6" fillId="2" borderId="0" xfId="0" applyFont="1" applyFill="1" applyAlignment="1">
      <alignment vertical="center"/>
    </xf>
    <xf numFmtId="0" fontId="4" fillId="2" borderId="0" xfId="0" applyFont="1" applyFill="1"/>
    <xf numFmtId="0" fontId="3" fillId="2" borderId="0" xfId="0" applyFont="1" applyFill="1" applyAlignment="1">
      <alignment horizontal="center" vertical="top"/>
    </xf>
    <xf numFmtId="0" fontId="7" fillId="2" borderId="0" xfId="0" applyFont="1" applyFill="1"/>
    <xf numFmtId="0" fontId="3" fillId="2" borderId="1" xfId="0" applyFont="1" applyFill="1" applyBorder="1" applyAlignment="1">
      <alignment vertical="center" wrapText="1"/>
    </xf>
    <xf numFmtId="1" fontId="3" fillId="2" borderId="1" xfId="0" applyNumberFormat="1" applyFont="1" applyFill="1" applyBorder="1" applyAlignment="1">
      <alignment horizontal="center" vertical="center"/>
    </xf>
    <xf numFmtId="0" fontId="3" fillId="2" borderId="1" xfId="0" applyFont="1" applyFill="1" applyBorder="1" applyAlignment="1" applyProtection="1">
      <alignment horizontal="center" vertical="center"/>
      <protection locked="0"/>
    </xf>
    <xf numFmtId="1" fontId="3" fillId="2" borderId="1" xfId="0" applyNumberFormat="1" applyFont="1" applyFill="1" applyBorder="1" applyAlignment="1">
      <alignment horizontal="center" vertical="center" wrapText="1"/>
    </xf>
    <xf numFmtId="10" fontId="3" fillId="2" borderId="1" xfId="3" applyNumberFormat="1" applyFont="1" applyFill="1" applyBorder="1" applyAlignment="1" applyProtection="1">
      <alignment horizontal="center" vertical="center"/>
    </xf>
    <xf numFmtId="0" fontId="3" fillId="2" borderId="1" xfId="0" applyFont="1" applyFill="1" applyBorder="1" applyAlignment="1" applyProtection="1">
      <alignment horizontal="left" vertical="center"/>
      <protection locked="0"/>
    </xf>
    <xf numFmtId="0" fontId="3" fillId="2" borderId="1" xfId="0" applyFont="1" applyFill="1" applyBorder="1" applyAlignment="1">
      <alignment horizontal="left" vertical="center" wrapText="1"/>
    </xf>
    <xf numFmtId="0" fontId="3" fillId="2" borderId="1" xfId="0" applyFont="1" applyFill="1" applyBorder="1" applyAlignment="1">
      <alignment horizontal="center" vertical="center" wrapText="1"/>
    </xf>
    <xf numFmtId="0" fontId="5" fillId="2" borderId="1" xfId="0" applyFont="1" applyFill="1" applyBorder="1" applyAlignment="1">
      <alignment vertical="center"/>
    </xf>
    <xf numFmtId="0" fontId="3" fillId="2" borderId="1" xfId="0" applyFont="1" applyFill="1" applyBorder="1" applyAlignment="1" applyProtection="1">
      <alignment horizontal="left" vertical="center" wrapText="1"/>
      <protection locked="0"/>
    </xf>
    <xf numFmtId="0" fontId="3" fillId="2" borderId="1" xfId="0" applyFont="1" applyFill="1" applyBorder="1" applyAlignment="1">
      <alignment horizontal="center" vertical="top" wrapText="1"/>
    </xf>
    <xf numFmtId="0" fontId="3" fillId="2" borderId="1" xfId="0" applyFont="1" applyFill="1" applyBorder="1" applyAlignment="1">
      <alignment horizontal="left" vertical="top" wrapText="1"/>
    </xf>
    <xf numFmtId="0" fontId="3" fillId="2" borderId="1" xfId="0" applyFont="1" applyFill="1" applyBorder="1" applyAlignment="1" applyProtection="1">
      <alignment vertical="center" wrapText="1"/>
      <protection locked="0"/>
    </xf>
    <xf numFmtId="0" fontId="4" fillId="2" borderId="1" xfId="0" applyFont="1" applyFill="1" applyBorder="1" applyAlignment="1">
      <alignment horizontal="left" vertical="center"/>
    </xf>
    <xf numFmtId="0" fontId="3" fillId="2" borderId="1" xfId="0" applyFont="1" applyFill="1" applyBorder="1" applyAlignment="1">
      <alignment wrapText="1"/>
    </xf>
    <xf numFmtId="0" fontId="6" fillId="2" borderId="1" xfId="0" applyFont="1" applyFill="1" applyBorder="1" applyAlignment="1">
      <alignment horizontal="center" vertical="center"/>
    </xf>
    <xf numFmtId="0" fontId="6" fillId="2" borderId="0" xfId="0" applyFont="1" applyFill="1" applyAlignment="1">
      <alignment horizontal="center" vertical="center"/>
    </xf>
    <xf numFmtId="0" fontId="3" fillId="2" borderId="1" xfId="0" applyFont="1" applyFill="1" applyBorder="1" applyAlignment="1" applyProtection="1">
      <alignment horizontal="left" vertical="top" wrapText="1"/>
      <protection locked="0"/>
    </xf>
    <xf numFmtId="0" fontId="3" fillId="2" borderId="1" xfId="0" applyFont="1" applyFill="1" applyBorder="1" applyAlignment="1" applyProtection="1">
      <alignment vertical="top" wrapText="1"/>
      <protection locked="0"/>
    </xf>
    <xf numFmtId="0" fontId="3" fillId="2" borderId="0" xfId="0" applyFont="1" applyFill="1" applyAlignment="1">
      <alignment horizontal="left" vertical="top" indent="2"/>
    </xf>
    <xf numFmtId="0" fontId="4" fillId="2" borderId="0" xfId="0" applyFont="1" applyFill="1" applyAlignment="1">
      <alignment horizontal="center"/>
    </xf>
    <xf numFmtId="0" fontId="3" fillId="2" borderId="1" xfId="0" applyFont="1" applyFill="1" applyBorder="1" applyAlignment="1">
      <alignment horizontal="center" vertical="top"/>
    </xf>
    <xf numFmtId="0" fontId="7" fillId="2" borderId="0" xfId="0" applyFont="1" applyFill="1" applyAlignment="1">
      <alignment vertical="center"/>
    </xf>
    <xf numFmtId="0" fontId="3" fillId="2" borderId="4" xfId="0" applyFont="1" applyFill="1" applyBorder="1" applyAlignment="1">
      <alignment vertical="center"/>
    </xf>
    <xf numFmtId="0" fontId="3" fillId="2" borderId="5" xfId="0" applyFont="1" applyFill="1" applyBorder="1" applyAlignment="1">
      <alignment vertical="center"/>
    </xf>
    <xf numFmtId="0" fontId="10" fillId="2" borderId="1" xfId="0" applyFont="1" applyFill="1" applyBorder="1" applyAlignment="1">
      <alignment horizontal="left" vertical="center" wrapText="1"/>
    </xf>
    <xf numFmtId="0" fontId="3" fillId="2" borderId="1" xfId="0" applyFont="1" applyFill="1" applyBorder="1" applyAlignment="1" applyProtection="1">
      <alignment horizontal="left" wrapText="1"/>
      <protection locked="0"/>
    </xf>
    <xf numFmtId="0" fontId="4" fillId="2" borderId="1" xfId="0" applyFont="1" applyFill="1" applyBorder="1" applyAlignment="1">
      <alignment horizontal="center" vertical="center" textRotation="90"/>
    </xf>
    <xf numFmtId="1" fontId="4" fillId="2" borderId="1" xfId="0" applyNumberFormat="1" applyFont="1" applyFill="1" applyBorder="1" applyAlignment="1">
      <alignment horizontal="center" vertical="center" wrapText="1"/>
    </xf>
    <xf numFmtId="0" fontId="12" fillId="2" borderId="0" xfId="0" applyFont="1" applyFill="1"/>
    <xf numFmtId="0" fontId="3" fillId="2" borderId="0" xfId="0" applyFont="1" applyFill="1" applyAlignment="1">
      <alignment vertical="top" wrapText="1"/>
    </xf>
    <xf numFmtId="10" fontId="3" fillId="2" borderId="2" xfId="3" applyNumberFormat="1" applyFont="1" applyFill="1" applyBorder="1" applyAlignment="1" applyProtection="1">
      <alignment horizontal="center" vertical="center"/>
    </xf>
    <xf numFmtId="0" fontId="4" fillId="2" borderId="3" xfId="0" applyFont="1" applyFill="1" applyBorder="1" applyAlignment="1">
      <alignment vertical="center" wrapText="1"/>
    </xf>
    <xf numFmtId="0" fontId="4" fillId="2" borderId="0" xfId="0" applyFont="1" applyFill="1" applyAlignment="1">
      <alignment horizontal="center" vertical="center"/>
    </xf>
    <xf numFmtId="0" fontId="3" fillId="2" borderId="1" xfId="0" applyFont="1" applyFill="1" applyBorder="1" applyAlignment="1">
      <alignment horizontal="left" vertical="center"/>
    </xf>
    <xf numFmtId="0" fontId="3" fillId="2" borderId="1" xfId="2" applyFont="1" applyFill="1" applyBorder="1" applyAlignment="1">
      <alignment horizontal="left" vertical="center"/>
    </xf>
    <xf numFmtId="0" fontId="5" fillId="2" borderId="4" xfId="0" applyFont="1" applyFill="1" applyBorder="1" applyAlignment="1">
      <alignment vertical="center"/>
    </xf>
    <xf numFmtId="0" fontId="5" fillId="2" borderId="11" xfId="0" applyFont="1" applyFill="1" applyBorder="1" applyAlignment="1">
      <alignment vertical="center"/>
    </xf>
    <xf numFmtId="0" fontId="5" fillId="2" borderId="5" xfId="0" applyFont="1" applyFill="1" applyBorder="1" applyAlignment="1">
      <alignment vertical="center"/>
    </xf>
    <xf numFmtId="0" fontId="3" fillId="2" borderId="1" xfId="0" applyFont="1" applyFill="1" applyBorder="1" applyAlignment="1" applyProtection="1">
      <alignment wrapText="1"/>
      <protection locked="0"/>
    </xf>
    <xf numFmtId="0" fontId="4" fillId="2" borderId="1" xfId="0" applyFont="1" applyFill="1" applyBorder="1" applyAlignment="1" applyProtection="1">
      <alignment horizontal="center" wrapText="1"/>
      <protection locked="0"/>
    </xf>
    <xf numFmtId="0" fontId="3" fillId="2" borderId="1" xfId="0" applyFont="1" applyFill="1" applyBorder="1" applyAlignment="1">
      <alignment vertical="top" wrapText="1"/>
    </xf>
    <xf numFmtId="0" fontId="3" fillId="2" borderId="1" xfId="0" applyFont="1" applyFill="1" applyBorder="1" applyAlignment="1">
      <alignment horizontal="left" wrapText="1"/>
    </xf>
    <xf numFmtId="0" fontId="4" fillId="2" borderId="1" xfId="0" applyFont="1" applyFill="1" applyBorder="1" applyAlignment="1">
      <alignment horizontal="left" vertical="center" wrapText="1"/>
    </xf>
    <xf numFmtId="0" fontId="3" fillId="2" borderId="1" xfId="5" applyFont="1" applyFill="1" applyBorder="1" applyAlignment="1">
      <alignment vertical="center" wrapText="1"/>
    </xf>
    <xf numFmtId="0" fontId="3" fillId="2" borderId="5" xfId="0" applyFont="1" applyFill="1" applyBorder="1" applyAlignment="1">
      <alignment vertical="center" wrapText="1"/>
    </xf>
    <xf numFmtId="0" fontId="4" fillId="2" borderId="1" xfId="0" applyFont="1" applyFill="1" applyBorder="1" applyAlignment="1">
      <alignment horizontal="center" vertical="center" wrapText="1"/>
    </xf>
    <xf numFmtId="0" fontId="4" fillId="3" borderId="0" xfId="0" applyFont="1" applyFill="1" applyAlignment="1">
      <alignment horizontal="center" vertical="center"/>
    </xf>
    <xf numFmtId="0" fontId="3" fillId="3" borderId="0" xfId="0" applyFont="1" applyFill="1" applyAlignment="1">
      <alignment horizontal="center" vertical="center"/>
    </xf>
    <xf numFmtId="0" fontId="3" fillId="3" borderId="0" xfId="0" applyFont="1" applyFill="1"/>
    <xf numFmtId="0" fontId="13" fillId="2" borderId="1" xfId="0" applyFont="1" applyFill="1" applyBorder="1" applyAlignment="1" applyProtection="1">
      <alignment horizontal="left" wrapText="1"/>
      <protection locked="0"/>
    </xf>
    <xf numFmtId="0" fontId="13" fillId="2" borderId="1" xfId="0" applyFont="1" applyFill="1" applyBorder="1" applyAlignment="1" applyProtection="1">
      <alignment vertical="center" wrapText="1"/>
      <protection locked="0"/>
    </xf>
    <xf numFmtId="0" fontId="13" fillId="2" borderId="1" xfId="0" applyFont="1" applyFill="1" applyBorder="1" applyAlignment="1">
      <alignment vertical="top" wrapText="1"/>
    </xf>
    <xf numFmtId="1" fontId="13" fillId="2" borderId="5" xfId="0" applyNumberFormat="1" applyFont="1" applyFill="1" applyBorder="1" applyAlignment="1">
      <alignment vertical="top" wrapText="1"/>
    </xf>
    <xf numFmtId="0" fontId="13" fillId="2" borderId="1" xfId="0" applyFont="1" applyFill="1" applyBorder="1" applyAlignment="1">
      <alignment horizontal="left" vertical="top" wrapText="1"/>
    </xf>
    <xf numFmtId="0" fontId="13" fillId="2" borderId="1" xfId="0" applyFont="1" applyFill="1" applyBorder="1" applyAlignment="1">
      <alignment wrapText="1"/>
    </xf>
    <xf numFmtId="0" fontId="4" fillId="2" borderId="1" xfId="0" applyFont="1" applyFill="1" applyBorder="1" applyAlignment="1">
      <alignment horizontal="center" vertical="top"/>
    </xf>
    <xf numFmtId="0" fontId="4" fillId="2" borderId="1" xfId="0" applyFont="1" applyFill="1" applyBorder="1" applyAlignment="1">
      <alignment horizontal="center" vertical="top" wrapText="1"/>
    </xf>
    <xf numFmtId="0" fontId="4" fillId="2" borderId="2" xfId="0" applyFont="1" applyFill="1" applyBorder="1" applyAlignment="1">
      <alignment horizontal="center" vertical="top" wrapText="1"/>
    </xf>
    <xf numFmtId="0" fontId="3" fillId="0" borderId="1" xfId="0" applyFont="1" applyBorder="1" applyAlignment="1">
      <alignment horizontal="center" vertical="center"/>
    </xf>
    <xf numFmtId="0" fontId="10" fillId="0" borderId="1" xfId="0" applyFont="1" applyBorder="1" applyAlignment="1">
      <alignment horizontal="left" vertical="center" wrapText="1"/>
    </xf>
    <xf numFmtId="0" fontId="3" fillId="0" borderId="1" xfId="0" applyFont="1" applyBorder="1" applyAlignment="1" applyProtection="1">
      <alignment horizontal="center" vertical="center"/>
      <protection locked="0"/>
    </xf>
    <xf numFmtId="0" fontId="3" fillId="0" borderId="0" xfId="0" applyFont="1" applyAlignment="1">
      <alignment horizontal="center" vertical="center"/>
    </xf>
    <xf numFmtId="0" fontId="9" fillId="0" borderId="0" xfId="0" applyFont="1" applyAlignment="1">
      <alignment horizontal="center" vertical="center"/>
    </xf>
    <xf numFmtId="0" fontId="4" fillId="2" borderId="1" xfId="0" applyFont="1" applyFill="1" applyBorder="1" applyAlignment="1">
      <alignment horizontal="center" vertical="center"/>
    </xf>
    <xf numFmtId="0" fontId="5" fillId="2" borderId="0" xfId="0" applyFont="1" applyFill="1" applyAlignment="1">
      <alignment horizontal="center" vertical="top"/>
    </xf>
    <xf numFmtId="0" fontId="4" fillId="2" borderId="4" xfId="0" applyFont="1" applyFill="1" applyBorder="1" applyAlignment="1">
      <alignment horizontal="center" vertical="top"/>
    </xf>
    <xf numFmtId="0" fontId="4" fillId="2" borderId="5" xfId="0" applyFont="1" applyFill="1" applyBorder="1" applyAlignment="1">
      <alignment horizontal="center" vertical="top"/>
    </xf>
    <xf numFmtId="0" fontId="4" fillId="2" borderId="2" xfId="0" applyFont="1" applyFill="1" applyBorder="1" applyAlignment="1">
      <alignment horizontal="center" vertical="center" wrapText="1"/>
    </xf>
    <xf numFmtId="0" fontId="4" fillId="2" borderId="2" xfId="0" applyFont="1" applyFill="1" applyBorder="1" applyAlignment="1">
      <alignment horizontal="center" vertical="center"/>
    </xf>
    <xf numFmtId="0" fontId="3" fillId="2" borderId="3" xfId="0" applyFont="1" applyFill="1" applyBorder="1" applyAlignment="1">
      <alignment vertical="center" wrapText="1"/>
    </xf>
    <xf numFmtId="0" fontId="4" fillId="2" borderId="3" xfId="0" applyFont="1" applyFill="1" applyBorder="1" applyAlignment="1">
      <alignment vertical="center"/>
    </xf>
    <xf numFmtId="0" fontId="4" fillId="2" borderId="0" xfId="0" applyFont="1" applyFill="1" applyAlignment="1">
      <alignment vertical="top"/>
    </xf>
    <xf numFmtId="0" fontId="4" fillId="2" borderId="9" xfId="0" applyFont="1" applyFill="1" applyBorder="1" applyAlignment="1">
      <alignment horizontal="center" vertical="top"/>
    </xf>
    <xf numFmtId="0" fontId="4" fillId="2" borderId="10" xfId="0" applyFont="1" applyFill="1" applyBorder="1" applyAlignment="1">
      <alignment horizontal="center" vertical="top"/>
    </xf>
    <xf numFmtId="0" fontId="4" fillId="0" borderId="2" xfId="0" applyFont="1" applyBorder="1" applyAlignment="1">
      <alignment horizontal="center" vertical="center" wrapText="1"/>
    </xf>
    <xf numFmtId="0" fontId="4" fillId="2" borderId="3" xfId="0" applyFont="1" applyFill="1" applyBorder="1" applyAlignment="1">
      <alignment vertical="top"/>
    </xf>
    <xf numFmtId="0" fontId="8" fillId="2" borderId="1" xfId="5" applyFont="1" applyFill="1" applyBorder="1" applyAlignment="1" applyProtection="1">
      <alignment horizontal="left" vertical="center" wrapText="1"/>
      <protection locked="0"/>
    </xf>
    <xf numFmtId="0" fontId="8" fillId="2" borderId="1" xfId="0" applyFont="1" applyFill="1" applyBorder="1" applyAlignment="1" applyProtection="1">
      <alignment horizontal="left" vertical="top" wrapText="1"/>
      <protection locked="0"/>
    </xf>
    <xf numFmtId="0" fontId="8" fillId="2" borderId="1" xfId="0" applyFont="1" applyFill="1" applyBorder="1" applyAlignment="1">
      <alignment horizontal="left" vertical="center" wrapText="1"/>
    </xf>
    <xf numFmtId="0" fontId="14" fillId="0" borderId="1" xfId="0" applyFont="1" applyBorder="1" applyAlignment="1" applyProtection="1">
      <alignment horizontal="left" vertical="top" wrapText="1"/>
      <protection locked="0"/>
    </xf>
    <xf numFmtId="0" fontId="8" fillId="2" borderId="1" xfId="0" applyFont="1" applyFill="1" applyBorder="1" applyAlignment="1">
      <alignment horizontal="left" vertical="top" wrapText="1"/>
    </xf>
    <xf numFmtId="0" fontId="8" fillId="2" borderId="1" xfId="5" applyFont="1" applyFill="1" applyBorder="1" applyAlignment="1">
      <alignment horizontal="left" vertical="center" wrapText="1"/>
    </xf>
    <xf numFmtId="0" fontId="8" fillId="2" borderId="1" xfId="5" applyFont="1" applyFill="1" applyBorder="1" applyAlignment="1">
      <alignment vertical="center" wrapText="1"/>
    </xf>
    <xf numFmtId="0" fontId="14" fillId="2" borderId="1" xfId="0" applyFont="1" applyFill="1" applyBorder="1" applyAlignment="1" applyProtection="1">
      <alignment horizontal="left" vertical="top" wrapText="1"/>
      <protection locked="0"/>
    </xf>
    <xf numFmtId="0" fontId="8" fillId="2" borderId="1" xfId="5" applyFont="1" applyFill="1" applyBorder="1" applyAlignment="1" applyProtection="1">
      <alignment vertical="top"/>
      <protection locked="0"/>
    </xf>
    <xf numFmtId="0" fontId="15" fillId="2" borderId="1" xfId="0" applyFont="1" applyFill="1" applyBorder="1" applyAlignment="1">
      <alignment horizontal="left" vertical="top" wrapText="1"/>
    </xf>
    <xf numFmtId="0" fontId="16" fillId="2" borderId="1" xfId="0" applyFont="1" applyFill="1" applyBorder="1" applyAlignment="1" applyProtection="1">
      <alignment horizontal="left" vertical="center" wrapText="1"/>
      <protection locked="0"/>
    </xf>
    <xf numFmtId="1" fontId="17" fillId="2" borderId="1" xfId="0" applyNumberFormat="1" applyFont="1" applyFill="1" applyBorder="1" applyAlignment="1" applyProtection="1">
      <alignment horizontal="center" vertical="top"/>
      <protection locked="0"/>
    </xf>
    <xf numFmtId="2" fontId="18" fillId="2" borderId="1" xfId="0" applyNumberFormat="1" applyFont="1" applyFill="1" applyBorder="1" applyAlignment="1">
      <alignment horizontal="left" vertical="center" wrapText="1"/>
    </xf>
    <xf numFmtId="0" fontId="17" fillId="2" borderId="1" xfId="0" applyFont="1" applyFill="1" applyBorder="1" applyAlignment="1">
      <alignment horizontal="left" vertical="center"/>
    </xf>
    <xf numFmtId="0" fontId="1" fillId="2" borderId="1" xfId="0" applyFont="1" applyFill="1" applyBorder="1" applyAlignment="1">
      <alignment horizontal="left" vertical="center" wrapText="1"/>
    </xf>
    <xf numFmtId="1" fontId="8" fillId="2" borderId="1" xfId="0" applyNumberFormat="1" applyFont="1" applyFill="1" applyBorder="1" applyAlignment="1">
      <alignment horizontal="center" vertical="center"/>
    </xf>
    <xf numFmtId="10" fontId="8" fillId="2" borderId="1" xfId="3" applyNumberFormat="1" applyFont="1" applyFill="1" applyBorder="1" applyAlignment="1" applyProtection="1">
      <alignment horizontal="center" vertical="center"/>
    </xf>
    <xf numFmtId="10" fontId="8" fillId="2" borderId="2" xfId="3" applyNumberFormat="1" applyFont="1" applyFill="1" applyBorder="1" applyAlignment="1" applyProtection="1">
      <alignment horizontal="center" vertical="center"/>
    </xf>
    <xf numFmtId="0" fontId="8" fillId="0" borderId="1" xfId="0" applyFont="1" applyBorder="1" applyAlignment="1" applyProtection="1">
      <alignment horizontal="center" vertical="center"/>
      <protection locked="0"/>
    </xf>
    <xf numFmtId="0" fontId="4" fillId="2" borderId="0" xfId="0" applyFont="1" applyFill="1" applyAlignment="1">
      <alignment vertical="top" wrapText="1"/>
    </xf>
    <xf numFmtId="0" fontId="20" fillId="2" borderId="1" xfId="0" applyFont="1" applyFill="1" applyBorder="1" applyAlignment="1">
      <alignment horizontal="left" vertical="center" wrapText="1"/>
    </xf>
    <xf numFmtId="0" fontId="13" fillId="0" borderId="1" xfId="0" applyFont="1" applyBorder="1" applyAlignment="1" applyProtection="1">
      <alignment horizontal="center" vertical="center"/>
      <protection locked="0"/>
    </xf>
    <xf numFmtId="1" fontId="8" fillId="2" borderId="1" xfId="0" applyNumberFormat="1" applyFont="1" applyFill="1" applyBorder="1" applyAlignment="1">
      <alignment horizontal="center" vertical="center" wrapText="1"/>
    </xf>
    <xf numFmtId="2" fontId="19" fillId="2" borderId="1" xfId="0" applyNumberFormat="1" applyFont="1" applyFill="1" applyBorder="1" applyAlignment="1">
      <alignment horizontal="left" vertical="center" wrapText="1"/>
    </xf>
    <xf numFmtId="0" fontId="3" fillId="2" borderId="1" xfId="5" applyFont="1" applyFill="1" applyBorder="1" applyAlignment="1" applyProtection="1">
      <alignment horizontal="left" vertical="center" wrapText="1"/>
      <protection locked="0"/>
    </xf>
    <xf numFmtId="0" fontId="13" fillId="2" borderId="1" xfId="0" applyFont="1" applyFill="1" applyBorder="1" applyAlignment="1">
      <alignment horizontal="center" vertical="center"/>
    </xf>
    <xf numFmtId="0" fontId="21" fillId="2" borderId="1" xfId="0" applyFont="1" applyFill="1" applyBorder="1" applyAlignment="1">
      <alignment horizontal="left" vertical="center" wrapText="1"/>
    </xf>
    <xf numFmtId="0" fontId="15" fillId="2" borderId="1" xfId="0" applyFont="1" applyFill="1" applyBorder="1" applyAlignment="1" applyProtection="1">
      <alignment horizontal="left" wrapText="1"/>
      <protection locked="0"/>
    </xf>
    <xf numFmtId="0" fontId="13" fillId="2" borderId="1" xfId="0" applyFont="1" applyFill="1" applyBorder="1" applyAlignment="1" applyProtection="1">
      <alignment horizontal="center" vertical="center"/>
      <protection locked="0"/>
    </xf>
    <xf numFmtId="1" fontId="13" fillId="2" borderId="1" xfId="0" applyNumberFormat="1" applyFont="1" applyFill="1" applyBorder="1" applyAlignment="1">
      <alignment horizontal="center" vertical="center"/>
    </xf>
    <xf numFmtId="1" fontId="13" fillId="2" borderId="1" xfId="0" applyNumberFormat="1" applyFont="1" applyFill="1" applyBorder="1" applyAlignment="1">
      <alignment horizontal="center" vertical="center" wrapText="1"/>
    </xf>
    <xf numFmtId="10" fontId="13" fillId="2" borderId="1" xfId="3" applyNumberFormat="1" applyFont="1" applyFill="1" applyBorder="1" applyAlignment="1" applyProtection="1">
      <alignment horizontal="center" vertical="center"/>
    </xf>
    <xf numFmtId="0" fontId="4" fillId="2" borderId="10" xfId="0" applyFont="1" applyFill="1" applyBorder="1" applyAlignment="1">
      <alignment horizontal="center" vertical="top"/>
    </xf>
    <xf numFmtId="0" fontId="4" fillId="2" borderId="3" xfId="0" applyFont="1" applyFill="1" applyBorder="1" applyAlignment="1">
      <alignment horizontal="center" vertical="top"/>
    </xf>
    <xf numFmtId="0" fontId="4" fillId="2" borderId="9" xfId="0" applyFont="1" applyFill="1" applyBorder="1" applyAlignment="1">
      <alignment horizontal="center" vertical="top"/>
    </xf>
    <xf numFmtId="0" fontId="4" fillId="2" borderId="1" xfId="0" applyFont="1" applyFill="1" applyBorder="1" applyAlignment="1">
      <alignment horizontal="center" vertical="center"/>
    </xf>
    <xf numFmtId="0" fontId="4" fillId="2" borderId="4" xfId="0" applyFont="1" applyFill="1" applyBorder="1" applyAlignment="1">
      <alignment horizontal="center" vertical="center"/>
    </xf>
    <xf numFmtId="0" fontId="4" fillId="2" borderId="5" xfId="0" applyFont="1" applyFill="1" applyBorder="1" applyAlignment="1">
      <alignment horizontal="center" vertical="center"/>
    </xf>
    <xf numFmtId="0" fontId="4" fillId="2" borderId="6" xfId="0" applyFont="1" applyFill="1" applyBorder="1" applyAlignment="1">
      <alignment horizontal="center" vertical="top"/>
    </xf>
    <xf numFmtId="0" fontId="4" fillId="2" borderId="7" xfId="0" applyFont="1" applyFill="1" applyBorder="1" applyAlignment="1">
      <alignment horizontal="center" vertical="center"/>
    </xf>
    <xf numFmtId="0" fontId="4" fillId="2" borderId="12" xfId="0" applyFont="1" applyFill="1" applyBorder="1" applyAlignment="1">
      <alignment horizontal="center" vertical="center"/>
    </xf>
    <xf numFmtId="0" fontId="4" fillId="2" borderId="8" xfId="0" applyFont="1" applyFill="1" applyBorder="1" applyAlignment="1">
      <alignment horizontal="center" vertical="center"/>
    </xf>
    <xf numFmtId="0" fontId="4" fillId="2" borderId="0" xfId="0" applyFont="1" applyFill="1" applyAlignment="1">
      <alignment horizontal="center" vertical="top"/>
    </xf>
    <xf numFmtId="0" fontId="5" fillId="2" borderId="6" xfId="0" applyFont="1" applyFill="1" applyBorder="1" applyAlignment="1">
      <alignment horizontal="left" vertical="top"/>
    </xf>
    <xf numFmtId="0" fontId="4" fillId="2" borderId="6" xfId="0" applyFont="1" applyFill="1" applyBorder="1" applyAlignment="1">
      <alignment horizontal="left" vertical="top"/>
    </xf>
    <xf numFmtId="0" fontId="4" fillId="2" borderId="1" xfId="0" applyFont="1" applyFill="1" applyBorder="1" applyAlignment="1">
      <alignment horizontal="center" vertical="top"/>
    </xf>
    <xf numFmtId="0" fontId="4" fillId="2" borderId="1" xfId="0" applyFont="1" applyFill="1" applyBorder="1" applyAlignment="1">
      <alignment horizontal="center" vertical="top" wrapText="1"/>
    </xf>
    <xf numFmtId="0" fontId="4" fillId="2" borderId="4" xfId="0" applyFont="1" applyFill="1" applyBorder="1" applyAlignment="1">
      <alignment horizontal="center" vertical="top"/>
    </xf>
    <xf numFmtId="0" fontId="4" fillId="2" borderId="5" xfId="0" applyFont="1" applyFill="1" applyBorder="1" applyAlignment="1">
      <alignment horizontal="center" vertical="top"/>
    </xf>
    <xf numFmtId="0" fontId="4" fillId="2" borderId="2" xfId="0" applyFont="1" applyFill="1" applyBorder="1" applyAlignment="1">
      <alignment horizontal="center" vertical="top" wrapText="1"/>
    </xf>
    <xf numFmtId="0" fontId="4" fillId="2" borderId="3" xfId="0" applyFont="1" applyFill="1" applyBorder="1" applyAlignment="1">
      <alignment horizontal="center" vertical="top" wrapText="1"/>
    </xf>
    <xf numFmtId="0" fontId="4" fillId="2" borderId="2" xfId="0" applyFont="1" applyFill="1" applyBorder="1" applyAlignment="1">
      <alignment horizontal="center" vertical="top"/>
    </xf>
    <xf numFmtId="0" fontId="4" fillId="2" borderId="1" xfId="0" applyFont="1" applyFill="1" applyBorder="1" applyAlignment="1">
      <alignment horizontal="center" vertical="center" wrapText="1"/>
    </xf>
    <xf numFmtId="0" fontId="3" fillId="2" borderId="4" xfId="0" applyFont="1" applyFill="1" applyBorder="1" applyAlignment="1">
      <alignment horizontal="center" vertical="center"/>
    </xf>
    <xf numFmtId="0" fontId="3" fillId="2" borderId="5" xfId="0" applyFont="1" applyFill="1" applyBorder="1" applyAlignment="1">
      <alignment horizontal="center" vertical="center"/>
    </xf>
    <xf numFmtId="0" fontId="3" fillId="2" borderId="4" xfId="0" applyFont="1" applyFill="1" applyBorder="1" applyAlignment="1" applyProtection="1">
      <alignment horizontal="center"/>
      <protection locked="0"/>
    </xf>
    <xf numFmtId="0" fontId="3" fillId="2" borderId="5" xfId="0" applyFont="1" applyFill="1" applyBorder="1" applyAlignment="1" applyProtection="1">
      <alignment horizontal="center"/>
      <protection locked="0"/>
    </xf>
    <xf numFmtId="0" fontId="3" fillId="2" borderId="4" xfId="0" applyFont="1" applyFill="1" applyBorder="1" applyAlignment="1">
      <alignment horizontal="left" vertical="center"/>
    </xf>
    <xf numFmtId="0" fontId="3" fillId="2" borderId="5" xfId="0" applyFont="1" applyFill="1" applyBorder="1" applyAlignment="1">
      <alignment horizontal="left" vertical="center"/>
    </xf>
    <xf numFmtId="0" fontId="4" fillId="2" borderId="11" xfId="0" applyFont="1" applyFill="1" applyBorder="1" applyAlignment="1">
      <alignment horizontal="center" vertical="top"/>
    </xf>
  </cellXfs>
  <cellStyles count="10">
    <cellStyle name="Normal" xfId="0" builtinId="0"/>
    <cellStyle name="Normal 2" xfId="1" xr:uid="{00000000-0005-0000-0000-000001000000}"/>
    <cellStyle name="Normal 2 2 2" xfId="6" xr:uid="{00000000-0005-0000-0000-000002000000}"/>
    <cellStyle name="Normal 2 4" xfId="7" xr:uid="{00000000-0005-0000-0000-000003000000}"/>
    <cellStyle name="Normal 3" xfId="8" xr:uid="{00000000-0005-0000-0000-000004000000}"/>
    <cellStyle name="Normal 3 2" xfId="9" xr:uid="{00000000-0005-0000-0000-000005000000}"/>
    <cellStyle name="Normal 4" xfId="2" xr:uid="{00000000-0005-0000-0000-000006000000}"/>
    <cellStyle name="Normal 4 2" xfId="4" xr:uid="{00000000-0005-0000-0000-000007000000}"/>
    <cellStyle name="Normal 55" xfId="5" xr:uid="{00000000-0005-0000-0000-000008000000}"/>
    <cellStyle name="Percent" xfId="3" builtinId="5"/>
  </cellStyles>
  <dxfs count="0"/>
  <tableStyles count="0" defaultTableStyle="TableStyleMedium9" defaultPivotStyle="PivotStyleLight16"/>
  <colors>
    <mruColors>
      <color rgb="FF147216"/>
      <color rgb="FF0000FF"/>
      <color rgb="FF1DA32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47216"/>
    <pageSetUpPr fitToPage="1"/>
  </sheetPr>
  <dimension ref="A1:AL25"/>
  <sheetViews>
    <sheetView view="pageBreakPreview" zoomScale="70" zoomScaleNormal="70" zoomScaleSheetLayoutView="70" workbookViewId="0">
      <pane ySplit="3" topLeftCell="A4" activePane="bottomLeft" state="frozen"/>
      <selection activeCell="C137" sqref="C137"/>
      <selection pane="bottomLeft" activeCell="A2" activeCellId="1" sqref="A1:XFD1 A2:XFD2"/>
    </sheetView>
  </sheetViews>
  <sheetFormatPr defaultColWidth="9.140625" defaultRowHeight="15" x14ac:dyDescent="0.2"/>
  <cols>
    <col min="1" max="1" width="6.28515625" style="6" customWidth="1"/>
    <col min="2" max="2" width="43" style="7" customWidth="1"/>
    <col min="3" max="3" width="11.42578125" style="6" customWidth="1"/>
    <col min="4" max="4" width="11.140625" style="6" customWidth="1"/>
    <col min="5" max="5" width="7.28515625" style="6" customWidth="1"/>
    <col min="6" max="6" width="5.7109375" style="6" customWidth="1"/>
    <col min="7" max="7" width="7.140625" style="6" customWidth="1"/>
    <col min="8" max="8" width="6.85546875" style="6" bestFit="1" customWidth="1"/>
    <col min="9" max="9" width="6.28515625" style="6" bestFit="1" customWidth="1"/>
    <col min="10" max="10" width="38.7109375" style="21" customWidth="1"/>
    <col min="11" max="11" width="6.140625" style="6" customWidth="1"/>
    <col min="12" max="30" width="9.140625" style="6"/>
    <col min="31" max="31" width="9.140625" style="6" customWidth="1"/>
    <col min="32" max="16384" width="9.140625" style="6"/>
  </cols>
  <sheetData>
    <row r="1" spans="1:38" ht="24.75" customHeight="1" x14ac:dyDescent="0.2">
      <c r="A1" s="132" t="s">
        <v>83</v>
      </c>
      <c r="B1" s="133"/>
      <c r="C1" s="133"/>
      <c r="D1" s="133"/>
      <c r="E1" s="133"/>
      <c r="F1" s="133"/>
      <c r="G1" s="133"/>
      <c r="H1" s="133"/>
      <c r="I1" s="133"/>
      <c r="J1" s="134"/>
    </row>
    <row r="2" spans="1:38" s="1" customFormat="1" ht="31.5" x14ac:dyDescent="0.25">
      <c r="A2" s="91" t="s">
        <v>51</v>
      </c>
      <c r="B2" s="98" t="s">
        <v>14</v>
      </c>
      <c r="C2" s="136" t="s">
        <v>17</v>
      </c>
      <c r="D2" s="137"/>
      <c r="E2" s="135"/>
      <c r="F2" s="135"/>
      <c r="G2" s="135"/>
      <c r="H2" s="135"/>
      <c r="I2" s="92" t="s">
        <v>33</v>
      </c>
      <c r="J2" s="91" t="s">
        <v>55</v>
      </c>
      <c r="K2" s="3"/>
      <c r="L2" s="3"/>
      <c r="M2" s="3"/>
      <c r="N2" s="3"/>
      <c r="O2" s="3"/>
      <c r="P2" s="3"/>
      <c r="Q2" s="3"/>
      <c r="R2" s="3"/>
      <c r="S2" s="3"/>
      <c r="T2" s="3"/>
      <c r="U2" s="3"/>
      <c r="V2" s="3"/>
      <c r="W2" s="3"/>
      <c r="X2" s="3"/>
      <c r="Y2" s="3"/>
      <c r="Z2" s="3"/>
      <c r="AA2" s="3"/>
      <c r="AB2" s="3"/>
      <c r="AC2" s="3"/>
      <c r="AD2" s="3"/>
      <c r="AE2" s="3"/>
      <c r="AF2" s="3"/>
      <c r="AG2" s="3"/>
      <c r="AH2" s="3"/>
      <c r="AI2" s="3"/>
      <c r="AJ2" s="3"/>
      <c r="AK2" s="3"/>
      <c r="AL2" s="3"/>
    </row>
    <row r="3" spans="1:38" s="1" customFormat="1" ht="15.75" x14ac:dyDescent="0.25">
      <c r="A3" s="55"/>
      <c r="B3" s="55"/>
      <c r="C3" s="87" t="s">
        <v>25</v>
      </c>
      <c r="D3" s="87" t="s">
        <v>26</v>
      </c>
      <c r="E3" s="87" t="s">
        <v>34</v>
      </c>
      <c r="F3" s="87" t="s">
        <v>35</v>
      </c>
      <c r="G3" s="87" t="s">
        <v>38</v>
      </c>
      <c r="H3" s="36" t="s">
        <v>50</v>
      </c>
      <c r="I3" s="94"/>
      <c r="J3" s="99"/>
      <c r="K3" s="3"/>
      <c r="L3" s="3"/>
      <c r="M3" s="3"/>
      <c r="N3" s="3"/>
      <c r="O3" s="3"/>
      <c r="P3" s="3"/>
      <c r="Q3" s="3"/>
      <c r="R3" s="3"/>
      <c r="S3" s="3"/>
      <c r="T3" s="3"/>
      <c r="U3" s="3"/>
      <c r="V3" s="3"/>
      <c r="W3" s="3"/>
      <c r="X3" s="3"/>
      <c r="Y3" s="3"/>
      <c r="Z3" s="3"/>
      <c r="AA3" s="3"/>
      <c r="AB3" s="3"/>
      <c r="AC3" s="3"/>
      <c r="AD3" s="3"/>
      <c r="AE3" s="3"/>
      <c r="AF3" s="3"/>
      <c r="AG3" s="3"/>
      <c r="AH3" s="3"/>
      <c r="AI3" s="3"/>
      <c r="AJ3" s="3"/>
      <c r="AK3" s="3"/>
      <c r="AL3" s="3"/>
    </row>
    <row r="4" spans="1:38" s="3" customFormat="1" x14ac:dyDescent="0.25">
      <c r="A4" s="1" t="s">
        <v>1</v>
      </c>
      <c r="B4" s="30" t="s">
        <v>2</v>
      </c>
      <c r="C4" s="1" t="s">
        <v>3</v>
      </c>
      <c r="D4" s="1" t="s">
        <v>4</v>
      </c>
      <c r="E4" s="1" t="s">
        <v>6</v>
      </c>
      <c r="F4" s="1" t="s">
        <v>8</v>
      </c>
      <c r="G4" s="1" t="s">
        <v>11</v>
      </c>
      <c r="H4" s="1" t="s">
        <v>12</v>
      </c>
      <c r="I4" s="1" t="s">
        <v>30</v>
      </c>
      <c r="J4" s="44" t="s">
        <v>43</v>
      </c>
    </row>
    <row r="5" spans="1:38" s="3" customFormat="1" ht="15.75" x14ac:dyDescent="0.25">
      <c r="A5" s="31" t="s">
        <v>57</v>
      </c>
      <c r="B5" s="59"/>
      <c r="C5" s="60"/>
      <c r="D5" s="60"/>
      <c r="E5" s="60"/>
      <c r="F5" s="60"/>
      <c r="G5" s="60"/>
      <c r="H5" s="60"/>
      <c r="I5" s="60"/>
      <c r="J5" s="61"/>
    </row>
    <row r="6" spans="1:38" s="70" customFormat="1" ht="15.75" x14ac:dyDescent="0.25">
      <c r="A6" s="1">
        <v>1</v>
      </c>
      <c r="B6" s="29" t="s">
        <v>95</v>
      </c>
      <c r="C6" s="1">
        <f>SUM(18+1)</f>
        <v>19</v>
      </c>
      <c r="D6" s="84">
        <f>SUM(14-2+2)</f>
        <v>14</v>
      </c>
      <c r="E6" s="25"/>
      <c r="F6" s="25"/>
      <c r="G6" s="25"/>
      <c r="H6" s="1">
        <f>SUM(E6:G6)</f>
        <v>0</v>
      </c>
      <c r="I6" s="1">
        <f>D6-H6</f>
        <v>14</v>
      </c>
      <c r="J6" s="100" t="s">
        <v>60</v>
      </c>
    </row>
    <row r="7" spans="1:38" s="71" customFormat="1" ht="30" x14ac:dyDescent="0.25">
      <c r="A7" s="30">
        <v>2</v>
      </c>
      <c r="B7" s="29" t="s">
        <v>96</v>
      </c>
      <c r="C7" s="1">
        <f>SUM(51+2)</f>
        <v>53</v>
      </c>
      <c r="D7" s="84">
        <f>SUM(39-6+2)</f>
        <v>35</v>
      </c>
      <c r="E7" s="25">
        <v>1</v>
      </c>
      <c r="F7" s="25"/>
      <c r="G7" s="25"/>
      <c r="H7" s="1">
        <f t="shared" ref="H7:H8" si="0">SUM(E7:G7)</f>
        <v>1</v>
      </c>
      <c r="I7" s="1">
        <f t="shared" ref="I7:I8" si="1">D7-H7</f>
        <v>34</v>
      </c>
      <c r="J7" s="124" t="s">
        <v>84</v>
      </c>
    </row>
    <row r="8" spans="1:38" s="85" customFormat="1" x14ac:dyDescent="0.25">
      <c r="A8" s="82">
        <v>3</v>
      </c>
      <c r="B8" s="29" t="s">
        <v>97</v>
      </c>
      <c r="C8" s="1">
        <f>SUM(28+1+7)</f>
        <v>36</v>
      </c>
      <c r="D8" s="84">
        <f>SUM(26+1-4+7)</f>
        <v>30</v>
      </c>
      <c r="E8" s="84"/>
      <c r="F8" s="84"/>
      <c r="G8" s="121"/>
      <c r="H8" s="15">
        <f t="shared" si="0"/>
        <v>0</v>
      </c>
      <c r="I8" s="15">
        <f t="shared" si="1"/>
        <v>30</v>
      </c>
      <c r="J8" s="100" t="s">
        <v>79</v>
      </c>
    </row>
    <row r="9" spans="1:38" s="56" customFormat="1" ht="15.75" x14ac:dyDescent="0.25">
      <c r="A9" s="1">
        <v>4</v>
      </c>
      <c r="B9" s="29" t="s">
        <v>98</v>
      </c>
      <c r="C9" s="1">
        <f t="shared" ref="C9" si="2">SUM(0+0)</f>
        <v>0</v>
      </c>
      <c r="D9" s="84">
        <f>SUM(1+0)</f>
        <v>1</v>
      </c>
      <c r="E9" s="25"/>
      <c r="F9" s="25"/>
      <c r="G9" s="25"/>
      <c r="H9" s="1">
        <f t="shared" ref="H9:H13" si="3">SUM(E9:G9)</f>
        <v>0</v>
      </c>
      <c r="I9" s="1">
        <f t="shared" ref="I9:I13" si="4">D9-H9</f>
        <v>1</v>
      </c>
      <c r="J9" s="101" t="s">
        <v>75</v>
      </c>
    </row>
    <row r="10" spans="1:38" s="3" customFormat="1" x14ac:dyDescent="0.25">
      <c r="A10" s="30">
        <v>5</v>
      </c>
      <c r="B10" s="29" t="s">
        <v>99</v>
      </c>
      <c r="C10" s="1">
        <f t="shared" ref="C10:C11" si="5">SUM(0+0)</f>
        <v>0</v>
      </c>
      <c r="D10" s="84">
        <f>SUM(7+0)</f>
        <v>7</v>
      </c>
      <c r="E10" s="25"/>
      <c r="F10" s="25"/>
      <c r="G10" s="25"/>
      <c r="H10" s="1">
        <f t="shared" si="3"/>
        <v>0</v>
      </c>
      <c r="I10" s="1">
        <f t="shared" si="4"/>
        <v>7</v>
      </c>
      <c r="J10" s="17"/>
    </row>
    <row r="11" spans="1:38" s="3" customFormat="1" x14ac:dyDescent="0.25">
      <c r="A11" s="82">
        <v>6</v>
      </c>
      <c r="B11" s="29" t="s">
        <v>100</v>
      </c>
      <c r="C11" s="1">
        <f t="shared" si="5"/>
        <v>0</v>
      </c>
      <c r="D11" s="84">
        <f>SUM(0+2)</f>
        <v>2</v>
      </c>
      <c r="E11" s="25"/>
      <c r="F11" s="25"/>
      <c r="G11" s="25"/>
      <c r="H11" s="1">
        <f t="shared" si="3"/>
        <v>0</v>
      </c>
      <c r="I11" s="1">
        <f t="shared" si="4"/>
        <v>2</v>
      </c>
      <c r="J11" s="17"/>
    </row>
    <row r="12" spans="1:38" s="71" customFormat="1" x14ac:dyDescent="0.25">
      <c r="A12" s="1">
        <v>7</v>
      </c>
      <c r="B12" s="29" t="s">
        <v>101</v>
      </c>
      <c r="C12" s="1">
        <f>SUM(32+0)</f>
        <v>32</v>
      </c>
      <c r="D12" s="118">
        <f>SUM(27-8+0)</f>
        <v>19</v>
      </c>
      <c r="E12" s="16"/>
      <c r="F12" s="16"/>
      <c r="G12" s="16"/>
      <c r="H12" s="15">
        <f t="shared" si="3"/>
        <v>0</v>
      </c>
      <c r="I12" s="15">
        <f t="shared" si="4"/>
        <v>19</v>
      </c>
      <c r="J12" s="102" t="s">
        <v>86</v>
      </c>
    </row>
    <row r="13" spans="1:38" s="86" customFormat="1" ht="16.5" x14ac:dyDescent="0.25">
      <c r="A13" s="30">
        <v>8</v>
      </c>
      <c r="B13" s="83" t="s">
        <v>102</v>
      </c>
      <c r="C13" s="1">
        <f>SUM(0+1)</f>
        <v>1</v>
      </c>
      <c r="D13" s="84">
        <f>SUM(0+1)</f>
        <v>1</v>
      </c>
      <c r="E13" s="84"/>
      <c r="F13" s="84"/>
      <c r="G13" s="84"/>
      <c r="H13" s="1">
        <f t="shared" si="3"/>
        <v>0</v>
      </c>
      <c r="I13" s="1">
        <f t="shared" si="4"/>
        <v>1</v>
      </c>
      <c r="J13" s="103"/>
    </row>
    <row r="14" spans="1:38" s="71" customFormat="1" x14ac:dyDescent="0.25">
      <c r="A14" s="82">
        <v>9</v>
      </c>
      <c r="B14" s="12" t="s">
        <v>103</v>
      </c>
      <c r="C14" s="1">
        <f>SUM(0+1)</f>
        <v>1</v>
      </c>
      <c r="D14" s="84">
        <f>SUM(0+1)</f>
        <v>1</v>
      </c>
      <c r="E14" s="25"/>
      <c r="F14" s="25"/>
      <c r="G14" s="25"/>
      <c r="H14" s="1">
        <f t="shared" ref="H14" si="6">SUM(E14:G14)</f>
        <v>0</v>
      </c>
      <c r="I14" s="1">
        <f t="shared" ref="I14" si="7">D14-H14</f>
        <v>1</v>
      </c>
      <c r="J14" s="102"/>
    </row>
    <row r="15" spans="1:38" s="71" customFormat="1" ht="90" x14ac:dyDescent="0.25">
      <c r="A15" s="1">
        <v>10</v>
      </c>
      <c r="B15" s="29" t="s">
        <v>104</v>
      </c>
      <c r="C15" s="1">
        <f t="shared" ref="C15:C17" si="8">SUM(0+0)</f>
        <v>0</v>
      </c>
      <c r="D15" s="121">
        <f>SUM(4-1+1)</f>
        <v>4</v>
      </c>
      <c r="E15" s="25"/>
      <c r="F15" s="25"/>
      <c r="G15" s="16">
        <v>1</v>
      </c>
      <c r="H15" s="15">
        <f t="shared" ref="H15:H16" si="9">SUM(E15:G15)</f>
        <v>1</v>
      </c>
      <c r="I15" s="125">
        <f t="shared" ref="I15:I16" si="10">D15-H15</f>
        <v>3</v>
      </c>
      <c r="J15" s="102" t="s">
        <v>87</v>
      </c>
    </row>
    <row r="16" spans="1:38" s="71" customFormat="1" x14ac:dyDescent="0.25">
      <c r="A16" s="30">
        <v>11</v>
      </c>
      <c r="B16" s="29" t="s">
        <v>105</v>
      </c>
      <c r="C16" s="1">
        <f>SUM(5+1)</f>
        <v>6</v>
      </c>
      <c r="D16" s="84">
        <f>SUM(1+1)</f>
        <v>2</v>
      </c>
      <c r="E16" s="25"/>
      <c r="F16" s="25"/>
      <c r="G16" s="25"/>
      <c r="H16" s="1">
        <f t="shared" si="9"/>
        <v>0</v>
      </c>
      <c r="I16" s="1">
        <f t="shared" si="10"/>
        <v>2</v>
      </c>
      <c r="J16" s="104"/>
    </row>
    <row r="17" spans="1:13" s="71" customFormat="1" x14ac:dyDescent="0.25">
      <c r="A17" s="82">
        <v>12</v>
      </c>
      <c r="B17" s="29" t="s">
        <v>106</v>
      </c>
      <c r="C17" s="1">
        <f t="shared" si="8"/>
        <v>0</v>
      </c>
      <c r="D17" s="84">
        <f>SUM(1+0)</f>
        <v>1</v>
      </c>
      <c r="E17" s="25"/>
      <c r="F17" s="25"/>
      <c r="G17" s="25"/>
      <c r="H17" s="1">
        <f t="shared" ref="H17:H20" si="11">SUM(E17:G17)</f>
        <v>0</v>
      </c>
      <c r="I17" s="1">
        <f t="shared" ref="I17:I20" si="12">D17-H17</f>
        <v>1</v>
      </c>
      <c r="J17" s="105" t="s">
        <v>62</v>
      </c>
    </row>
    <row r="18" spans="1:13" s="71" customFormat="1" x14ac:dyDescent="0.25">
      <c r="A18" s="1">
        <v>13</v>
      </c>
      <c r="B18" s="12" t="s">
        <v>107</v>
      </c>
      <c r="C18" s="1">
        <f>SUM(2+2)</f>
        <v>4</v>
      </c>
      <c r="D18" s="84">
        <f>SUM(4-1+2)</f>
        <v>5</v>
      </c>
      <c r="E18" s="25"/>
      <c r="F18" s="25"/>
      <c r="G18" s="25"/>
      <c r="H18" s="1">
        <f t="shared" si="11"/>
        <v>0</v>
      </c>
      <c r="I18" s="1">
        <f t="shared" si="12"/>
        <v>5</v>
      </c>
      <c r="J18" s="106" t="s">
        <v>61</v>
      </c>
    </row>
    <row r="19" spans="1:13" s="3" customFormat="1" x14ac:dyDescent="0.25">
      <c r="A19" s="30">
        <v>14</v>
      </c>
      <c r="B19" s="29" t="s">
        <v>108</v>
      </c>
      <c r="C19" s="1">
        <f t="shared" ref="C19" si="13">SUM(0+0)</f>
        <v>0</v>
      </c>
      <c r="D19" s="84">
        <f>SUM(2+0)</f>
        <v>2</v>
      </c>
      <c r="E19" s="25"/>
      <c r="F19" s="25"/>
      <c r="G19" s="25"/>
      <c r="H19" s="1">
        <f t="shared" si="11"/>
        <v>0</v>
      </c>
      <c r="I19" s="1">
        <f t="shared" si="12"/>
        <v>2</v>
      </c>
      <c r="J19" s="105"/>
    </row>
    <row r="20" spans="1:13" s="3" customFormat="1" x14ac:dyDescent="0.25">
      <c r="A20" s="82">
        <v>15</v>
      </c>
      <c r="B20" s="29" t="s">
        <v>109</v>
      </c>
      <c r="C20" s="1">
        <f>SUM(1+0)</f>
        <v>1</v>
      </c>
      <c r="D20" s="84">
        <f>SUM(1+0)</f>
        <v>1</v>
      </c>
      <c r="E20" s="25"/>
      <c r="F20" s="25"/>
      <c r="G20" s="25"/>
      <c r="H20" s="1">
        <f t="shared" si="11"/>
        <v>0</v>
      </c>
      <c r="I20" s="1">
        <f t="shared" si="12"/>
        <v>1</v>
      </c>
      <c r="J20" s="102"/>
    </row>
    <row r="21" spans="1:13" s="18" customFormat="1" ht="16.5" x14ac:dyDescent="0.25">
      <c r="A21" s="1">
        <v>16</v>
      </c>
      <c r="B21" s="83" t="s">
        <v>110</v>
      </c>
      <c r="C21" s="1">
        <f t="shared" ref="C21:D23" si="14">SUM(0+1)</f>
        <v>1</v>
      </c>
      <c r="D21" s="84">
        <f t="shared" si="14"/>
        <v>1</v>
      </c>
      <c r="E21" s="25"/>
      <c r="F21" s="25"/>
      <c r="G21" s="25"/>
      <c r="H21" s="1">
        <f t="shared" ref="H21:H25" si="15">SUM(E21:G21)</f>
        <v>0</v>
      </c>
      <c r="I21" s="1">
        <f t="shared" ref="I21:I25" si="16">D21-H21</f>
        <v>1</v>
      </c>
      <c r="J21" s="107"/>
    </row>
    <row r="22" spans="1:13" s="18" customFormat="1" ht="16.5" x14ac:dyDescent="0.25">
      <c r="A22" s="30">
        <v>17</v>
      </c>
      <c r="B22" s="48" t="s">
        <v>111</v>
      </c>
      <c r="C22" s="1">
        <f t="shared" si="14"/>
        <v>1</v>
      </c>
      <c r="D22" s="84">
        <f t="shared" si="14"/>
        <v>1</v>
      </c>
      <c r="E22" s="25"/>
      <c r="F22" s="25"/>
      <c r="G22" s="25"/>
      <c r="H22" s="1">
        <f t="shared" si="15"/>
        <v>0</v>
      </c>
      <c r="I22" s="1">
        <f t="shared" si="16"/>
        <v>1</v>
      </c>
      <c r="J22" s="108" t="s">
        <v>76</v>
      </c>
    </row>
    <row r="23" spans="1:13" s="3" customFormat="1" x14ac:dyDescent="0.25">
      <c r="A23" s="82">
        <v>18</v>
      </c>
      <c r="B23" s="67" t="s">
        <v>112</v>
      </c>
      <c r="C23" s="1">
        <f t="shared" si="14"/>
        <v>1</v>
      </c>
      <c r="D23" s="84">
        <f t="shared" si="14"/>
        <v>1</v>
      </c>
      <c r="E23" s="25"/>
      <c r="F23" s="25"/>
      <c r="G23" s="25"/>
      <c r="H23" s="1">
        <f t="shared" si="15"/>
        <v>0</v>
      </c>
      <c r="I23" s="1">
        <f t="shared" si="16"/>
        <v>1</v>
      </c>
      <c r="J23" s="101"/>
    </row>
    <row r="24" spans="1:13" s="11" customFormat="1" ht="15.75" x14ac:dyDescent="0.25">
      <c r="A24" s="1">
        <v>19</v>
      </c>
      <c r="B24" s="32" t="s">
        <v>113</v>
      </c>
      <c r="C24" s="1">
        <f>SUM(0+2)</f>
        <v>2</v>
      </c>
      <c r="D24" s="84">
        <f>SUM(0+1)</f>
        <v>1</v>
      </c>
      <c r="E24" s="25"/>
      <c r="F24" s="25"/>
      <c r="G24" s="25"/>
      <c r="H24" s="1">
        <f t="shared" si="15"/>
        <v>0</v>
      </c>
      <c r="I24" s="1">
        <f t="shared" si="16"/>
        <v>1</v>
      </c>
      <c r="J24" s="108" t="s">
        <v>58</v>
      </c>
      <c r="M24" s="13"/>
    </row>
    <row r="25" spans="1:13" s="11" customFormat="1" ht="15.75" x14ac:dyDescent="0.25">
      <c r="A25" s="30">
        <v>20</v>
      </c>
      <c r="B25" s="32" t="s">
        <v>114</v>
      </c>
      <c r="C25" s="1">
        <f t="shared" ref="C25" si="17">SUM(0+0)</f>
        <v>0</v>
      </c>
      <c r="D25" s="84">
        <f>SUM(0+1)</f>
        <v>1</v>
      </c>
      <c r="E25" s="25"/>
      <c r="F25" s="25"/>
      <c r="G25" s="25"/>
      <c r="H25" s="1">
        <f t="shared" si="15"/>
        <v>0</v>
      </c>
      <c r="I25" s="1">
        <f t="shared" si="16"/>
        <v>1</v>
      </c>
      <c r="J25" s="108"/>
      <c r="M25" s="13"/>
    </row>
  </sheetData>
  <mergeCells count="3">
    <mergeCell ref="A1:J1"/>
    <mergeCell ref="E2:H2"/>
    <mergeCell ref="C2:D2"/>
  </mergeCells>
  <phoneticPr fontId="24" type="noConversion"/>
  <pageMargins left="0.70866141732283472" right="0.31496062992125984" top="0.51181102362204722" bottom="0.23622047244094491" header="0.31496062992125984" footer="0.15748031496062992"/>
  <pageSetup paperSize="9" scale="64" fitToHeight="0" orientation="portrait" r:id="rId1"/>
  <headerFooter differentFirst="1">
    <oddHeader>&amp;C&amp;"Arial,Regular"&amp;12&amp;P</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147216"/>
    <pageSetUpPr fitToPage="1"/>
  </sheetPr>
  <dimension ref="A1:AA21"/>
  <sheetViews>
    <sheetView tabSelected="1" view="pageBreakPreview" zoomScale="80" zoomScaleNormal="100" zoomScaleSheetLayoutView="80" workbookViewId="0">
      <pane ySplit="3" topLeftCell="A4" activePane="bottomLeft" state="frozen"/>
      <selection activeCell="G31" sqref="G31"/>
      <selection pane="bottomLeft" activeCell="A4" sqref="A4:XFD4"/>
    </sheetView>
  </sheetViews>
  <sheetFormatPr defaultColWidth="9.140625" defaultRowHeight="15" x14ac:dyDescent="0.2"/>
  <cols>
    <col min="1" max="1" width="4.85546875" style="9" customWidth="1"/>
    <col min="2" max="2" width="53" style="2" customWidth="1"/>
    <col min="3" max="3" width="9" style="8" customWidth="1"/>
    <col min="4" max="4" width="6.28515625" style="8" bestFit="1" customWidth="1"/>
    <col min="5" max="5" width="6.42578125" style="8" bestFit="1" customWidth="1"/>
    <col min="6" max="6" width="4.7109375" style="8" bestFit="1" customWidth="1"/>
    <col min="7" max="7" width="4.85546875" style="8" bestFit="1" customWidth="1"/>
    <col min="8" max="8" width="7.140625" style="8" bestFit="1" customWidth="1"/>
    <col min="9" max="9" width="6.28515625" style="8" bestFit="1" customWidth="1"/>
    <col min="10" max="10" width="34" style="8" customWidth="1"/>
    <col min="11" max="27" width="9.140625" style="8" customWidth="1"/>
    <col min="28" max="16384" width="9.140625" style="8"/>
  </cols>
  <sheetData>
    <row r="1" spans="1:27" ht="36.75" customHeight="1" x14ac:dyDescent="0.2">
      <c r="A1" s="138" t="s">
        <v>54</v>
      </c>
      <c r="B1" s="138"/>
      <c r="C1" s="138"/>
      <c r="D1" s="138"/>
      <c r="E1" s="138"/>
      <c r="F1" s="138"/>
      <c r="G1" s="138"/>
      <c r="H1" s="138"/>
      <c r="I1" s="138"/>
      <c r="J1" s="138"/>
    </row>
    <row r="2" spans="1:27" s="6" customFormat="1" ht="47.25" x14ac:dyDescent="0.2">
      <c r="A2" s="91" t="s">
        <v>51</v>
      </c>
      <c r="B2" s="91" t="s">
        <v>14</v>
      </c>
      <c r="C2" s="36" t="s">
        <v>17</v>
      </c>
      <c r="D2" s="92"/>
      <c r="E2" s="139" t="s">
        <v>31</v>
      </c>
      <c r="F2" s="140"/>
      <c r="G2" s="141"/>
      <c r="H2" s="91" t="s">
        <v>18</v>
      </c>
      <c r="I2" s="92" t="s">
        <v>33</v>
      </c>
      <c r="J2" s="91" t="s">
        <v>56</v>
      </c>
    </row>
    <row r="3" spans="1:27" s="6" customFormat="1" ht="31.5" x14ac:dyDescent="0.2">
      <c r="A3" s="55"/>
      <c r="B3" s="55"/>
      <c r="C3" s="69" t="s">
        <v>25</v>
      </c>
      <c r="D3" s="69" t="s">
        <v>26</v>
      </c>
      <c r="E3" s="87" t="s">
        <v>34</v>
      </c>
      <c r="F3" s="87" t="s">
        <v>35</v>
      </c>
      <c r="G3" s="87" t="s">
        <v>38</v>
      </c>
      <c r="H3" s="93"/>
      <c r="I3" s="94"/>
      <c r="J3" s="94"/>
      <c r="K3" s="8"/>
      <c r="L3" s="8"/>
      <c r="M3" s="8"/>
      <c r="N3" s="8"/>
      <c r="O3" s="8"/>
      <c r="P3" s="8"/>
      <c r="Q3" s="8"/>
      <c r="R3" s="8"/>
      <c r="S3" s="8"/>
      <c r="T3" s="8"/>
      <c r="U3" s="8"/>
      <c r="V3" s="8"/>
      <c r="W3" s="8"/>
      <c r="X3" s="8"/>
      <c r="Y3" s="8"/>
      <c r="Z3" s="8"/>
      <c r="AA3" s="8"/>
    </row>
    <row r="4" spans="1:27" s="6" customFormat="1" ht="15.75" x14ac:dyDescent="0.2">
      <c r="A4" s="55"/>
      <c r="B4" s="55"/>
      <c r="C4" s="69"/>
      <c r="D4" s="69"/>
      <c r="E4" s="87"/>
      <c r="F4" s="87"/>
      <c r="G4" s="87"/>
      <c r="H4" s="93"/>
      <c r="I4" s="94"/>
      <c r="J4" s="94"/>
      <c r="K4" s="8"/>
      <c r="L4" s="8"/>
      <c r="M4" s="8"/>
      <c r="N4" s="8"/>
      <c r="O4" s="8"/>
      <c r="P4" s="8"/>
      <c r="Q4" s="8"/>
      <c r="R4" s="8"/>
      <c r="S4" s="8"/>
      <c r="T4" s="8"/>
      <c r="U4" s="8"/>
      <c r="V4" s="8"/>
      <c r="W4" s="8"/>
      <c r="X4" s="8"/>
      <c r="Y4" s="8"/>
      <c r="Z4" s="8"/>
      <c r="AA4" s="8"/>
    </row>
    <row r="5" spans="1:27" x14ac:dyDescent="0.2">
      <c r="A5" s="1">
        <v>1</v>
      </c>
      <c r="B5" s="12" t="s">
        <v>115</v>
      </c>
      <c r="C5" s="1">
        <f t="shared" ref="C5" si="0">SUM(0+0)</f>
        <v>0</v>
      </c>
      <c r="D5" s="25">
        <f>SUM(3+0)</f>
        <v>3</v>
      </c>
      <c r="E5" s="25"/>
      <c r="F5" s="25"/>
      <c r="G5" s="25"/>
      <c r="H5" s="1">
        <f t="shared" ref="H5:H10" si="1">SUM(E5:G5)</f>
        <v>0</v>
      </c>
      <c r="I5" s="1">
        <f t="shared" ref="I5:I10" si="2">D5-H5</f>
        <v>3</v>
      </c>
      <c r="J5" s="25"/>
    </row>
    <row r="6" spans="1:27" x14ac:dyDescent="0.2">
      <c r="A6" s="1">
        <v>2</v>
      </c>
      <c r="B6" s="12" t="s">
        <v>116</v>
      </c>
      <c r="C6" s="1">
        <f>SUM(0+1)</f>
        <v>1</v>
      </c>
      <c r="D6" s="25">
        <f>SUM(0+1)</f>
        <v>1</v>
      </c>
      <c r="E6" s="25"/>
      <c r="F6" s="25"/>
      <c r="G6" s="25"/>
      <c r="H6" s="1">
        <f t="shared" si="1"/>
        <v>0</v>
      </c>
      <c r="I6" s="1">
        <f t="shared" si="2"/>
        <v>1</v>
      </c>
      <c r="J6" s="32"/>
    </row>
    <row r="7" spans="1:27" x14ac:dyDescent="0.2">
      <c r="A7" s="1">
        <v>3</v>
      </c>
      <c r="B7" s="58" t="s">
        <v>117</v>
      </c>
      <c r="C7" s="1">
        <f>SUM(0+0)</f>
        <v>0</v>
      </c>
      <c r="D7" s="25">
        <f>SUM(2+0)</f>
        <v>2</v>
      </c>
      <c r="E7" s="25"/>
      <c r="F7" s="25"/>
      <c r="G7" s="25"/>
      <c r="H7" s="1">
        <f t="shared" si="1"/>
        <v>0</v>
      </c>
      <c r="I7" s="1">
        <f t="shared" si="2"/>
        <v>2</v>
      </c>
      <c r="J7" s="28"/>
    </row>
    <row r="8" spans="1:27" s="72" customFormat="1" x14ac:dyDescent="0.2">
      <c r="A8" s="1">
        <v>4</v>
      </c>
      <c r="B8" s="58" t="s">
        <v>118</v>
      </c>
      <c r="C8" s="1">
        <f>SUM(0+2)</f>
        <v>2</v>
      </c>
      <c r="D8" s="25">
        <f t="shared" ref="D8" si="3">SUM(0+0)</f>
        <v>0</v>
      </c>
      <c r="E8" s="25"/>
      <c r="F8" s="25"/>
      <c r="G8" s="25"/>
      <c r="H8" s="1">
        <f t="shared" si="1"/>
        <v>0</v>
      </c>
      <c r="I8" s="1">
        <f t="shared" si="2"/>
        <v>0</v>
      </c>
      <c r="J8" s="28" t="s">
        <v>63</v>
      </c>
    </row>
    <row r="9" spans="1:27" ht="30" x14ac:dyDescent="0.2">
      <c r="A9" s="1">
        <v>5</v>
      </c>
      <c r="B9" s="12" t="s">
        <v>119</v>
      </c>
      <c r="C9" s="1">
        <f>SUM(5+0)</f>
        <v>5</v>
      </c>
      <c r="D9" s="25">
        <f>SUM(1+4+1)</f>
        <v>6</v>
      </c>
      <c r="E9" s="25"/>
      <c r="F9" s="25"/>
      <c r="G9" s="25"/>
      <c r="H9" s="1">
        <f t="shared" si="1"/>
        <v>0</v>
      </c>
      <c r="I9" s="1">
        <f t="shared" si="2"/>
        <v>6</v>
      </c>
      <c r="J9" s="32" t="s">
        <v>67</v>
      </c>
    </row>
    <row r="10" spans="1:27" s="72" customFormat="1" x14ac:dyDescent="0.2">
      <c r="A10" s="1">
        <v>6</v>
      </c>
      <c r="B10" s="58" t="s">
        <v>121</v>
      </c>
      <c r="C10" s="1">
        <f t="shared" ref="C10" si="4">SUM(0+0)</f>
        <v>0</v>
      </c>
      <c r="D10" s="25">
        <f>SUM(0+2)</f>
        <v>2</v>
      </c>
      <c r="E10" s="25"/>
      <c r="F10" s="25"/>
      <c r="G10" s="25"/>
      <c r="H10" s="1">
        <f t="shared" si="1"/>
        <v>0</v>
      </c>
      <c r="I10" s="1">
        <f t="shared" si="2"/>
        <v>2</v>
      </c>
      <c r="J10" s="40" t="s">
        <v>68</v>
      </c>
    </row>
    <row r="11" spans="1:27" s="72" customFormat="1" ht="31.5" x14ac:dyDescent="0.2">
      <c r="A11" s="1">
        <v>7</v>
      </c>
      <c r="B11" s="12" t="s">
        <v>120</v>
      </c>
      <c r="C11" s="1">
        <f>SUM(13+0)</f>
        <v>13</v>
      </c>
      <c r="D11" s="25">
        <f>SUM(12-2+1)</f>
        <v>11</v>
      </c>
      <c r="E11" s="25"/>
      <c r="F11" s="25"/>
      <c r="G11" s="25"/>
      <c r="H11" s="1">
        <f t="shared" ref="H11:H14" si="5">SUM(E11:G11)</f>
        <v>0</v>
      </c>
      <c r="I11" s="1">
        <f t="shared" ref="I11:I14" si="6">D11-H11</f>
        <v>11</v>
      </c>
      <c r="J11" s="109" t="s">
        <v>59</v>
      </c>
    </row>
    <row r="12" spans="1:27" x14ac:dyDescent="0.2">
      <c r="A12" s="1">
        <v>8</v>
      </c>
      <c r="B12" s="29" t="s">
        <v>122</v>
      </c>
      <c r="C12" s="25">
        <f>SUM(2+0)</f>
        <v>2</v>
      </c>
      <c r="D12" s="25">
        <f>SUM(2+0)</f>
        <v>2</v>
      </c>
      <c r="E12" s="25"/>
      <c r="F12" s="25"/>
      <c r="G12" s="25"/>
      <c r="H12" s="1">
        <f t="shared" si="5"/>
        <v>0</v>
      </c>
      <c r="I12" s="1">
        <f t="shared" si="6"/>
        <v>2</v>
      </c>
      <c r="J12" s="40" t="s">
        <v>66</v>
      </c>
    </row>
    <row r="13" spans="1:27" s="52" customFormat="1" ht="15.75" x14ac:dyDescent="0.25">
      <c r="A13" s="1">
        <v>9</v>
      </c>
      <c r="B13" s="37" t="s">
        <v>123</v>
      </c>
      <c r="C13" s="1">
        <f>SUM(0+1)</f>
        <v>1</v>
      </c>
      <c r="D13" s="25">
        <f>SUM(0+1)</f>
        <v>1</v>
      </c>
      <c r="E13" s="25"/>
      <c r="F13" s="25"/>
      <c r="G13" s="25"/>
      <c r="H13" s="1">
        <f t="shared" si="5"/>
        <v>0</v>
      </c>
      <c r="I13" s="1">
        <f t="shared" si="6"/>
        <v>1</v>
      </c>
      <c r="J13" s="41"/>
    </row>
    <row r="14" spans="1:27" s="72" customFormat="1" ht="15.75" x14ac:dyDescent="0.2">
      <c r="A14" s="1">
        <v>10</v>
      </c>
      <c r="B14" s="57" t="s">
        <v>124</v>
      </c>
      <c r="C14" s="25">
        <f>SUM(11+0)</f>
        <v>11</v>
      </c>
      <c r="D14" s="25">
        <f>SUM(9-2+0)</f>
        <v>7</v>
      </c>
      <c r="E14" s="25"/>
      <c r="F14" s="25"/>
      <c r="G14" s="25"/>
      <c r="H14" s="1">
        <f t="shared" si="5"/>
        <v>0</v>
      </c>
      <c r="I14" s="1">
        <f t="shared" si="6"/>
        <v>7</v>
      </c>
      <c r="J14" s="110" t="s">
        <v>64</v>
      </c>
    </row>
    <row r="15" spans="1:27" s="52" customFormat="1" ht="63" x14ac:dyDescent="0.25">
      <c r="A15" s="1">
        <v>11</v>
      </c>
      <c r="B15" s="35" t="s">
        <v>125</v>
      </c>
      <c r="C15" s="25">
        <f>SUM(13+0)</f>
        <v>13</v>
      </c>
      <c r="D15" s="128">
        <f>SUM(6-1+0)</f>
        <v>5</v>
      </c>
      <c r="E15" s="25"/>
      <c r="F15" s="25"/>
      <c r="G15" s="25"/>
      <c r="H15" s="1">
        <f t="shared" ref="H15:H21" si="7">SUM(E15:G15)</f>
        <v>0</v>
      </c>
      <c r="I15" s="125">
        <f t="shared" ref="I15:I21" si="8">D15-H15</f>
        <v>5</v>
      </c>
      <c r="J15" s="127" t="s">
        <v>90</v>
      </c>
    </row>
    <row r="16" spans="1:27" s="52" customFormat="1" ht="30" x14ac:dyDescent="0.25">
      <c r="A16" s="1">
        <v>12</v>
      </c>
      <c r="B16" s="35" t="s">
        <v>126</v>
      </c>
      <c r="C16" s="1">
        <v>1</v>
      </c>
      <c r="D16" s="25">
        <v>1</v>
      </c>
      <c r="E16" s="25"/>
      <c r="F16" s="25"/>
      <c r="G16" s="25"/>
      <c r="H16" s="1">
        <f t="shared" si="7"/>
        <v>0</v>
      </c>
      <c r="I16" s="1">
        <f t="shared" si="8"/>
        <v>1</v>
      </c>
      <c r="J16" s="35" t="s">
        <v>65</v>
      </c>
    </row>
    <row r="17" spans="1:10" s="52" customFormat="1" ht="15.75" x14ac:dyDescent="0.25">
      <c r="A17" s="1">
        <v>13</v>
      </c>
      <c r="B17" s="62" t="s">
        <v>127</v>
      </c>
      <c r="C17" s="25">
        <f>SUM(0+1)</f>
        <v>1</v>
      </c>
      <c r="D17" s="25">
        <f t="shared" ref="D17" si="9">SUM(0+0)</f>
        <v>0</v>
      </c>
      <c r="E17" s="25"/>
      <c r="F17" s="25"/>
      <c r="G17" s="25"/>
      <c r="H17" s="1">
        <f t="shared" si="7"/>
        <v>0</v>
      </c>
      <c r="I17" s="1">
        <f t="shared" si="8"/>
        <v>0</v>
      </c>
      <c r="J17" s="63"/>
    </row>
    <row r="18" spans="1:10" s="52" customFormat="1" ht="15.75" x14ac:dyDescent="0.25">
      <c r="A18" s="1">
        <v>14</v>
      </c>
      <c r="B18" s="62" t="s">
        <v>128</v>
      </c>
      <c r="C18" s="25">
        <f>SUM(0+2)</f>
        <v>2</v>
      </c>
      <c r="D18" s="25">
        <f>SUM(0+2)</f>
        <v>2</v>
      </c>
      <c r="E18" s="25"/>
      <c r="F18" s="25"/>
      <c r="G18" s="25"/>
      <c r="H18" s="1">
        <f t="shared" si="7"/>
        <v>0</v>
      </c>
      <c r="I18" s="1">
        <f t="shared" si="8"/>
        <v>2</v>
      </c>
      <c r="J18" s="49"/>
    </row>
    <row r="19" spans="1:10" s="52" customFormat="1" ht="15.75" x14ac:dyDescent="0.25">
      <c r="A19" s="1">
        <v>15</v>
      </c>
      <c r="B19" s="23" t="s">
        <v>129</v>
      </c>
      <c r="C19" s="25">
        <f>SUM(0+1)</f>
        <v>1</v>
      </c>
      <c r="D19" s="25">
        <f>SUM(0+1)</f>
        <v>1</v>
      </c>
      <c r="E19" s="25"/>
      <c r="F19" s="25"/>
      <c r="G19" s="25"/>
      <c r="H19" s="1">
        <f t="shared" si="7"/>
        <v>0</v>
      </c>
      <c r="I19" s="1">
        <f t="shared" si="8"/>
        <v>1</v>
      </c>
      <c r="J19" s="63"/>
    </row>
    <row r="20" spans="1:10" s="52" customFormat="1" ht="60.75" x14ac:dyDescent="0.25">
      <c r="A20" s="1">
        <v>16</v>
      </c>
      <c r="B20" s="68" t="s">
        <v>130</v>
      </c>
      <c r="C20" s="25">
        <f>SUM(4+0)</f>
        <v>4</v>
      </c>
      <c r="D20" s="25">
        <f>SUM(4+0)</f>
        <v>4</v>
      </c>
      <c r="E20" s="128">
        <v>1</v>
      </c>
      <c r="F20" s="128"/>
      <c r="G20" s="128"/>
      <c r="H20" s="125">
        <f t="shared" si="7"/>
        <v>1</v>
      </c>
      <c r="I20" s="125">
        <f t="shared" si="8"/>
        <v>3</v>
      </c>
      <c r="J20" s="73" t="s">
        <v>91</v>
      </c>
    </row>
    <row r="21" spans="1:10" s="52" customFormat="1" ht="60.75" x14ac:dyDescent="0.25">
      <c r="A21" s="1">
        <v>17</v>
      </c>
      <c r="B21" s="68" t="s">
        <v>131</v>
      </c>
      <c r="C21" s="25">
        <f>SUM(9+0)</f>
        <v>9</v>
      </c>
      <c r="D21" s="25">
        <f>SUM(9+0)</f>
        <v>9</v>
      </c>
      <c r="E21" s="128">
        <v>1</v>
      </c>
      <c r="F21" s="25"/>
      <c r="G21" s="25"/>
      <c r="H21" s="125">
        <f t="shared" si="7"/>
        <v>1</v>
      </c>
      <c r="I21" s="125">
        <f t="shared" si="8"/>
        <v>8</v>
      </c>
      <c r="J21" s="49" t="s">
        <v>92</v>
      </c>
    </row>
  </sheetData>
  <mergeCells count="2">
    <mergeCell ref="A1:J1"/>
    <mergeCell ref="E2:G2"/>
  </mergeCells>
  <pageMargins left="0.70866141732283472" right="0.31496062992125984" top="0.51181102362204722" bottom="0.23622047244094491" header="0.31496062992125984" footer="0.15748031496062992"/>
  <pageSetup paperSize="9" scale="67" fitToHeight="0" orientation="portrait" r:id="rId1"/>
  <headerFooter differentFirst="1">
    <oddHeader>&amp;C&amp;"Arial,Regular"&amp;12&amp;P</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147216"/>
    <pageSetUpPr fitToPage="1"/>
  </sheetPr>
  <dimension ref="A1:T6"/>
  <sheetViews>
    <sheetView view="pageBreakPreview" zoomScale="75" zoomScaleNormal="75" zoomScaleSheetLayoutView="75" workbookViewId="0">
      <pane ySplit="4" topLeftCell="A5" activePane="bottomLeft" state="frozen"/>
      <selection activeCell="G31" sqref="G31"/>
      <selection pane="bottomLeft" sqref="A1:XFD1"/>
    </sheetView>
  </sheetViews>
  <sheetFormatPr defaultColWidth="9.140625" defaultRowHeight="15.75" x14ac:dyDescent="0.25"/>
  <cols>
    <col min="1" max="1" width="5.140625" style="6" bestFit="1" customWidth="1"/>
    <col min="2" max="2" width="35.140625" style="5" bestFit="1" customWidth="1"/>
    <col min="3" max="3" width="8.140625" style="21" customWidth="1"/>
    <col min="4" max="4" width="8.5703125" style="21" customWidth="1"/>
    <col min="5" max="5" width="5.7109375" style="21" bestFit="1" customWidth="1"/>
    <col min="6" max="6" width="6.42578125" style="21" bestFit="1" customWidth="1"/>
    <col min="7" max="7" width="9.140625" style="21" bestFit="1" customWidth="1"/>
    <col min="8" max="8" width="5.7109375" style="21" bestFit="1" customWidth="1"/>
    <col min="9" max="9" width="4.85546875" style="21" bestFit="1" customWidth="1"/>
    <col min="10" max="10" width="4.42578125" style="21" bestFit="1" customWidth="1"/>
    <col min="11" max="11" width="4.7109375" style="21" bestFit="1" customWidth="1"/>
    <col min="12" max="12" width="6.28515625" style="21" bestFit="1" customWidth="1"/>
    <col min="13" max="13" width="7.42578125" style="21" customWidth="1"/>
    <col min="14" max="14" width="12.28515625" style="21" customWidth="1"/>
    <col min="15" max="15" width="6.28515625" style="4" bestFit="1" customWidth="1"/>
    <col min="16" max="16" width="8.85546875" style="5" bestFit="1" customWidth="1"/>
    <col min="17" max="17" width="8.7109375" style="5" bestFit="1" customWidth="1"/>
    <col min="18" max="19" width="10.5703125" style="5" bestFit="1" customWidth="1"/>
    <col min="20" max="20" width="29.42578125" style="5" customWidth="1"/>
    <col min="21" max="16384" width="9.140625" style="5"/>
  </cols>
  <sheetData>
    <row r="1" spans="1:20" x14ac:dyDescent="0.2">
      <c r="A1" s="142" t="s">
        <v>44</v>
      </c>
      <c r="B1" s="142"/>
      <c r="C1" s="142"/>
      <c r="D1" s="142"/>
      <c r="E1" s="142"/>
      <c r="F1" s="142"/>
      <c r="G1" s="142"/>
      <c r="H1" s="142"/>
      <c r="I1" s="142"/>
      <c r="J1" s="142"/>
      <c r="K1" s="142"/>
      <c r="L1" s="142"/>
      <c r="M1" s="142"/>
      <c r="N1" s="142"/>
      <c r="O1" s="142"/>
      <c r="P1" s="142"/>
      <c r="Q1" s="142"/>
      <c r="R1" s="142"/>
      <c r="S1" s="142"/>
      <c r="T1" s="142"/>
    </row>
    <row r="2" spans="1:20" x14ac:dyDescent="0.25">
      <c r="A2" s="21"/>
      <c r="B2" s="42"/>
      <c r="R2" s="143"/>
      <c r="S2" s="144"/>
      <c r="T2" s="144"/>
    </row>
    <row r="3" spans="1:20" s="43" customFormat="1" ht="15.75" customHeight="1" x14ac:dyDescent="0.25">
      <c r="A3" s="145" t="s">
        <v>0</v>
      </c>
      <c r="B3" s="146" t="s">
        <v>16</v>
      </c>
      <c r="C3" s="147" t="s">
        <v>17</v>
      </c>
      <c r="D3" s="148"/>
      <c r="E3" s="145" t="s">
        <v>31</v>
      </c>
      <c r="F3" s="145"/>
      <c r="G3" s="145"/>
      <c r="H3" s="145"/>
      <c r="I3" s="145"/>
      <c r="J3" s="145"/>
      <c r="K3" s="145"/>
      <c r="L3" s="145"/>
      <c r="M3" s="149" t="s">
        <v>18</v>
      </c>
      <c r="N3" s="149" t="s">
        <v>32</v>
      </c>
      <c r="O3" s="151" t="s">
        <v>33</v>
      </c>
      <c r="P3" s="146" t="s">
        <v>80</v>
      </c>
      <c r="Q3" s="146" t="s">
        <v>22</v>
      </c>
      <c r="R3" s="146" t="s">
        <v>23</v>
      </c>
      <c r="S3" s="146" t="s">
        <v>24</v>
      </c>
      <c r="T3" s="152" t="s">
        <v>47</v>
      </c>
    </row>
    <row r="4" spans="1:20" s="43" customFormat="1" ht="31.5" x14ac:dyDescent="0.25">
      <c r="A4" s="145"/>
      <c r="B4" s="146"/>
      <c r="C4" s="81" t="s">
        <v>25</v>
      </c>
      <c r="D4" s="81" t="s">
        <v>26</v>
      </c>
      <c r="E4" s="79" t="s">
        <v>15</v>
      </c>
      <c r="F4" s="79" t="s">
        <v>34</v>
      </c>
      <c r="G4" s="79" t="s">
        <v>27</v>
      </c>
      <c r="H4" s="79" t="s">
        <v>35</v>
      </c>
      <c r="I4" s="79" t="s">
        <v>36</v>
      </c>
      <c r="J4" s="79" t="s">
        <v>37</v>
      </c>
      <c r="K4" s="79" t="s">
        <v>38</v>
      </c>
      <c r="L4" s="79" t="s">
        <v>28</v>
      </c>
      <c r="M4" s="150"/>
      <c r="N4" s="150"/>
      <c r="O4" s="133"/>
      <c r="P4" s="146"/>
      <c r="Q4" s="146"/>
      <c r="R4" s="146"/>
      <c r="S4" s="146"/>
      <c r="T4" s="135"/>
    </row>
    <row r="5" spans="1:20" s="43" customFormat="1" x14ac:dyDescent="0.25">
      <c r="A5" s="79" t="s">
        <v>1</v>
      </c>
      <c r="B5" s="80" t="s">
        <v>2</v>
      </c>
      <c r="C5" s="79" t="s">
        <v>3</v>
      </c>
      <c r="D5" s="79" t="s">
        <v>4</v>
      </c>
      <c r="E5" s="79" t="s">
        <v>5</v>
      </c>
      <c r="F5" s="79" t="s">
        <v>6</v>
      </c>
      <c r="G5" s="79" t="s">
        <v>7</v>
      </c>
      <c r="H5" s="79" t="s">
        <v>8</v>
      </c>
      <c r="I5" s="79" t="s">
        <v>9</v>
      </c>
      <c r="J5" s="79" t="s">
        <v>10</v>
      </c>
      <c r="K5" s="79" t="s">
        <v>11</v>
      </c>
      <c r="L5" s="79" t="s">
        <v>12</v>
      </c>
      <c r="M5" s="79" t="s">
        <v>13</v>
      </c>
      <c r="N5" s="79" t="s">
        <v>29</v>
      </c>
      <c r="O5" s="79" t="s">
        <v>30</v>
      </c>
      <c r="P5" s="79" t="s">
        <v>39</v>
      </c>
      <c r="Q5" s="79" t="s">
        <v>40</v>
      </c>
      <c r="R5" s="79" t="s">
        <v>41</v>
      </c>
      <c r="S5" s="79" t="s">
        <v>42</v>
      </c>
      <c r="T5" s="79" t="s">
        <v>43</v>
      </c>
    </row>
    <row r="6" spans="1:20" ht="270" x14ac:dyDescent="0.2">
      <c r="A6" s="1">
        <v>12</v>
      </c>
      <c r="B6" s="12" t="s">
        <v>132</v>
      </c>
      <c r="C6" s="1">
        <v>32</v>
      </c>
      <c r="D6" s="1">
        <f>32-8</f>
        <v>24</v>
      </c>
      <c r="E6" s="1">
        <v>0</v>
      </c>
      <c r="F6" s="1">
        <v>0</v>
      </c>
      <c r="G6" s="1">
        <v>0</v>
      </c>
      <c r="H6" s="1">
        <v>2</v>
      </c>
      <c r="I6" s="15">
        <v>0</v>
      </c>
      <c r="J6" s="15">
        <v>0</v>
      </c>
      <c r="K6" s="15">
        <v>0</v>
      </c>
      <c r="L6" s="15">
        <v>0</v>
      </c>
      <c r="M6" s="1">
        <f>SUM(E6:L6)</f>
        <v>2</v>
      </c>
      <c r="N6" s="25">
        <v>0</v>
      </c>
      <c r="O6" s="26">
        <f>D6-M6-N6</f>
        <v>22</v>
      </c>
      <c r="P6" s="27">
        <f>M6/D6</f>
        <v>8.3333333333333329E-2</v>
      </c>
      <c r="Q6" s="27">
        <f>N6/D6</f>
        <v>0</v>
      </c>
      <c r="R6" s="27">
        <f>O6/D6</f>
        <v>0.91666666666666663</v>
      </c>
      <c r="S6" s="27">
        <f>O6/D6</f>
        <v>0.91666666666666663</v>
      </c>
      <c r="T6" s="40" t="s">
        <v>85</v>
      </c>
    </row>
  </sheetData>
  <mergeCells count="14">
    <mergeCell ref="A1:T1"/>
    <mergeCell ref="R2:T2"/>
    <mergeCell ref="A3:A4"/>
    <mergeCell ref="B3:B4"/>
    <mergeCell ref="C3:D3"/>
    <mergeCell ref="E3:L3"/>
    <mergeCell ref="M3:M4"/>
    <mergeCell ref="N3:N4"/>
    <mergeCell ref="O3:O4"/>
    <mergeCell ref="R3:R4"/>
    <mergeCell ref="S3:S4"/>
    <mergeCell ref="T3:T4"/>
    <mergeCell ref="P3:P4"/>
    <mergeCell ref="Q3:Q4"/>
  </mergeCells>
  <phoneticPr fontId="24" type="noConversion"/>
  <dataValidations count="2">
    <dataValidation type="whole" allowBlank="1" showInputMessage="1" showErrorMessage="1" sqref="C6:L6 N6" xr:uid="{00000000-0002-0000-0300-000001000000}">
      <formula1>0</formula1>
      <formula2>50000</formula2>
    </dataValidation>
    <dataValidation type="whole" allowBlank="1" showInputMessage="1" showErrorMessage="1" errorTitle="Value Between 0 to 200000" sqref="O6" xr:uid="{00000000-0002-0000-0300-000000000000}">
      <formula1>0</formula1>
      <formula2>200000</formula2>
    </dataValidation>
  </dataValidations>
  <pageMargins left="0.70866141732283472" right="0.31496062992125984" top="0.42" bottom="0.23622047244094491" header="0.31496062992125984" footer="0.15748031496062992"/>
  <pageSetup paperSize="9" scale="46" orientation="portrait" r:id="rId1"/>
  <headerFooter differentFirst="1">
    <oddHeader>&amp;C&amp;"Arial,Regular"&amp;12&amp;P</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147216"/>
    <pageSetUpPr fitToPage="1"/>
  </sheetPr>
  <dimension ref="A1:T13"/>
  <sheetViews>
    <sheetView view="pageBreakPreview" zoomScale="85" zoomScaleSheetLayoutView="85" workbookViewId="0">
      <pane ySplit="6" topLeftCell="A7" activePane="bottomLeft" state="frozen"/>
      <selection pane="bottomLeft" activeCell="B8" sqref="B8"/>
    </sheetView>
  </sheetViews>
  <sheetFormatPr defaultColWidth="9.140625" defaultRowHeight="15" x14ac:dyDescent="0.2"/>
  <cols>
    <col min="1" max="1" width="5.5703125" style="3" customWidth="1"/>
    <col min="2" max="2" width="37.28515625" style="14" customWidth="1"/>
    <col min="3" max="3" width="7.85546875" style="21" customWidth="1"/>
    <col min="4" max="4" width="7.28515625" style="21" customWidth="1"/>
    <col min="5" max="5" width="6.140625" style="21" customWidth="1"/>
    <col min="6" max="6" width="8.140625" style="21" customWidth="1"/>
    <col min="7" max="7" width="6.28515625" style="21" customWidth="1"/>
    <col min="8" max="8" width="13" style="21" customWidth="1"/>
    <col min="9" max="9" width="6.28515625" style="21" customWidth="1"/>
    <col min="10" max="10" width="7.85546875" style="21" customWidth="1"/>
    <col min="11" max="11" width="7.28515625" style="21" customWidth="1"/>
    <col min="12" max="12" width="7.140625" style="5" customWidth="1"/>
    <col min="13" max="13" width="8.5703125" style="5" customWidth="1"/>
    <col min="14" max="14" width="8.7109375" style="5" bestFit="1" customWidth="1"/>
    <col min="15" max="15" width="10.28515625" style="5" bestFit="1" customWidth="1"/>
    <col min="16" max="16" width="10.5703125" style="5" bestFit="1" customWidth="1"/>
    <col min="17" max="17" width="25" style="5" customWidth="1"/>
    <col min="18" max="16384" width="9.140625" style="5"/>
  </cols>
  <sheetData>
    <row r="1" spans="1:20" ht="15.75" x14ac:dyDescent="0.2">
      <c r="P1" s="53"/>
      <c r="Q1" s="119" t="s">
        <v>77</v>
      </c>
    </row>
    <row r="2" spans="1:20" ht="15.75" x14ac:dyDescent="0.2">
      <c r="A2" s="142" t="s">
        <v>45</v>
      </c>
      <c r="B2" s="142"/>
      <c r="C2" s="142"/>
      <c r="D2" s="142"/>
      <c r="E2" s="142"/>
      <c r="F2" s="142"/>
      <c r="G2" s="142"/>
      <c r="H2" s="142"/>
      <c r="I2" s="142"/>
      <c r="J2" s="142"/>
      <c r="K2" s="142"/>
      <c r="L2" s="142"/>
      <c r="M2" s="142"/>
      <c r="N2" s="142"/>
      <c r="O2" s="142"/>
      <c r="P2" s="142"/>
      <c r="Q2" s="142"/>
    </row>
    <row r="3" spans="1:20" ht="15.75" x14ac:dyDescent="0.2">
      <c r="A3" s="88"/>
      <c r="B3" s="88"/>
      <c r="C3" s="88"/>
      <c r="D3" s="88"/>
      <c r="E3" s="88"/>
      <c r="F3" s="88"/>
      <c r="G3" s="88"/>
      <c r="H3" s="88"/>
      <c r="I3" s="88"/>
      <c r="J3" s="88"/>
      <c r="K3" s="88"/>
      <c r="L3" s="88"/>
      <c r="M3" s="88"/>
      <c r="N3" s="88"/>
      <c r="O3" s="88"/>
      <c r="P3" s="88"/>
      <c r="Q3" s="88"/>
    </row>
    <row r="4" spans="1:20" s="43" customFormat="1" ht="15.75" customHeight="1" x14ac:dyDescent="0.25">
      <c r="A4" s="151" t="s">
        <v>0</v>
      </c>
      <c r="B4" s="152" t="s">
        <v>16</v>
      </c>
      <c r="C4" s="145" t="s">
        <v>17</v>
      </c>
      <c r="D4" s="145"/>
      <c r="E4" s="145" t="s">
        <v>31</v>
      </c>
      <c r="F4" s="145"/>
      <c r="G4" s="145"/>
      <c r="H4" s="145"/>
      <c r="I4" s="145"/>
      <c r="J4" s="152" t="s">
        <v>18</v>
      </c>
      <c r="K4" s="152" t="s">
        <v>19</v>
      </c>
      <c r="L4" s="152" t="s">
        <v>20</v>
      </c>
      <c r="M4" s="152" t="s">
        <v>21</v>
      </c>
      <c r="N4" s="152" t="s">
        <v>22</v>
      </c>
      <c r="O4" s="152" t="s">
        <v>23</v>
      </c>
      <c r="P4" s="152" t="s">
        <v>24</v>
      </c>
      <c r="Q4" s="152" t="s">
        <v>47</v>
      </c>
    </row>
    <row r="5" spans="1:20" s="43" customFormat="1" ht="63" x14ac:dyDescent="0.25">
      <c r="A5" s="133"/>
      <c r="B5" s="152"/>
      <c r="C5" s="80" t="s">
        <v>25</v>
      </c>
      <c r="D5" s="80" t="s">
        <v>26</v>
      </c>
      <c r="E5" s="69" t="s">
        <v>53</v>
      </c>
      <c r="F5" s="69" t="s">
        <v>34</v>
      </c>
      <c r="G5" s="50" t="s">
        <v>27</v>
      </c>
      <c r="H5" s="51" t="s">
        <v>52</v>
      </c>
      <c r="I5" s="50" t="s">
        <v>28</v>
      </c>
      <c r="J5" s="152"/>
      <c r="K5" s="152"/>
      <c r="L5" s="152"/>
      <c r="M5" s="152"/>
      <c r="N5" s="152"/>
      <c r="O5" s="152"/>
      <c r="P5" s="152"/>
      <c r="Q5" s="135"/>
      <c r="T5" s="43" t="s">
        <v>48</v>
      </c>
    </row>
    <row r="6" spans="1:20" s="6" customFormat="1" ht="18.75" customHeight="1" x14ac:dyDescent="0.2">
      <c r="A6" s="44" t="s">
        <v>1</v>
      </c>
      <c r="B6" s="33" t="s">
        <v>2</v>
      </c>
      <c r="C6" s="44" t="s">
        <v>3</v>
      </c>
      <c r="D6" s="44" t="s">
        <v>4</v>
      </c>
      <c r="E6" s="44" t="s">
        <v>5</v>
      </c>
      <c r="F6" s="44" t="s">
        <v>6</v>
      </c>
      <c r="G6" s="44" t="s">
        <v>7</v>
      </c>
      <c r="H6" s="44" t="s">
        <v>8</v>
      </c>
      <c r="I6" s="44" t="s">
        <v>9</v>
      </c>
      <c r="J6" s="44" t="s">
        <v>10</v>
      </c>
      <c r="K6" s="44" t="s">
        <v>11</v>
      </c>
      <c r="L6" s="44" t="s">
        <v>12</v>
      </c>
      <c r="M6" s="44" t="s">
        <v>13</v>
      </c>
      <c r="N6" s="44" t="s">
        <v>29</v>
      </c>
      <c r="O6" s="44" t="s">
        <v>30</v>
      </c>
      <c r="P6" s="44" t="s">
        <v>39</v>
      </c>
      <c r="Q6" s="44" t="s">
        <v>40</v>
      </c>
    </row>
    <row r="7" spans="1:20" s="2" customFormat="1" x14ac:dyDescent="0.25">
      <c r="A7" s="1">
        <v>1</v>
      </c>
      <c r="B7" s="23" t="s">
        <v>133</v>
      </c>
      <c r="C7" s="111">
        <f>SUM(51+0)</f>
        <v>51</v>
      </c>
      <c r="D7" s="111">
        <f>SUM(47-11+0)</f>
        <v>36</v>
      </c>
      <c r="E7" s="24">
        <v>0</v>
      </c>
      <c r="F7" s="24">
        <v>0</v>
      </c>
      <c r="G7" s="24">
        <v>0</v>
      </c>
      <c r="H7" s="24">
        <v>0</v>
      </c>
      <c r="I7" s="24">
        <v>0</v>
      </c>
      <c r="J7" s="24">
        <f>SUM(E7:I7)</f>
        <v>0</v>
      </c>
      <c r="K7" s="25">
        <v>0</v>
      </c>
      <c r="L7" s="26">
        <f>D7-J7-K7</f>
        <v>36</v>
      </c>
      <c r="M7" s="27">
        <f>J7/D7</f>
        <v>0</v>
      </c>
      <c r="N7" s="54">
        <f>K7/D7</f>
        <v>0</v>
      </c>
      <c r="O7" s="27">
        <f>L7/D7</f>
        <v>1</v>
      </c>
      <c r="P7" s="27">
        <f>L7/D7</f>
        <v>1</v>
      </c>
      <c r="Q7" s="74"/>
    </row>
    <row r="8" spans="1:20" s="2" customFormat="1" ht="120" x14ac:dyDescent="0.25">
      <c r="A8" s="1">
        <v>2</v>
      </c>
      <c r="B8" s="23" t="s">
        <v>138</v>
      </c>
      <c r="C8" s="24">
        <f>SUM(262+57)</f>
        <v>319</v>
      </c>
      <c r="D8" s="129">
        <f>SUM(263-44+66)</f>
        <v>285</v>
      </c>
      <c r="E8" s="24">
        <v>0</v>
      </c>
      <c r="F8" s="24">
        <v>0</v>
      </c>
      <c r="G8" s="24">
        <v>0</v>
      </c>
      <c r="H8" s="115">
        <v>1</v>
      </c>
      <c r="I8" s="115">
        <v>0</v>
      </c>
      <c r="J8" s="115">
        <f>SUM(E8:I8)</f>
        <v>1</v>
      </c>
      <c r="K8" s="16">
        <v>0</v>
      </c>
      <c r="L8" s="130">
        <f>D8-J8-K8</f>
        <v>284</v>
      </c>
      <c r="M8" s="116">
        <f>J8/D8</f>
        <v>3.5087719298245615E-3</v>
      </c>
      <c r="N8" s="117">
        <f>K8/D8</f>
        <v>0</v>
      </c>
      <c r="O8" s="116">
        <f>L8/D8</f>
        <v>0.99649122807017543</v>
      </c>
      <c r="P8" s="116">
        <f>L8/D8</f>
        <v>0.99649122807017543</v>
      </c>
      <c r="Q8" s="32" t="s">
        <v>93</v>
      </c>
    </row>
    <row r="9" spans="1:20" s="2" customFormat="1" ht="30" x14ac:dyDescent="0.25">
      <c r="A9" s="1">
        <v>3</v>
      </c>
      <c r="B9" s="23" t="s">
        <v>134</v>
      </c>
      <c r="C9" s="24">
        <f>SUM(308+40)</f>
        <v>348</v>
      </c>
      <c r="D9" s="24">
        <f>SUM(264-57+31)</f>
        <v>238</v>
      </c>
      <c r="E9" s="24">
        <v>0</v>
      </c>
      <c r="F9" s="24">
        <v>0</v>
      </c>
      <c r="G9" s="24">
        <v>0</v>
      </c>
      <c r="H9" s="24">
        <v>0</v>
      </c>
      <c r="I9" s="24">
        <v>0</v>
      </c>
      <c r="J9" s="24">
        <f>SUM(E9:I9)</f>
        <v>0</v>
      </c>
      <c r="K9" s="25">
        <v>0</v>
      </c>
      <c r="L9" s="26">
        <f>D9-J9-K9</f>
        <v>238</v>
      </c>
      <c r="M9" s="27">
        <f>J9/D9</f>
        <v>0</v>
      </c>
      <c r="N9" s="54">
        <f>K9/D9</f>
        <v>0</v>
      </c>
      <c r="O9" s="27">
        <f>L9/D9</f>
        <v>1</v>
      </c>
      <c r="P9" s="27">
        <f>L9/D9</f>
        <v>1</v>
      </c>
      <c r="Q9" s="32" t="s">
        <v>69</v>
      </c>
    </row>
    <row r="10" spans="1:20" ht="30" x14ac:dyDescent="0.2">
      <c r="A10" s="1">
        <v>4</v>
      </c>
      <c r="B10" s="23" t="s">
        <v>135</v>
      </c>
      <c r="C10" s="24">
        <f>SUM(49+1)</f>
        <v>50</v>
      </c>
      <c r="D10" s="24">
        <f>SUM(10-1+1)</f>
        <v>10</v>
      </c>
      <c r="E10" s="24">
        <v>0</v>
      </c>
      <c r="F10" s="24">
        <v>0</v>
      </c>
      <c r="G10" s="24">
        <v>0</v>
      </c>
      <c r="H10" s="24">
        <v>0</v>
      </c>
      <c r="I10" s="24">
        <v>0</v>
      </c>
      <c r="J10" s="24">
        <f>SUM(E10:I10)</f>
        <v>0</v>
      </c>
      <c r="K10" s="25">
        <v>0</v>
      </c>
      <c r="L10" s="26">
        <f>D10-J10-K10</f>
        <v>10</v>
      </c>
      <c r="M10" s="27">
        <f>J10/D10</f>
        <v>0</v>
      </c>
      <c r="N10" s="54">
        <f>K10/D10</f>
        <v>0</v>
      </c>
      <c r="O10" s="27">
        <f>L10/D10</f>
        <v>1</v>
      </c>
      <c r="P10" s="27">
        <f>L10/D10</f>
        <v>1</v>
      </c>
      <c r="Q10" s="32" t="s">
        <v>70</v>
      </c>
    </row>
    <row r="11" spans="1:20" s="2" customFormat="1" ht="75" x14ac:dyDescent="0.25">
      <c r="A11" s="1">
        <v>5</v>
      </c>
      <c r="B11" s="23" t="s">
        <v>136</v>
      </c>
      <c r="C11" s="24">
        <v>0</v>
      </c>
      <c r="D11" s="24">
        <f>SUM(35-9+0)</f>
        <v>26</v>
      </c>
      <c r="E11" s="24">
        <v>0</v>
      </c>
      <c r="F11" s="24">
        <v>0</v>
      </c>
      <c r="G11" s="24">
        <v>0</v>
      </c>
      <c r="H11" s="115">
        <v>1</v>
      </c>
      <c r="I11" s="115">
        <v>0</v>
      </c>
      <c r="J11" s="115">
        <f>SUM(E11:I11)</f>
        <v>1</v>
      </c>
      <c r="K11" s="16">
        <v>0</v>
      </c>
      <c r="L11" s="122">
        <f>D11-J11-K11</f>
        <v>25</v>
      </c>
      <c r="M11" s="116">
        <f>J11/D11</f>
        <v>3.8461538461538464E-2</v>
      </c>
      <c r="N11" s="117">
        <f>K11/D11</f>
        <v>0</v>
      </c>
      <c r="O11" s="116">
        <f>L11/D11</f>
        <v>0.96153846153846156</v>
      </c>
      <c r="P11" s="116">
        <f>L11/D11</f>
        <v>0.96153846153846156</v>
      </c>
      <c r="Q11" s="17" t="s">
        <v>81</v>
      </c>
    </row>
    <row r="12" spans="1:20" x14ac:dyDescent="0.2">
      <c r="N12" s="5" t="s">
        <v>48</v>
      </c>
    </row>
    <row r="13" spans="1:20" x14ac:dyDescent="0.2">
      <c r="M13" s="5" t="s">
        <v>48</v>
      </c>
    </row>
  </sheetData>
  <mergeCells count="13">
    <mergeCell ref="A2:Q2"/>
    <mergeCell ref="A4:A5"/>
    <mergeCell ref="B4:B5"/>
    <mergeCell ref="C4:D4"/>
    <mergeCell ref="E4:I4"/>
    <mergeCell ref="J4:J5"/>
    <mergeCell ref="K4:K5"/>
    <mergeCell ref="L4:L5"/>
    <mergeCell ref="O4:O5"/>
    <mergeCell ref="P4:P5"/>
    <mergeCell ref="Q4:Q5"/>
    <mergeCell ref="M4:M5"/>
    <mergeCell ref="N4:N5"/>
  </mergeCells>
  <phoneticPr fontId="24" type="noConversion"/>
  <dataValidations xWindow="214" yWindow="556" count="3">
    <dataValidation type="whole" allowBlank="1" showInputMessage="1" showErrorMessage="1" sqref="C7:I11" xr:uid="{00000000-0002-0000-0400-000000000000}">
      <formula1>0</formula1>
      <formula2>50000</formula2>
    </dataValidation>
    <dataValidation type="whole" allowBlank="1" showInputMessage="1" showErrorMessage="1" errorTitle="Value Between 0 to 200000" sqref="L7:L11" xr:uid="{00000000-0002-0000-0400-000002000000}">
      <formula1>0</formula1>
      <formula2>200000</formula2>
    </dataValidation>
    <dataValidation allowBlank="1" showInputMessage="1" showErrorMessage="1" promptTitle="FORMULA USED" prompt="Don't Ammend Here" sqref="B7:B11" xr:uid="{00000000-0002-0000-0400-000001000000}"/>
  </dataValidations>
  <pageMargins left="0.6692913385826772" right="0.23622047244094491" top="0.31496062992125984" bottom="0.15748031496062992" header="0.23622047244094491" footer="0.19685039370078741"/>
  <pageSetup paperSize="9" scale="51" fitToHeight="0" orientation="portrait" r:id="rId1"/>
  <headerFooter>
    <oddHeader>&amp;C&amp;"Arial,Regular"&amp;12&amp;P</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147216"/>
    <pageSetUpPr fitToPage="1"/>
  </sheetPr>
  <dimension ref="A1:P25"/>
  <sheetViews>
    <sheetView view="pageBreakPreview" zoomScale="85" zoomScaleNormal="70" zoomScaleSheetLayoutView="85" workbookViewId="0">
      <pane ySplit="2" topLeftCell="A3" activePane="bottomLeft" state="frozen"/>
      <selection pane="bottomLeft" activeCellId="1" sqref="A2:XFD2 A1:XFD1"/>
    </sheetView>
  </sheetViews>
  <sheetFormatPr defaultColWidth="9.140625" defaultRowHeight="15.75" x14ac:dyDescent="0.25"/>
  <cols>
    <col min="1" max="1" width="6.5703125" style="10" bestFit="1" customWidth="1"/>
    <col min="2" max="2" width="4.85546875" style="10" customWidth="1"/>
    <col min="3" max="3" width="42.7109375" style="10" customWidth="1"/>
    <col min="4" max="4" width="8.85546875" style="10" customWidth="1"/>
    <col min="5" max="5" width="7.28515625" style="10" customWidth="1"/>
    <col min="6" max="6" width="6" style="39" customWidth="1"/>
    <col min="7" max="7" width="15.140625" style="39" customWidth="1"/>
    <col min="8" max="8" width="6" style="39" customWidth="1"/>
    <col min="9" max="9" width="11" style="39" customWidth="1"/>
    <col min="10" max="10" width="7.28515625" style="39" customWidth="1"/>
    <col min="11" max="11" width="7.85546875" style="10" customWidth="1"/>
    <col min="12" max="12" width="11" style="10" customWidth="1"/>
    <col min="13" max="13" width="8.140625" style="10" customWidth="1"/>
    <col min="14" max="14" width="10.42578125" style="19" bestFit="1" customWidth="1"/>
    <col min="15" max="15" width="10.5703125" style="10" bestFit="1" customWidth="1"/>
    <col min="16" max="16" width="25.42578125" style="10" customWidth="1"/>
    <col min="17" max="16384" width="9.140625" style="10"/>
  </cols>
  <sheetData>
    <row r="1" spans="1:16" s="95" customFormat="1" ht="31.5" customHeight="1" x14ac:dyDescent="0.25">
      <c r="A1" s="79" t="s">
        <v>0</v>
      </c>
      <c r="B1" s="145" t="s">
        <v>16</v>
      </c>
      <c r="C1" s="145"/>
      <c r="D1" s="89" t="s">
        <v>17</v>
      </c>
      <c r="E1" s="90"/>
      <c r="F1" s="147" t="s">
        <v>46</v>
      </c>
      <c r="G1" s="159"/>
      <c r="H1" s="148"/>
      <c r="I1" s="149" t="s">
        <v>18</v>
      </c>
      <c r="J1" s="149" t="s">
        <v>19</v>
      </c>
      <c r="K1" s="149" t="s">
        <v>20</v>
      </c>
      <c r="L1" s="149" t="s">
        <v>21</v>
      </c>
      <c r="M1" s="149" t="s">
        <v>22</v>
      </c>
      <c r="N1" s="149" t="s">
        <v>23</v>
      </c>
      <c r="O1" s="149" t="s">
        <v>24</v>
      </c>
      <c r="P1" s="149" t="s">
        <v>47</v>
      </c>
    </row>
    <row r="2" spans="1:16" s="20" customFormat="1" ht="47.25" x14ac:dyDescent="0.25">
      <c r="A2" s="79"/>
      <c r="B2" s="96"/>
      <c r="C2" s="97"/>
      <c r="D2" s="81" t="s">
        <v>49</v>
      </c>
      <c r="E2" s="81" t="s">
        <v>26</v>
      </c>
      <c r="F2" s="50" t="s">
        <v>27</v>
      </c>
      <c r="G2" s="69" t="s">
        <v>72</v>
      </c>
      <c r="H2" s="50" t="s">
        <v>28</v>
      </c>
      <c r="I2" s="150"/>
      <c r="J2" s="150"/>
      <c r="K2" s="150"/>
      <c r="L2" s="150"/>
      <c r="M2" s="150"/>
      <c r="N2" s="150"/>
      <c r="O2" s="150"/>
      <c r="P2" s="150"/>
    </row>
    <row r="3" spans="1:16" s="45" customFormat="1" x14ac:dyDescent="0.25">
      <c r="A3" s="1" t="s">
        <v>1</v>
      </c>
      <c r="B3" s="46" t="s">
        <v>2</v>
      </c>
      <c r="C3" s="47"/>
      <c r="D3" s="1" t="s">
        <v>3</v>
      </c>
      <c r="E3" s="1" t="s">
        <v>4</v>
      </c>
      <c r="F3" s="3" t="s">
        <v>5</v>
      </c>
      <c r="G3" s="30" t="s">
        <v>6</v>
      </c>
      <c r="H3" s="1" t="s">
        <v>7</v>
      </c>
      <c r="I3" s="1" t="s">
        <v>8</v>
      </c>
      <c r="J3" s="1" t="s">
        <v>9</v>
      </c>
      <c r="K3" s="1" t="s">
        <v>10</v>
      </c>
      <c r="L3" s="1" t="s">
        <v>11</v>
      </c>
      <c r="M3" s="1" t="s">
        <v>12</v>
      </c>
      <c r="N3" s="1" t="s">
        <v>13</v>
      </c>
      <c r="O3" s="1" t="s">
        <v>29</v>
      </c>
      <c r="P3" s="1" t="s">
        <v>30</v>
      </c>
    </row>
    <row r="4" spans="1:16" ht="38.25" x14ac:dyDescent="0.25">
      <c r="A4" s="1">
        <v>1</v>
      </c>
      <c r="B4" s="157" t="s">
        <v>137</v>
      </c>
      <c r="C4" s="158"/>
      <c r="D4" s="24">
        <v>4</v>
      </c>
      <c r="E4" s="24">
        <f>SUM(6-1)</f>
        <v>5</v>
      </c>
      <c r="F4" s="24">
        <v>0</v>
      </c>
      <c r="G4" s="115">
        <v>5</v>
      </c>
      <c r="H4" s="115">
        <v>0</v>
      </c>
      <c r="I4" s="115">
        <f>SUM(F4:H4)</f>
        <v>5</v>
      </c>
      <c r="J4" s="15">
        <v>0</v>
      </c>
      <c r="K4" s="115">
        <f>E4-I4-J4</f>
        <v>0</v>
      </c>
      <c r="L4" s="116">
        <f>I4/E4</f>
        <v>1</v>
      </c>
      <c r="M4" s="116">
        <f>J4/E4</f>
        <v>0</v>
      </c>
      <c r="N4" s="116">
        <f>K4/E4</f>
        <v>0</v>
      </c>
      <c r="O4" s="116">
        <v>1</v>
      </c>
      <c r="P4" s="123" t="s">
        <v>82</v>
      </c>
    </row>
    <row r="5" spans="1:16" s="19" customFormat="1" ht="102" x14ac:dyDescent="0.25">
      <c r="A5" s="1">
        <v>2</v>
      </c>
      <c r="B5" s="157" t="s">
        <v>139</v>
      </c>
      <c r="C5" s="158"/>
      <c r="D5" s="24">
        <f>SUM(12+0)</f>
        <v>12</v>
      </c>
      <c r="E5" s="115">
        <f>SUM(9-2+8)</f>
        <v>15</v>
      </c>
      <c r="F5" s="129">
        <v>4</v>
      </c>
      <c r="G5" s="115">
        <v>2</v>
      </c>
      <c r="H5" s="115">
        <v>0</v>
      </c>
      <c r="I5" s="129">
        <f>SUM(F5:H5)</f>
        <v>6</v>
      </c>
      <c r="J5" s="15">
        <v>0</v>
      </c>
      <c r="K5" s="129">
        <f>E5-I5-J5</f>
        <v>9</v>
      </c>
      <c r="L5" s="131">
        <f>I5/E5</f>
        <v>0.4</v>
      </c>
      <c r="M5" s="116">
        <f>J5/E5</f>
        <v>0</v>
      </c>
      <c r="N5" s="131">
        <f>K5/E5</f>
        <v>0.6</v>
      </c>
      <c r="O5" s="131">
        <f>K5/E5</f>
        <v>0.6</v>
      </c>
      <c r="P5" s="123" t="s">
        <v>94</v>
      </c>
    </row>
    <row r="6" spans="1:16" x14ac:dyDescent="0.25">
      <c r="A6" s="1">
        <v>3</v>
      </c>
      <c r="B6" s="153" t="s">
        <v>140</v>
      </c>
      <c r="C6" s="154"/>
      <c r="D6" s="24">
        <v>0</v>
      </c>
      <c r="E6" s="24">
        <f>SUM(1+0)</f>
        <v>1</v>
      </c>
      <c r="F6" s="24">
        <v>0</v>
      </c>
      <c r="G6" s="24">
        <v>0</v>
      </c>
      <c r="H6" s="24">
        <v>0</v>
      </c>
      <c r="I6" s="24">
        <f>SUM(F6:H6)</f>
        <v>0</v>
      </c>
      <c r="J6" s="1">
        <v>0</v>
      </c>
      <c r="K6" s="24">
        <f>E6-I6-J6</f>
        <v>1</v>
      </c>
      <c r="L6" s="27">
        <f>I6/E6</f>
        <v>0</v>
      </c>
      <c r="M6" s="27">
        <f>J6/E6</f>
        <v>0</v>
      </c>
      <c r="N6" s="27">
        <f>K6/E6</f>
        <v>1</v>
      </c>
      <c r="O6" s="27">
        <v>1</v>
      </c>
      <c r="P6" s="75"/>
    </row>
    <row r="7" spans="1:16" x14ac:dyDescent="0.25">
      <c r="A7" s="1">
        <v>4</v>
      </c>
      <c r="B7" s="153" t="s">
        <v>141</v>
      </c>
      <c r="C7" s="154"/>
      <c r="D7" s="24">
        <v>0</v>
      </c>
      <c r="E7" s="24">
        <f>SUM(3-1)</f>
        <v>2</v>
      </c>
      <c r="F7" s="24">
        <v>0</v>
      </c>
      <c r="G7" s="24">
        <v>0</v>
      </c>
      <c r="H7" s="24">
        <v>0</v>
      </c>
      <c r="I7" s="24">
        <f>SUM(F7:H7)</f>
        <v>0</v>
      </c>
      <c r="J7" s="1">
        <v>0</v>
      </c>
      <c r="K7" s="24">
        <f>E7-I7-J7</f>
        <v>2</v>
      </c>
      <c r="L7" s="27">
        <f>I7/E7</f>
        <v>0</v>
      </c>
      <c r="M7" s="27">
        <f>J7/E7</f>
        <v>0</v>
      </c>
      <c r="N7" s="27">
        <f>K7/E7</f>
        <v>1</v>
      </c>
      <c r="O7" s="27">
        <v>1</v>
      </c>
      <c r="P7" s="112" t="s">
        <v>71</v>
      </c>
    </row>
    <row r="8" spans="1:16" x14ac:dyDescent="0.25">
      <c r="A8" s="1">
        <v>5</v>
      </c>
      <c r="B8" s="153" t="s">
        <v>142</v>
      </c>
      <c r="C8" s="154"/>
      <c r="D8" s="24">
        <f>SUM(2+0)</f>
        <v>2</v>
      </c>
      <c r="E8" s="24">
        <f>SUM(1+0)</f>
        <v>1</v>
      </c>
      <c r="F8" s="24">
        <v>0</v>
      </c>
      <c r="G8" s="24">
        <v>0</v>
      </c>
      <c r="H8" s="24">
        <v>0</v>
      </c>
      <c r="I8" s="24">
        <f>SUM(F8:H8)</f>
        <v>0</v>
      </c>
      <c r="J8" s="1">
        <v>0</v>
      </c>
      <c r="K8" s="24">
        <f>E8-I8-J8</f>
        <v>1</v>
      </c>
      <c r="L8" s="27">
        <f>I8/E8</f>
        <v>0</v>
      </c>
      <c r="M8" s="27">
        <f>J8/E8</f>
        <v>0</v>
      </c>
      <c r="N8" s="27">
        <f>K8/E8</f>
        <v>1</v>
      </c>
      <c r="O8" s="27">
        <v>1</v>
      </c>
      <c r="P8" s="23"/>
    </row>
    <row r="9" spans="1:16" x14ac:dyDescent="0.25">
      <c r="A9" s="1">
        <v>6</v>
      </c>
      <c r="B9" s="153" t="s">
        <v>143</v>
      </c>
      <c r="C9" s="154"/>
      <c r="D9" s="24">
        <v>4</v>
      </c>
      <c r="E9" s="24">
        <v>4</v>
      </c>
      <c r="F9" s="24"/>
      <c r="G9" s="24"/>
      <c r="H9" s="24"/>
      <c r="I9" s="24"/>
      <c r="J9" s="1"/>
      <c r="K9" s="24"/>
      <c r="L9" s="27"/>
      <c r="M9" s="27"/>
      <c r="N9" s="27"/>
      <c r="O9" s="27"/>
      <c r="P9" s="76"/>
    </row>
    <row r="10" spans="1:16" ht="38.25" x14ac:dyDescent="0.25">
      <c r="A10" s="1">
        <v>7</v>
      </c>
      <c r="B10" s="153" t="s">
        <v>144</v>
      </c>
      <c r="C10" s="154"/>
      <c r="D10" s="24">
        <f>SUM(95+2)</f>
        <v>97</v>
      </c>
      <c r="E10" s="24">
        <f>SUM(17+2)</f>
        <v>19</v>
      </c>
      <c r="F10" s="24">
        <v>0</v>
      </c>
      <c r="G10" s="24">
        <v>0</v>
      </c>
      <c r="H10" s="115">
        <v>0</v>
      </c>
      <c r="I10" s="115">
        <f>SUM(F10:H10)</f>
        <v>0</v>
      </c>
      <c r="J10" s="15">
        <v>0</v>
      </c>
      <c r="K10" s="115">
        <f>E10-I10-J10</f>
        <v>19</v>
      </c>
      <c r="L10" s="116">
        <f>I10/E10</f>
        <v>0</v>
      </c>
      <c r="M10" s="116">
        <f>J10/E10</f>
        <v>0</v>
      </c>
      <c r="N10" s="116">
        <f>K10/E10</f>
        <v>1</v>
      </c>
      <c r="O10" s="116">
        <v>1</v>
      </c>
      <c r="P10" s="126" t="s">
        <v>88</v>
      </c>
    </row>
    <row r="11" spans="1:16" x14ac:dyDescent="0.25">
      <c r="A11" s="1">
        <v>8</v>
      </c>
      <c r="B11" s="153" t="s">
        <v>145</v>
      </c>
      <c r="C11" s="154"/>
      <c r="D11" s="24">
        <f>SUM(7+0)</f>
        <v>7</v>
      </c>
      <c r="E11" s="24">
        <f>SUM(7+2)</f>
        <v>9</v>
      </c>
      <c r="F11" s="24">
        <v>0</v>
      </c>
      <c r="G11" s="24">
        <v>0</v>
      </c>
      <c r="H11" s="24">
        <v>0</v>
      </c>
      <c r="I11" s="24">
        <f>SUM(F11:H11)</f>
        <v>0</v>
      </c>
      <c r="J11" s="1">
        <v>0</v>
      </c>
      <c r="K11" s="24">
        <f>E11-I11-J11</f>
        <v>9</v>
      </c>
      <c r="L11" s="27">
        <f>I11/E11</f>
        <v>0</v>
      </c>
      <c r="M11" s="27">
        <f>J11/E11</f>
        <v>0</v>
      </c>
      <c r="N11" s="27">
        <f>K11/E11</f>
        <v>1</v>
      </c>
      <c r="O11" s="27">
        <v>1</v>
      </c>
      <c r="P11" s="113" t="s">
        <v>73</v>
      </c>
    </row>
    <row r="12" spans="1:16" ht="63.75" x14ac:dyDescent="0.25">
      <c r="A12" s="1">
        <v>9</v>
      </c>
      <c r="B12" s="153" t="s">
        <v>146</v>
      </c>
      <c r="C12" s="154"/>
      <c r="D12" s="24">
        <f>SUM(35+10+2)</f>
        <v>47</v>
      </c>
      <c r="E12" s="24">
        <f>SUM(30+10-12+2)</f>
        <v>30</v>
      </c>
      <c r="F12" s="24">
        <v>0</v>
      </c>
      <c r="G12" s="115">
        <v>0</v>
      </c>
      <c r="H12" s="115">
        <v>0</v>
      </c>
      <c r="I12" s="115">
        <v>0</v>
      </c>
      <c r="J12" s="15">
        <v>0</v>
      </c>
      <c r="K12" s="115">
        <f>E12-I12-J12</f>
        <v>30</v>
      </c>
      <c r="L12" s="116">
        <f>I12/E12</f>
        <v>0</v>
      </c>
      <c r="M12" s="116">
        <f>J12/E12</f>
        <v>0</v>
      </c>
      <c r="N12" s="116">
        <f>K12/E12</f>
        <v>1</v>
      </c>
      <c r="O12" s="116">
        <v>1</v>
      </c>
      <c r="P12" s="120" t="s">
        <v>89</v>
      </c>
    </row>
    <row r="13" spans="1:16" x14ac:dyDescent="0.25">
      <c r="A13" s="1">
        <v>10</v>
      </c>
      <c r="B13" s="153" t="s">
        <v>147</v>
      </c>
      <c r="C13" s="154"/>
      <c r="D13" s="24">
        <f>SUM(0+5)</f>
        <v>5</v>
      </c>
      <c r="E13" s="24">
        <f>SUM(0+5)</f>
        <v>5</v>
      </c>
      <c r="F13" s="24">
        <v>0</v>
      </c>
      <c r="G13" s="24">
        <v>0</v>
      </c>
      <c r="H13" s="24">
        <v>0</v>
      </c>
      <c r="I13" s="24">
        <f>SUM(F13:H13)</f>
        <v>0</v>
      </c>
      <c r="J13" s="1">
        <v>0</v>
      </c>
      <c r="K13" s="24">
        <f>E13-I13-J13</f>
        <v>5</v>
      </c>
      <c r="L13" s="27">
        <f>I13/E13</f>
        <v>0</v>
      </c>
      <c r="M13" s="27">
        <f>J13/E13</f>
        <v>0</v>
      </c>
      <c r="N13" s="27">
        <f>K13/E13</f>
        <v>1</v>
      </c>
      <c r="O13" s="27">
        <v>1</v>
      </c>
      <c r="P13" s="75"/>
    </row>
    <row r="14" spans="1:16" x14ac:dyDescent="0.25">
      <c r="A14" s="1">
        <v>11</v>
      </c>
      <c r="B14" s="153" t="s">
        <v>148</v>
      </c>
      <c r="C14" s="154"/>
      <c r="D14" s="24">
        <f>SUM(2+0)</f>
        <v>2</v>
      </c>
      <c r="E14" s="24">
        <f>SUM(5+0)</f>
        <v>5</v>
      </c>
      <c r="F14" s="24">
        <v>0</v>
      </c>
      <c r="G14" s="24">
        <v>0</v>
      </c>
      <c r="H14" s="24">
        <v>0</v>
      </c>
      <c r="I14" s="24">
        <f>SUM(F14:H14)</f>
        <v>0</v>
      </c>
      <c r="J14" s="1">
        <v>0</v>
      </c>
      <c r="K14" s="24">
        <f>E14-I14-J14</f>
        <v>5</v>
      </c>
      <c r="L14" s="27">
        <f>I14/E14</f>
        <v>0</v>
      </c>
      <c r="M14" s="27">
        <f>J14/E14</f>
        <v>0</v>
      </c>
      <c r="N14" s="27">
        <f>K14/E14</f>
        <v>1</v>
      </c>
      <c r="O14" s="27">
        <v>1</v>
      </c>
      <c r="P14" s="65"/>
    </row>
    <row r="15" spans="1:16" x14ac:dyDescent="0.25">
      <c r="A15" s="1">
        <v>12</v>
      </c>
      <c r="B15" s="153" t="s">
        <v>149</v>
      </c>
      <c r="C15" s="154"/>
      <c r="D15" s="24">
        <v>0</v>
      </c>
      <c r="E15" s="24">
        <v>0</v>
      </c>
      <c r="F15" s="24"/>
      <c r="G15" s="24"/>
      <c r="H15" s="24"/>
      <c r="I15" s="24"/>
      <c r="J15" s="24"/>
      <c r="K15" s="24"/>
      <c r="L15" s="27"/>
      <c r="M15" s="27"/>
      <c r="N15" s="27"/>
      <c r="O15" s="27"/>
      <c r="P15" s="65"/>
    </row>
    <row r="16" spans="1:16" x14ac:dyDescent="0.25">
      <c r="A16" s="1">
        <v>13</v>
      </c>
      <c r="B16" s="153" t="s">
        <v>150</v>
      </c>
      <c r="C16" s="154"/>
      <c r="D16" s="24">
        <v>0</v>
      </c>
      <c r="E16" s="24">
        <v>0</v>
      </c>
      <c r="F16" s="24"/>
      <c r="G16" s="24"/>
      <c r="H16" s="24"/>
      <c r="I16" s="24"/>
      <c r="J16" s="24"/>
      <c r="K16" s="24"/>
      <c r="L16" s="27"/>
      <c r="M16" s="27"/>
      <c r="N16" s="27"/>
      <c r="O16" s="27"/>
      <c r="P16" s="65"/>
    </row>
    <row r="17" spans="1:16" x14ac:dyDescent="0.25">
      <c r="A17" s="1">
        <v>14</v>
      </c>
      <c r="B17" s="153" t="s">
        <v>151</v>
      </c>
      <c r="C17" s="154"/>
      <c r="D17" s="24">
        <v>0</v>
      </c>
      <c r="E17" s="24">
        <v>0</v>
      </c>
      <c r="F17" s="24"/>
      <c r="G17" s="24"/>
      <c r="H17" s="24"/>
      <c r="I17" s="24"/>
      <c r="J17" s="24"/>
      <c r="K17" s="24"/>
      <c r="L17" s="27"/>
      <c r="M17" s="27"/>
      <c r="N17" s="27"/>
      <c r="O17" s="27"/>
      <c r="P17" s="65"/>
    </row>
    <row r="18" spans="1:16" x14ac:dyDescent="0.25">
      <c r="A18" s="1">
        <v>15</v>
      </c>
      <c r="B18" s="153" t="s">
        <v>152</v>
      </c>
      <c r="C18" s="154"/>
      <c r="D18" s="24">
        <v>0</v>
      </c>
      <c r="E18" s="24">
        <v>0</v>
      </c>
      <c r="F18" s="24"/>
      <c r="G18" s="24"/>
      <c r="H18" s="24"/>
      <c r="I18" s="24"/>
      <c r="J18" s="24"/>
      <c r="K18" s="24"/>
      <c r="L18" s="27"/>
      <c r="M18" s="27"/>
      <c r="N18" s="27"/>
      <c r="O18" s="27"/>
      <c r="P18" s="77"/>
    </row>
    <row r="19" spans="1:16" x14ac:dyDescent="0.25">
      <c r="A19" s="1">
        <v>16</v>
      </c>
      <c r="B19" s="153" t="s">
        <v>153</v>
      </c>
      <c r="C19" s="154"/>
      <c r="D19" s="24">
        <v>0</v>
      </c>
      <c r="E19" s="24">
        <v>0</v>
      </c>
      <c r="F19" s="24"/>
      <c r="G19" s="24"/>
      <c r="H19" s="24"/>
      <c r="I19" s="24"/>
      <c r="J19" s="38"/>
      <c r="K19" s="24"/>
      <c r="L19" s="27"/>
      <c r="M19" s="27"/>
      <c r="N19" s="27"/>
      <c r="O19" s="27"/>
      <c r="P19" s="34"/>
    </row>
    <row r="20" spans="1:16" x14ac:dyDescent="0.25">
      <c r="A20" s="1">
        <v>17</v>
      </c>
      <c r="B20" s="153" t="s">
        <v>154</v>
      </c>
      <c r="C20" s="154"/>
      <c r="D20" s="24">
        <v>0</v>
      </c>
      <c r="E20" s="24">
        <v>0</v>
      </c>
      <c r="F20" s="24"/>
      <c r="G20" s="24"/>
      <c r="H20" s="24"/>
      <c r="I20" s="24"/>
      <c r="J20" s="38"/>
      <c r="K20" s="24"/>
      <c r="L20" s="27"/>
      <c r="M20" s="27"/>
      <c r="N20" s="27"/>
      <c r="O20" s="27"/>
      <c r="P20" s="64"/>
    </row>
    <row r="21" spans="1:16" ht="25.5" x14ac:dyDescent="0.25">
      <c r="A21" s="1">
        <v>18</v>
      </c>
      <c r="B21" s="153" t="s">
        <v>155</v>
      </c>
      <c r="C21" s="154"/>
      <c r="D21" s="24">
        <f>SUM(32+0)</f>
        <v>32</v>
      </c>
      <c r="E21" s="24">
        <f>(32-8+0)</f>
        <v>24</v>
      </c>
      <c r="F21" s="24">
        <v>0</v>
      </c>
      <c r="G21" s="24">
        <v>0</v>
      </c>
      <c r="H21" s="24">
        <v>0</v>
      </c>
      <c r="I21" s="24">
        <f>SUM(F21:H21)</f>
        <v>0</v>
      </c>
      <c r="J21" s="1">
        <v>0</v>
      </c>
      <c r="K21" s="24">
        <f>E21-I21-J21</f>
        <v>24</v>
      </c>
      <c r="L21" s="27">
        <f>I21/E21</f>
        <v>0</v>
      </c>
      <c r="M21" s="27">
        <f>J21/E21</f>
        <v>0</v>
      </c>
      <c r="N21" s="27">
        <f>K21/E21</f>
        <v>1</v>
      </c>
      <c r="O21" s="27">
        <v>1</v>
      </c>
      <c r="P21" s="114" t="s">
        <v>74</v>
      </c>
    </row>
    <row r="22" spans="1:16" s="3" customFormat="1" ht="38.25" x14ac:dyDescent="0.25">
      <c r="A22" s="1">
        <v>19</v>
      </c>
      <c r="B22" s="153" t="s">
        <v>156</v>
      </c>
      <c r="C22" s="154"/>
      <c r="D22" s="24">
        <f>SUM(32+0)</f>
        <v>32</v>
      </c>
      <c r="E22" s="24">
        <f>(32-8+0)</f>
        <v>24</v>
      </c>
      <c r="F22" s="24">
        <v>0</v>
      </c>
      <c r="G22" s="24">
        <v>0</v>
      </c>
      <c r="H22" s="24">
        <v>0</v>
      </c>
      <c r="I22" s="24">
        <f>SUM(F22:H22)</f>
        <v>0</v>
      </c>
      <c r="J22" s="1">
        <v>0</v>
      </c>
      <c r="K22" s="24">
        <f>E22-I22-J22</f>
        <v>24</v>
      </c>
      <c r="L22" s="27">
        <f>I22/E22</f>
        <v>0</v>
      </c>
      <c r="M22" s="27">
        <f>J22/E22</f>
        <v>0</v>
      </c>
      <c r="N22" s="27">
        <f>K22/E22</f>
        <v>1</v>
      </c>
      <c r="O22" s="27">
        <v>1</v>
      </c>
      <c r="P22" s="114" t="s">
        <v>78</v>
      </c>
    </row>
    <row r="23" spans="1:16" x14ac:dyDescent="0.25">
      <c r="A23" s="1">
        <v>20</v>
      </c>
      <c r="B23" s="153" t="s">
        <v>157</v>
      </c>
      <c r="C23" s="154"/>
      <c r="D23" s="24">
        <f>SUM(2+0)</f>
        <v>2</v>
      </c>
      <c r="E23" s="24">
        <f>SUM(1+0)</f>
        <v>1</v>
      </c>
      <c r="F23" s="24">
        <v>0</v>
      </c>
      <c r="G23" s="24">
        <v>0</v>
      </c>
      <c r="H23" s="24">
        <v>0</v>
      </c>
      <c r="I23" s="24">
        <f>SUM(F23:H23)</f>
        <v>0</v>
      </c>
      <c r="J23" s="1">
        <v>0</v>
      </c>
      <c r="K23" s="24">
        <f>E23-I23-J23</f>
        <v>1</v>
      </c>
      <c r="L23" s="27">
        <f>I23/E23</f>
        <v>0</v>
      </c>
      <c r="M23" s="27">
        <f>J23/E23</f>
        <v>0</v>
      </c>
      <c r="N23" s="27">
        <f>K23/E23</f>
        <v>1</v>
      </c>
      <c r="O23" s="27">
        <v>1</v>
      </c>
      <c r="P23" s="78"/>
    </row>
    <row r="24" spans="1:16" x14ac:dyDescent="0.25">
      <c r="A24" s="1">
        <v>21</v>
      </c>
      <c r="B24" s="155" t="s">
        <v>158</v>
      </c>
      <c r="C24" s="156"/>
      <c r="D24" s="25">
        <f>SUM(13+0)</f>
        <v>13</v>
      </c>
      <c r="E24" s="24">
        <f>SUM(13+0)</f>
        <v>13</v>
      </c>
      <c r="F24" s="24">
        <v>0</v>
      </c>
      <c r="G24" s="24">
        <v>0</v>
      </c>
      <c r="H24" s="24">
        <v>0</v>
      </c>
      <c r="I24" s="24">
        <f>SUM(F24:H24)</f>
        <v>0</v>
      </c>
      <c r="J24" s="1">
        <v>0</v>
      </c>
      <c r="K24" s="24">
        <f>E24-I24-J24</f>
        <v>13</v>
      </c>
      <c r="L24" s="27">
        <f>I24/E24</f>
        <v>0</v>
      </c>
      <c r="M24" s="27">
        <f>J24/E24</f>
        <v>0</v>
      </c>
      <c r="N24" s="27">
        <f>K24/E24</f>
        <v>1</v>
      </c>
      <c r="O24" s="27">
        <v>1</v>
      </c>
      <c r="P24" s="66"/>
    </row>
    <row r="25" spans="1:16" x14ac:dyDescent="0.25">
      <c r="C25" s="22"/>
    </row>
  </sheetData>
  <mergeCells count="31">
    <mergeCell ref="P1:P2"/>
    <mergeCell ref="I1:I2"/>
    <mergeCell ref="J1:J2"/>
    <mergeCell ref="L1:L2"/>
    <mergeCell ref="M1:M2"/>
    <mergeCell ref="N1:N2"/>
    <mergeCell ref="O1:O2"/>
    <mergeCell ref="B5:C5"/>
    <mergeCell ref="B4:C4"/>
    <mergeCell ref="F1:H1"/>
    <mergeCell ref="K1:K2"/>
    <mergeCell ref="B1:C1"/>
    <mergeCell ref="B6:C6"/>
    <mergeCell ref="B9:C9"/>
    <mergeCell ref="B10:C10"/>
    <mergeCell ref="B7:C7"/>
    <mergeCell ref="B8:C8"/>
    <mergeCell ref="B11:C11"/>
    <mergeCell ref="B12:C12"/>
    <mergeCell ref="B13:C13"/>
    <mergeCell ref="B14:C14"/>
    <mergeCell ref="B15:C15"/>
    <mergeCell ref="B23:C23"/>
    <mergeCell ref="B24:C24"/>
    <mergeCell ref="B21:C21"/>
    <mergeCell ref="B22:C22"/>
    <mergeCell ref="B16:C16"/>
    <mergeCell ref="B17:C17"/>
    <mergeCell ref="B18:C18"/>
    <mergeCell ref="B19:C19"/>
    <mergeCell ref="B20:C20"/>
  </mergeCells>
  <phoneticPr fontId="24" type="noConversion"/>
  <dataValidations count="1">
    <dataValidation type="whole" allowBlank="1" showInputMessage="1" showErrorMessage="1" sqref="J15:J18 I15:I20 I21:J24 E24 D4:K7 F8:J10 I11:J14 D8:E23 F11:H24 K8:K24" xr:uid="{00000000-0002-0000-0600-000000000000}">
      <formula1>0</formula1>
      <formula2>50000</formula2>
    </dataValidation>
  </dataValidations>
  <pageMargins left="0.78740157480314965" right="0.23622047244094491" top="0.56999999999999995" bottom="0.23622047244094491" header="0.31496062992125984" footer="0.15748031496062992"/>
  <pageSetup paperSize="9" scale="48" fitToHeight="0" orientation="portrait" r:id="rId1"/>
  <headerFooter differentFirst="1">
    <oddHeader>&amp;C&amp;"Arial,Regular"&amp;12&amp;P</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9</vt:i4>
      </vt:variant>
    </vt:vector>
  </HeadingPairs>
  <TitlesOfParts>
    <vt:vector size="14" baseType="lpstr">
      <vt:lpstr>Appx A (B veh)</vt:lpstr>
      <vt:lpstr>Appx A (C veh),</vt:lpstr>
      <vt:lpstr>Appx B</vt:lpstr>
      <vt:lpstr>Appx C</vt:lpstr>
      <vt:lpstr>Appx E</vt:lpstr>
      <vt:lpstr>'Appx A (B veh)'!Print_Area</vt:lpstr>
      <vt:lpstr>'Appx A (C veh),'!Print_Area</vt:lpstr>
      <vt:lpstr>'Appx B'!Print_Area</vt:lpstr>
      <vt:lpstr>'Appx C'!Print_Area</vt:lpstr>
      <vt:lpstr>'Appx E'!Print_Area</vt:lpstr>
      <vt:lpstr>'Appx A (B veh)'!Print_Titles</vt:lpstr>
      <vt:lpstr>'Appx A (C veh),'!Print_Titles</vt:lpstr>
      <vt:lpstr>'Appx C'!Print_Titles</vt:lpstr>
      <vt:lpstr>'Appx E'!Print_Titles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2026-03-03T18:11:38Z</dcterms:modified>
</cp:coreProperties>
</file>