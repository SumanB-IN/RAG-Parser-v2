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AG-Parser-v2\FRS_filtered\Dec\Fmn D Dec\"/>
    </mc:Choice>
  </mc:AlternateContent>
  <xr:revisionPtr revIDLastSave="0" documentId="13_ncr:1_{235BDA51-4F8E-4DBE-A738-9743FFD6A1F7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A Vehicle" sheetId="10" r:id="rId1"/>
    <sheet name="B Vehicle" sheetId="11" r:id="rId2"/>
    <sheet name="C Vehicle" sheetId="12" r:id="rId3"/>
    <sheet name="ARMT" sheetId="14" r:id="rId4"/>
    <sheet name="SA" sheetId="17" r:id="rId5"/>
    <sheet name="INSTS" sheetId="18" r:id="rId6"/>
    <sheet name="CBRN" sheetId="16" r:id="rId7"/>
  </sheets>
  <externalReferences>
    <externalReference r:id="rId8"/>
    <externalReference r:id="rId9"/>
    <externalReference r:id="rId10"/>
  </externalReferences>
  <definedNames>
    <definedName name="_xlnm._FilterDatabase" localSheetId="3" hidden="1">ARMT!$A$6:$T$27</definedName>
    <definedName name="_xlnm._FilterDatabase" localSheetId="1" hidden="1">'B Vehicle'!$A$4:$AL$139</definedName>
    <definedName name="_xlnm._FilterDatabase" localSheetId="2" hidden="1">'C Vehicle'!$A$3:$AA$236</definedName>
    <definedName name="ASD">'[1]FRS Units held amdt'!#REF!</definedName>
    <definedName name="Bot_rece_3man_2A">'[2]FRS Units held amdt'!#REF!</definedName>
    <definedName name="Engr_Eqpt_List_1">'[3]Engr eqpt'!$B$5:$B$72</definedName>
    <definedName name="_xlnm.Print_Area" localSheetId="0">'A Vehicle'!$A$1:$V$32</definedName>
    <definedName name="_xlnm.Print_Area" localSheetId="3">ARMT!$A$1:$T$26</definedName>
    <definedName name="_xlnm.Print_Area" localSheetId="1">'B Vehicle'!$A$1:$J$139</definedName>
    <definedName name="_xlnm.Print_Area" localSheetId="2">'C Vehicle'!$A$1:$J$236</definedName>
    <definedName name="_xlnm.Print_Area" localSheetId="4">SA!$A$1:$Q$73</definedName>
    <definedName name="_xlnm.Print_Titles" localSheetId="0">'A Vehicle'!$4:$5</definedName>
    <definedName name="Sample_format">'[2]FRS Units held amdt'!#REF!</definedName>
    <definedName name="Unit_List_606">'[3]Dependent User Unit'!$C$6:$C$35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0" l="1"/>
  <c r="Q19" i="10" s="1"/>
  <c r="O27" i="10"/>
  <c r="R27" i="10" s="1"/>
  <c r="N27" i="10"/>
  <c r="Q27" i="10" s="1"/>
  <c r="O26" i="10"/>
  <c r="R26" i="10" s="1"/>
  <c r="N26" i="10"/>
  <c r="Q26" i="10" s="1"/>
  <c r="O25" i="10"/>
  <c r="R25" i="10" s="1"/>
  <c r="N25" i="10"/>
  <c r="Q25" i="10" s="1"/>
  <c r="O24" i="10"/>
  <c r="R24" i="10" s="1"/>
  <c r="N24" i="10"/>
  <c r="Q24" i="10" s="1"/>
  <c r="O23" i="10"/>
  <c r="R23" i="10" s="1"/>
  <c r="N23" i="10"/>
  <c r="Q23" i="10" s="1"/>
  <c r="O22" i="10"/>
  <c r="R22" i="10" s="1"/>
  <c r="N22" i="10"/>
  <c r="Q22" i="10" s="1"/>
  <c r="O21" i="10"/>
  <c r="R21" i="10" s="1"/>
  <c r="N21" i="10"/>
  <c r="Q21" i="10" s="1"/>
  <c r="O20" i="10"/>
  <c r="R20" i="10" s="1"/>
  <c r="T20" i="10" s="1"/>
  <c r="N20" i="10"/>
  <c r="P20" i="10" s="1"/>
  <c r="S20" i="10" s="1"/>
  <c r="O19" i="10"/>
  <c r="R19" i="10" s="1"/>
  <c r="O18" i="10"/>
  <c r="R18" i="10" s="1"/>
  <c r="N18" i="10"/>
  <c r="Q18" i="10" s="1"/>
  <c r="R17" i="10"/>
  <c r="Q17" i="10"/>
  <c r="O17" i="10"/>
  <c r="N17" i="10"/>
  <c r="R16" i="10"/>
  <c r="Q16" i="10"/>
  <c r="P16" i="10"/>
  <c r="S16" i="10" s="1"/>
  <c r="Q15" i="10"/>
  <c r="O15" i="10"/>
  <c r="R15" i="10" s="1"/>
  <c r="N15" i="10"/>
  <c r="T14" i="10"/>
  <c r="O14" i="10"/>
  <c r="N14" i="10"/>
  <c r="T13" i="10"/>
  <c r="O13" i="10"/>
  <c r="N13" i="10"/>
  <c r="O12" i="10"/>
  <c r="R12" i="10" s="1"/>
  <c r="N12" i="10"/>
  <c r="O11" i="10"/>
  <c r="R11" i="10" s="1"/>
  <c r="N11" i="10"/>
  <c r="Q11" i="10" s="1"/>
  <c r="O10" i="10"/>
  <c r="R10" i="10" s="1"/>
  <c r="N10" i="10"/>
  <c r="Q10" i="10" s="1"/>
  <c r="R9" i="10"/>
  <c r="Q9" i="10"/>
  <c r="O9" i="10"/>
  <c r="N9" i="10"/>
  <c r="O8" i="10"/>
  <c r="R8" i="10" s="1"/>
  <c r="N8" i="10"/>
  <c r="Q8" i="10" s="1"/>
  <c r="O7" i="10"/>
  <c r="R7" i="10" s="1"/>
  <c r="N7" i="10"/>
  <c r="Q7" i="10" s="1"/>
  <c r="M170" i="18"/>
  <c r="I170" i="18"/>
  <c r="L170" i="18" s="1"/>
  <c r="M169" i="18"/>
  <c r="I169" i="18"/>
  <c r="L169" i="18" s="1"/>
  <c r="M168" i="18"/>
  <c r="I168" i="18"/>
  <c r="L168" i="18" s="1"/>
  <c r="M167" i="18"/>
  <c r="I167" i="18"/>
  <c r="M166" i="18"/>
  <c r="I166" i="18"/>
  <c r="L166" i="18" s="1"/>
  <c r="M165" i="18"/>
  <c r="L165" i="18"/>
  <c r="K165" i="18"/>
  <c r="N165" i="18" s="1"/>
  <c r="I165" i="18"/>
  <c r="M164" i="18"/>
  <c r="L164" i="18"/>
  <c r="I164" i="18"/>
  <c r="K164" i="18" s="1"/>
  <c r="N164" i="18" s="1"/>
  <c r="M163" i="18"/>
  <c r="L163" i="18"/>
  <c r="I163" i="18"/>
  <c r="K163" i="18" s="1"/>
  <c r="N163" i="18" s="1"/>
  <c r="M162" i="18"/>
  <c r="K162" i="18"/>
  <c r="N162" i="18" s="1"/>
  <c r="I162" i="18"/>
  <c r="L162" i="18" s="1"/>
  <c r="M161" i="18"/>
  <c r="I161" i="18"/>
  <c r="L161" i="18" s="1"/>
  <c r="M160" i="18"/>
  <c r="I160" i="18"/>
  <c r="L160" i="18" s="1"/>
  <c r="M159" i="18"/>
  <c r="I159" i="18"/>
  <c r="L159" i="18" s="1"/>
  <c r="M158" i="18"/>
  <c r="I158" i="18"/>
  <c r="M157" i="18"/>
  <c r="I157" i="18"/>
  <c r="M156" i="18"/>
  <c r="I156" i="18"/>
  <c r="L156" i="18" s="1"/>
  <c r="M155" i="18"/>
  <c r="I155" i="18"/>
  <c r="L155" i="18" s="1"/>
  <c r="N154" i="18"/>
  <c r="O154" i="18" s="1"/>
  <c r="M154" i="18"/>
  <c r="L154" i="18"/>
  <c r="I154" i="18"/>
  <c r="K154" i="18" s="1"/>
  <c r="M153" i="18"/>
  <c r="I153" i="18"/>
  <c r="L153" i="18" s="1"/>
  <c r="N152" i="18"/>
  <c r="M152" i="18"/>
  <c r="O152" i="18" s="1"/>
  <c r="L152" i="18"/>
  <c r="I152" i="18"/>
  <c r="K152" i="18" s="1"/>
  <c r="M151" i="18"/>
  <c r="I151" i="18"/>
  <c r="M150" i="18"/>
  <c r="L150" i="18"/>
  <c r="K150" i="18"/>
  <c r="N150" i="18" s="1"/>
  <c r="I150" i="18"/>
  <c r="M149" i="18"/>
  <c r="O149" i="18" s="1"/>
  <c r="L149" i="18"/>
  <c r="I149" i="18"/>
  <c r="K149" i="18" s="1"/>
  <c r="N149" i="18" s="1"/>
  <c r="M148" i="18"/>
  <c r="I148" i="18"/>
  <c r="L148" i="18" s="1"/>
  <c r="M147" i="18"/>
  <c r="I147" i="18"/>
  <c r="M146" i="18"/>
  <c r="I146" i="18"/>
  <c r="L146" i="18" s="1"/>
  <c r="M145" i="18"/>
  <c r="L145" i="18"/>
  <c r="K145" i="18"/>
  <c r="N145" i="18" s="1"/>
  <c r="O144" i="18"/>
  <c r="M144" i="18"/>
  <c r="L144" i="18"/>
  <c r="K144" i="18"/>
  <c r="N144" i="18" s="1"/>
  <c r="I144" i="18"/>
  <c r="M143" i="18"/>
  <c r="I143" i="18"/>
  <c r="L143" i="18" s="1"/>
  <c r="M142" i="18"/>
  <c r="I142" i="18"/>
  <c r="M141" i="18"/>
  <c r="L141" i="18"/>
  <c r="K141" i="18"/>
  <c r="N141" i="18" s="1"/>
  <c r="I141" i="18"/>
  <c r="M140" i="18"/>
  <c r="I140" i="18"/>
  <c r="L140" i="18" s="1"/>
  <c r="M139" i="18"/>
  <c r="I139" i="18"/>
  <c r="L139" i="18" s="1"/>
  <c r="M138" i="18"/>
  <c r="I138" i="18"/>
  <c r="M137" i="18"/>
  <c r="I137" i="18"/>
  <c r="L137" i="18" s="1"/>
  <c r="M136" i="18"/>
  <c r="I136" i="18"/>
  <c r="M135" i="18"/>
  <c r="L135" i="18"/>
  <c r="I135" i="18"/>
  <c r="K135" i="18" s="1"/>
  <c r="N135" i="18" s="1"/>
  <c r="N134" i="18"/>
  <c r="M134" i="18"/>
  <c r="O134" i="18" s="1"/>
  <c r="L134" i="18"/>
  <c r="K134" i="18"/>
  <c r="I134" i="18"/>
  <c r="M133" i="18"/>
  <c r="I133" i="18"/>
  <c r="L133" i="18" s="1"/>
  <c r="M132" i="18"/>
  <c r="I132" i="18"/>
  <c r="L132" i="18" s="1"/>
  <c r="M131" i="18"/>
  <c r="I131" i="18"/>
  <c r="M130" i="18"/>
  <c r="I130" i="18"/>
  <c r="L130" i="18" s="1"/>
  <c r="O129" i="18"/>
  <c r="M129" i="18"/>
  <c r="L129" i="18"/>
  <c r="K129" i="18"/>
  <c r="N129" i="18" s="1"/>
  <c r="M128" i="18"/>
  <c r="I128" i="18"/>
  <c r="L128" i="18" s="1"/>
  <c r="O127" i="18"/>
  <c r="M127" i="18"/>
  <c r="L127" i="18"/>
  <c r="I127" i="18"/>
  <c r="K127" i="18" s="1"/>
  <c r="N127" i="18" s="1"/>
  <c r="M126" i="18"/>
  <c r="I126" i="18"/>
  <c r="M125" i="18"/>
  <c r="I125" i="18"/>
  <c r="L125" i="18" s="1"/>
  <c r="O124" i="18"/>
  <c r="N124" i="18"/>
  <c r="M124" i="18"/>
  <c r="L124" i="18"/>
  <c r="K124" i="18"/>
  <c r="M123" i="18"/>
  <c r="I123" i="18"/>
  <c r="M122" i="18"/>
  <c r="L122" i="18"/>
  <c r="K122" i="18"/>
  <c r="N122" i="18" s="1"/>
  <c r="I122" i="18"/>
  <c r="M121" i="18"/>
  <c r="I121" i="18"/>
  <c r="M120" i="18"/>
  <c r="I120" i="18"/>
  <c r="L120" i="18" s="1"/>
  <c r="M119" i="18"/>
  <c r="I119" i="18"/>
  <c r="L119" i="18" s="1"/>
  <c r="M118" i="18"/>
  <c r="I118" i="18"/>
  <c r="L118" i="18" s="1"/>
  <c r="M117" i="18"/>
  <c r="L117" i="18"/>
  <c r="K117" i="18"/>
  <c r="N117" i="18" s="1"/>
  <c r="I117" i="18"/>
  <c r="M116" i="18"/>
  <c r="L116" i="18"/>
  <c r="I116" i="18"/>
  <c r="K116" i="18" s="1"/>
  <c r="N116" i="18" s="1"/>
  <c r="M115" i="18"/>
  <c r="I115" i="18"/>
  <c r="L115" i="18" s="1"/>
  <c r="M114" i="18"/>
  <c r="I114" i="18"/>
  <c r="L114" i="18" s="1"/>
  <c r="M113" i="18"/>
  <c r="L113" i="18"/>
  <c r="K113" i="18"/>
  <c r="N113" i="18" s="1"/>
  <c r="O113" i="18" s="1"/>
  <c r="M112" i="18"/>
  <c r="I112" i="18"/>
  <c r="M111" i="18"/>
  <c r="L111" i="18"/>
  <c r="K111" i="18"/>
  <c r="N111" i="18" s="1"/>
  <c r="O111" i="18" s="1"/>
  <c r="I111" i="18"/>
  <c r="M110" i="18"/>
  <c r="L110" i="18"/>
  <c r="I110" i="18"/>
  <c r="K110" i="18" s="1"/>
  <c r="N110" i="18" s="1"/>
  <c r="M109" i="18"/>
  <c r="L109" i="18"/>
  <c r="K109" i="18"/>
  <c r="N109" i="18" s="1"/>
  <c r="M108" i="18"/>
  <c r="I108" i="18"/>
  <c r="L108" i="18" s="1"/>
  <c r="M107" i="18"/>
  <c r="L107" i="18"/>
  <c r="I107" i="18"/>
  <c r="K107" i="18" s="1"/>
  <c r="N107" i="18" s="1"/>
  <c r="M106" i="18"/>
  <c r="L106" i="18"/>
  <c r="K106" i="18"/>
  <c r="N106" i="18" s="1"/>
  <c r="O106" i="18" s="1"/>
  <c r="M105" i="18"/>
  <c r="L105" i="18"/>
  <c r="K105" i="18"/>
  <c r="N105" i="18" s="1"/>
  <c r="I105" i="18"/>
  <c r="M104" i="18"/>
  <c r="I104" i="18"/>
  <c r="L104" i="18" s="1"/>
  <c r="N103" i="18"/>
  <c r="O103" i="18" s="1"/>
  <c r="M103" i="18"/>
  <c r="L103" i="18"/>
  <c r="I103" i="18"/>
  <c r="K103" i="18" s="1"/>
  <c r="M102" i="18"/>
  <c r="I102" i="18"/>
  <c r="L102" i="18" s="1"/>
  <c r="M101" i="18"/>
  <c r="I101" i="18"/>
  <c r="L101" i="18" s="1"/>
  <c r="M100" i="18"/>
  <c r="I100" i="18"/>
  <c r="L100" i="18" s="1"/>
  <c r="M99" i="18"/>
  <c r="L99" i="18"/>
  <c r="K99" i="18"/>
  <c r="N99" i="18" s="1"/>
  <c r="M98" i="18"/>
  <c r="I98" i="18"/>
  <c r="L98" i="18" s="1"/>
  <c r="M97" i="18"/>
  <c r="I97" i="18"/>
  <c r="M96" i="18"/>
  <c r="I96" i="18"/>
  <c r="L96" i="18" s="1"/>
  <c r="M95" i="18"/>
  <c r="I95" i="18"/>
  <c r="L95" i="18" s="1"/>
  <c r="M94" i="18"/>
  <c r="L94" i="18"/>
  <c r="K94" i="18"/>
  <c r="N94" i="18" s="1"/>
  <c r="I94" i="18"/>
  <c r="M93" i="18"/>
  <c r="L93" i="18"/>
  <c r="K93" i="18"/>
  <c r="N93" i="18" s="1"/>
  <c r="I93" i="18"/>
  <c r="M92" i="18"/>
  <c r="L92" i="18"/>
  <c r="K92" i="18"/>
  <c r="N92" i="18" s="1"/>
  <c r="M91" i="18"/>
  <c r="I91" i="18"/>
  <c r="L91" i="18" s="1"/>
  <c r="M90" i="18"/>
  <c r="L90" i="18"/>
  <c r="K90" i="18"/>
  <c r="N90" i="18" s="1"/>
  <c r="I90" i="18"/>
  <c r="M89" i="18"/>
  <c r="I89" i="18"/>
  <c r="N88" i="18"/>
  <c r="O88" i="18" s="1"/>
  <c r="M88" i="18"/>
  <c r="L88" i="18"/>
  <c r="I88" i="18"/>
  <c r="K88" i="18" s="1"/>
  <c r="M87" i="18"/>
  <c r="I87" i="18"/>
  <c r="N86" i="18"/>
  <c r="M86" i="18"/>
  <c r="O86" i="18" s="1"/>
  <c r="L86" i="18"/>
  <c r="I86" i="18"/>
  <c r="K86" i="18" s="1"/>
  <c r="M85" i="18"/>
  <c r="I85" i="18"/>
  <c r="L85" i="18" s="1"/>
  <c r="M84" i="18"/>
  <c r="I84" i="18"/>
  <c r="L84" i="18" s="1"/>
  <c r="M83" i="18"/>
  <c r="O83" i="18" s="1"/>
  <c r="L83" i="18"/>
  <c r="K83" i="18"/>
  <c r="N83" i="18" s="1"/>
  <c r="O82" i="18"/>
  <c r="M82" i="18"/>
  <c r="L82" i="18"/>
  <c r="K82" i="18"/>
  <c r="N82" i="18" s="1"/>
  <c r="M81" i="18"/>
  <c r="L81" i="18"/>
  <c r="K81" i="18"/>
  <c r="N81" i="18" s="1"/>
  <c r="I81" i="18"/>
  <c r="M80" i="18"/>
  <c r="I80" i="18"/>
  <c r="L80" i="18" s="1"/>
  <c r="M79" i="18"/>
  <c r="L79" i="18"/>
  <c r="I79" i="18"/>
  <c r="K79" i="18" s="1"/>
  <c r="N79" i="18" s="1"/>
  <c r="M78" i="18"/>
  <c r="I78" i="18"/>
  <c r="M77" i="18"/>
  <c r="L77" i="18"/>
  <c r="K77" i="18"/>
  <c r="N77" i="18" s="1"/>
  <c r="I77" i="18"/>
  <c r="M76" i="18"/>
  <c r="I76" i="18"/>
  <c r="M75" i="18"/>
  <c r="O75" i="18" s="1"/>
  <c r="L75" i="18"/>
  <c r="K75" i="18"/>
  <c r="N75" i="18" s="1"/>
  <c r="M74" i="18"/>
  <c r="L74" i="18"/>
  <c r="K74" i="18"/>
  <c r="N74" i="18" s="1"/>
  <c r="O74" i="18" s="1"/>
  <c r="O73" i="18"/>
  <c r="N73" i="18"/>
  <c r="M73" i="18"/>
  <c r="L73" i="18"/>
  <c r="K73" i="18"/>
  <c r="M72" i="18"/>
  <c r="L72" i="18"/>
  <c r="K72" i="18"/>
  <c r="N72" i="18" s="1"/>
  <c r="M71" i="18"/>
  <c r="L71" i="18"/>
  <c r="K71" i="18"/>
  <c r="N71" i="18" s="1"/>
  <c r="M70" i="18"/>
  <c r="I70" i="18"/>
  <c r="L70" i="18" s="1"/>
  <c r="M69" i="18"/>
  <c r="L69" i="18"/>
  <c r="K69" i="18"/>
  <c r="N69" i="18" s="1"/>
  <c r="O68" i="18"/>
  <c r="M68" i="18"/>
  <c r="L68" i="18"/>
  <c r="I68" i="18"/>
  <c r="K68" i="18" s="1"/>
  <c r="N68" i="18" s="1"/>
  <c r="M67" i="18"/>
  <c r="I67" i="18"/>
  <c r="L67" i="18" s="1"/>
  <c r="M66" i="18"/>
  <c r="I66" i="18"/>
  <c r="O65" i="18"/>
  <c r="N65" i="18"/>
  <c r="M65" i="18"/>
  <c r="L65" i="18"/>
  <c r="K65" i="18"/>
  <c r="I65" i="18"/>
  <c r="M64" i="18"/>
  <c r="I64" i="18"/>
  <c r="L64" i="18" s="1"/>
  <c r="M63" i="18"/>
  <c r="L63" i="18"/>
  <c r="K63" i="18"/>
  <c r="N63" i="18" s="1"/>
  <c r="I63" i="18"/>
  <c r="M62" i="18"/>
  <c r="I62" i="18"/>
  <c r="L62" i="18" s="1"/>
  <c r="M61" i="18"/>
  <c r="I61" i="18"/>
  <c r="M60" i="18"/>
  <c r="I60" i="18"/>
  <c r="M59" i="18"/>
  <c r="L59" i="18"/>
  <c r="I59" i="18"/>
  <c r="K59" i="18" s="1"/>
  <c r="N59" i="18" s="1"/>
  <c r="M58" i="18"/>
  <c r="L58" i="18"/>
  <c r="I58" i="18"/>
  <c r="K58" i="18" s="1"/>
  <c r="N58" i="18" s="1"/>
  <c r="M57" i="18"/>
  <c r="I57" i="18"/>
  <c r="L57" i="18" s="1"/>
  <c r="M56" i="18"/>
  <c r="I56" i="18"/>
  <c r="L56" i="18" s="1"/>
  <c r="M55" i="18"/>
  <c r="I55" i="18"/>
  <c r="M54" i="18"/>
  <c r="I54" i="18"/>
  <c r="L54" i="18" s="1"/>
  <c r="M53" i="18"/>
  <c r="I53" i="18"/>
  <c r="L53" i="18" s="1"/>
  <c r="M52" i="18"/>
  <c r="I52" i="18"/>
  <c r="L52" i="18" s="1"/>
  <c r="M51" i="18"/>
  <c r="I51" i="18"/>
  <c r="N50" i="18"/>
  <c r="M50" i="18"/>
  <c r="O50" i="18" s="1"/>
  <c r="L50" i="18"/>
  <c r="I50" i="18"/>
  <c r="K50" i="18" s="1"/>
  <c r="M49" i="18"/>
  <c r="I49" i="18"/>
  <c r="N48" i="18"/>
  <c r="M48" i="18"/>
  <c r="O48" i="18" s="1"/>
  <c r="L48" i="18"/>
  <c r="I48" i="18"/>
  <c r="K48" i="18" s="1"/>
  <c r="M47" i="18"/>
  <c r="I47" i="18"/>
  <c r="L47" i="18" s="1"/>
  <c r="M46" i="18"/>
  <c r="I46" i="18"/>
  <c r="L46" i="18" s="1"/>
  <c r="M45" i="18"/>
  <c r="L45" i="18"/>
  <c r="I45" i="18"/>
  <c r="K45" i="18" s="1"/>
  <c r="N45" i="18" s="1"/>
  <c r="M44" i="18"/>
  <c r="I44" i="18"/>
  <c r="N43" i="18"/>
  <c r="M43" i="18"/>
  <c r="O43" i="18" s="1"/>
  <c r="L43" i="18"/>
  <c r="K43" i="18"/>
  <c r="I43" i="18"/>
  <c r="M42" i="18"/>
  <c r="I42" i="18"/>
  <c r="M41" i="18"/>
  <c r="K41" i="18"/>
  <c r="N41" i="18" s="1"/>
  <c r="O41" i="18" s="1"/>
  <c r="I41" i="18"/>
  <c r="L41" i="18" s="1"/>
  <c r="M40" i="18"/>
  <c r="L40" i="18"/>
  <c r="K40" i="18"/>
  <c r="N40" i="18" s="1"/>
  <c r="I40" i="18"/>
  <c r="M39" i="18"/>
  <c r="I39" i="18"/>
  <c r="L39" i="18" s="1"/>
  <c r="M38" i="18"/>
  <c r="L38" i="18"/>
  <c r="I38" i="18"/>
  <c r="K38" i="18" s="1"/>
  <c r="N38" i="18" s="1"/>
  <c r="M37" i="18"/>
  <c r="I37" i="18"/>
  <c r="M36" i="18"/>
  <c r="L36" i="18"/>
  <c r="K36" i="18"/>
  <c r="N36" i="18" s="1"/>
  <c r="I36" i="18"/>
  <c r="M35" i="18"/>
  <c r="I35" i="18"/>
  <c r="M34" i="18"/>
  <c r="I34" i="18"/>
  <c r="M33" i="18"/>
  <c r="I33" i="18"/>
  <c r="L33" i="18" s="1"/>
  <c r="M32" i="18"/>
  <c r="I32" i="18"/>
  <c r="L32" i="18" s="1"/>
  <c r="M31" i="18"/>
  <c r="I31" i="18"/>
  <c r="L31" i="18" s="1"/>
  <c r="M30" i="18"/>
  <c r="I30" i="18"/>
  <c r="L30" i="18" s="1"/>
  <c r="M29" i="18"/>
  <c r="I29" i="18"/>
  <c r="L29" i="18" s="1"/>
  <c r="M28" i="18"/>
  <c r="L28" i="18"/>
  <c r="I28" i="18"/>
  <c r="K28" i="18" s="1"/>
  <c r="N28" i="18" s="1"/>
  <c r="M27" i="18"/>
  <c r="I27" i="18"/>
  <c r="L27" i="18" s="1"/>
  <c r="M26" i="18"/>
  <c r="I26" i="18"/>
  <c r="L26" i="18" s="1"/>
  <c r="M25" i="18"/>
  <c r="I25" i="18"/>
  <c r="L25" i="18" s="1"/>
  <c r="M24" i="18"/>
  <c r="I24" i="18"/>
  <c r="M23" i="18"/>
  <c r="L23" i="18"/>
  <c r="I23" i="18"/>
  <c r="K23" i="18" s="1"/>
  <c r="N23" i="18" s="1"/>
  <c r="M22" i="18"/>
  <c r="I22" i="18"/>
  <c r="L22" i="18" s="1"/>
  <c r="M21" i="18"/>
  <c r="I21" i="18"/>
  <c r="L21" i="18" s="1"/>
  <c r="M20" i="18"/>
  <c r="L20" i="18"/>
  <c r="I20" i="18"/>
  <c r="K20" i="18" s="1"/>
  <c r="N20" i="18" s="1"/>
  <c r="M19" i="18"/>
  <c r="I19" i="18"/>
  <c r="L19" i="18" s="1"/>
  <c r="O18" i="18"/>
  <c r="N18" i="18"/>
  <c r="M18" i="18"/>
  <c r="L18" i="18"/>
  <c r="I18" i="18"/>
  <c r="K18" i="18" s="1"/>
  <c r="M17" i="18"/>
  <c r="I17" i="18"/>
  <c r="L17" i="18" s="1"/>
  <c r="N16" i="18"/>
  <c r="M16" i="18"/>
  <c r="L16" i="18"/>
  <c r="I16" i="18"/>
  <c r="K16" i="18" s="1"/>
  <c r="M15" i="18"/>
  <c r="I15" i="18"/>
  <c r="M14" i="18"/>
  <c r="I14" i="18"/>
  <c r="L14" i="18" s="1"/>
  <c r="M13" i="18"/>
  <c r="I13" i="18"/>
  <c r="K13" i="18" s="1"/>
  <c r="N13" i="18" s="1"/>
  <c r="M12" i="18"/>
  <c r="I12" i="18"/>
  <c r="M11" i="18"/>
  <c r="I11" i="18"/>
  <c r="L11" i="18" s="1"/>
  <c r="M10" i="18"/>
  <c r="I10" i="18"/>
  <c r="M9" i="18"/>
  <c r="L9" i="18"/>
  <c r="K9" i="18"/>
  <c r="N9" i="18" s="1"/>
  <c r="I9" i="18"/>
  <c r="M8" i="18"/>
  <c r="L8" i="18"/>
  <c r="I8" i="18"/>
  <c r="K8" i="18" s="1"/>
  <c r="N8" i="18" s="1"/>
  <c r="N7" i="18"/>
  <c r="M7" i="18"/>
  <c r="O7" i="18" s="1"/>
  <c r="L7" i="18"/>
  <c r="K7" i="18"/>
  <c r="J71" i="17"/>
  <c r="L71" i="17" s="1"/>
  <c r="J70" i="17"/>
  <c r="L70" i="17" s="1"/>
  <c r="L69" i="17"/>
  <c r="J68" i="17"/>
  <c r="L68" i="17" s="1"/>
  <c r="J67" i="17"/>
  <c r="L67" i="17" s="1"/>
  <c r="L66" i="17"/>
  <c r="J65" i="17"/>
  <c r="L65" i="17" s="1"/>
  <c r="J64" i="17"/>
  <c r="L64" i="17" s="1"/>
  <c r="J63" i="17"/>
  <c r="L63" i="17" s="1"/>
  <c r="J62" i="17"/>
  <c r="L62" i="17" s="1"/>
  <c r="J61" i="17"/>
  <c r="L61" i="17" s="1"/>
  <c r="J60" i="17"/>
  <c r="L60" i="17" s="1"/>
  <c r="J59" i="17"/>
  <c r="L59" i="17" s="1"/>
  <c r="J58" i="17"/>
  <c r="L58" i="17" s="1"/>
  <c r="J57" i="17"/>
  <c r="L57" i="17" s="1"/>
  <c r="L56" i="17"/>
  <c r="J55" i="17"/>
  <c r="L55" i="17" s="1"/>
  <c r="J54" i="17"/>
  <c r="L54" i="17" s="1"/>
  <c r="L53" i="17"/>
  <c r="J52" i="17"/>
  <c r="L52" i="17" s="1"/>
  <c r="J51" i="17"/>
  <c r="L51" i="17" s="1"/>
  <c r="J50" i="17"/>
  <c r="L50" i="17" s="1"/>
  <c r="J49" i="17"/>
  <c r="L49" i="17" s="1"/>
  <c r="L48" i="17"/>
  <c r="J47" i="17"/>
  <c r="L47" i="17" s="1"/>
  <c r="J46" i="17"/>
  <c r="L46" i="17" s="1"/>
  <c r="J45" i="17"/>
  <c r="L45" i="17" s="1"/>
  <c r="J44" i="17"/>
  <c r="L44" i="17" s="1"/>
  <c r="L43" i="17"/>
  <c r="J42" i="17"/>
  <c r="L42" i="17" s="1"/>
  <c r="J41" i="17"/>
  <c r="L41" i="17" s="1"/>
  <c r="J40" i="17"/>
  <c r="L40" i="17" s="1"/>
  <c r="J39" i="17"/>
  <c r="L39" i="17" s="1"/>
  <c r="L38" i="17"/>
  <c r="J37" i="17"/>
  <c r="L37" i="17" s="1"/>
  <c r="J36" i="17"/>
  <c r="L36" i="17" s="1"/>
  <c r="J35" i="17"/>
  <c r="L35" i="17" s="1"/>
  <c r="J34" i="17"/>
  <c r="L34" i="17" s="1"/>
  <c r="J33" i="17"/>
  <c r="L33" i="17" s="1"/>
  <c r="J32" i="17"/>
  <c r="L32" i="17" s="1"/>
  <c r="J31" i="17"/>
  <c r="L31" i="17" s="1"/>
  <c r="J30" i="17"/>
  <c r="L30" i="17" s="1"/>
  <c r="J29" i="17"/>
  <c r="L29" i="17" s="1"/>
  <c r="J28" i="17"/>
  <c r="J27" i="17"/>
  <c r="L27" i="17" s="1"/>
  <c r="L26" i="17"/>
  <c r="L25" i="17"/>
  <c r="J24" i="17"/>
  <c r="L24" i="17" s="1"/>
  <c r="J23" i="17"/>
  <c r="L23" i="17" s="1"/>
  <c r="J22" i="17"/>
  <c r="L22" i="17" s="1"/>
  <c r="J21" i="17"/>
  <c r="L21" i="17" s="1"/>
  <c r="J20" i="17"/>
  <c r="L20" i="17" s="1"/>
  <c r="J19" i="17"/>
  <c r="L19" i="17" s="1"/>
  <c r="J18" i="17"/>
  <c r="L18" i="17" s="1"/>
  <c r="J17" i="17"/>
  <c r="L17" i="17" s="1"/>
  <c r="J16" i="17"/>
  <c r="L16" i="17" s="1"/>
  <c r="J15" i="17"/>
  <c r="L15" i="17" s="1"/>
  <c r="L14" i="17"/>
  <c r="J13" i="17"/>
  <c r="L13" i="17" s="1"/>
  <c r="J12" i="17"/>
  <c r="L12" i="17" s="1"/>
  <c r="L11" i="17"/>
  <c r="L10" i="17"/>
  <c r="J9" i="17"/>
  <c r="L9" i="17" s="1"/>
  <c r="J8" i="17"/>
  <c r="L8" i="17" s="1"/>
  <c r="L7" i="17"/>
  <c r="L6" i="17"/>
  <c r="L5" i="17"/>
  <c r="P13" i="10" l="1"/>
  <c r="Q20" i="10"/>
  <c r="T16" i="10"/>
  <c r="P23" i="10"/>
  <c r="S23" i="10" s="1"/>
  <c r="T9" i="10"/>
  <c r="T23" i="10"/>
  <c r="P8" i="10"/>
  <c r="S8" i="10" s="1"/>
  <c r="T8" i="10" s="1"/>
  <c r="P9" i="10"/>
  <c r="S9" i="10" s="1"/>
  <c r="P17" i="10"/>
  <c r="S17" i="10" s="1"/>
  <c r="P19" i="10"/>
  <c r="S19" i="10" s="1"/>
  <c r="P27" i="10"/>
  <c r="S27" i="10" s="1"/>
  <c r="T27" i="10" s="1"/>
  <c r="P12" i="10"/>
  <c r="S12" i="10" s="1"/>
  <c r="P15" i="10"/>
  <c r="S15" i="10" s="1"/>
  <c r="T15" i="10" s="1"/>
  <c r="P14" i="10"/>
  <c r="T12" i="10"/>
  <c r="Q12" i="10"/>
  <c r="T17" i="10"/>
  <c r="T25" i="10"/>
  <c r="T19" i="10"/>
  <c r="P22" i="10"/>
  <c r="S22" i="10" s="1"/>
  <c r="T22" i="10" s="1"/>
  <c r="P21" i="10"/>
  <c r="S21" i="10" s="1"/>
  <c r="T21" i="10" s="1"/>
  <c r="P7" i="10"/>
  <c r="S7" i="10" s="1"/>
  <c r="T7" i="10" s="1"/>
  <c r="P26" i="10"/>
  <c r="S26" i="10" s="1"/>
  <c r="T26" i="10" s="1"/>
  <c r="P11" i="10"/>
  <c r="S11" i="10" s="1"/>
  <c r="T11" i="10" s="1"/>
  <c r="P10" i="10"/>
  <c r="S10" i="10" s="1"/>
  <c r="T10" i="10" s="1"/>
  <c r="P18" i="10"/>
  <c r="S18" i="10" s="1"/>
  <c r="T18" i="10" s="1"/>
  <c r="P25" i="10"/>
  <c r="S25" i="10" s="1"/>
  <c r="P24" i="10"/>
  <c r="S24" i="10" s="1"/>
  <c r="T24" i="10" s="1"/>
  <c r="O23" i="18"/>
  <c r="O165" i="18"/>
  <c r="O135" i="18"/>
  <c r="O137" i="18"/>
  <c r="O145" i="18"/>
  <c r="L158" i="18"/>
  <c r="K158" i="18"/>
  <c r="N158" i="18" s="1"/>
  <c r="L13" i="18"/>
  <c r="O109" i="18"/>
  <c r="O13" i="18"/>
  <c r="O38" i="18"/>
  <c r="O69" i="18"/>
  <c r="K104" i="18"/>
  <c r="N104" i="18" s="1"/>
  <c r="O104" i="18" s="1"/>
  <c r="O20" i="18"/>
  <c r="L87" i="18"/>
  <c r="K87" i="18"/>
  <c r="N87" i="18" s="1"/>
  <c r="O87" i="18" s="1"/>
  <c r="O122" i="18"/>
  <c r="O8" i="18"/>
  <c r="O116" i="18"/>
  <c r="K33" i="18"/>
  <c r="N33" i="18" s="1"/>
  <c r="O58" i="18"/>
  <c r="O76" i="18"/>
  <c r="L147" i="18"/>
  <c r="K147" i="18"/>
  <c r="N147" i="18" s="1"/>
  <c r="O147" i="18" s="1"/>
  <c r="K160" i="18"/>
  <c r="N160" i="18" s="1"/>
  <c r="K100" i="18"/>
  <c r="N100" i="18" s="1"/>
  <c r="O100" i="18" s="1"/>
  <c r="L142" i="18"/>
  <c r="K142" i="18"/>
  <c r="N142" i="18" s="1"/>
  <c r="O142" i="18" s="1"/>
  <c r="O166" i="18"/>
  <c r="O33" i="18"/>
  <c r="K130" i="18"/>
  <c r="N130" i="18" s="1"/>
  <c r="O130" i="18" s="1"/>
  <c r="O160" i="18"/>
  <c r="O9" i="18"/>
  <c r="L34" i="18"/>
  <c r="K34" i="18"/>
  <c r="N34" i="18" s="1"/>
  <c r="O34" i="18" s="1"/>
  <c r="O40" i="18"/>
  <c r="O94" i="18"/>
  <c r="O105" i="18"/>
  <c r="O16" i="18"/>
  <c r="O28" i="18"/>
  <c r="O59" i="18"/>
  <c r="O77" i="18"/>
  <c r="O161" i="18"/>
  <c r="K19" i="18"/>
  <c r="N19" i="18" s="1"/>
  <c r="O19" i="18" s="1"/>
  <c r="L44" i="18"/>
  <c r="K44" i="18"/>
  <c r="N44" i="18" s="1"/>
  <c r="O44" i="18" s="1"/>
  <c r="O92" i="18"/>
  <c r="K115" i="18"/>
  <c r="N115" i="18" s="1"/>
  <c r="O115" i="18" s="1"/>
  <c r="O81" i="18"/>
  <c r="O14" i="18"/>
  <c r="L51" i="18"/>
  <c r="K51" i="18"/>
  <c r="N51" i="18" s="1"/>
  <c r="O51" i="18" s="1"/>
  <c r="O45" i="18"/>
  <c r="L76" i="18"/>
  <c r="K76" i="18"/>
  <c r="N76" i="18" s="1"/>
  <c r="O27" i="18"/>
  <c r="O141" i="18"/>
  <c r="L35" i="18"/>
  <c r="K35" i="18"/>
  <c r="N35" i="18" s="1"/>
  <c r="O35" i="18" s="1"/>
  <c r="K56" i="18"/>
  <c r="N56" i="18" s="1"/>
  <c r="O63" i="18"/>
  <c r="K26" i="18"/>
  <c r="N26" i="18" s="1"/>
  <c r="O26" i="18" s="1"/>
  <c r="L15" i="18"/>
  <c r="K15" i="18"/>
  <c r="N15" i="18" s="1"/>
  <c r="O15" i="18" s="1"/>
  <c r="L89" i="18"/>
  <c r="K89" i="18"/>
  <c r="N89" i="18" s="1"/>
  <c r="O89" i="18" s="1"/>
  <c r="K29" i="18"/>
  <c r="N29" i="18" s="1"/>
  <c r="O29" i="18" s="1"/>
  <c r="L66" i="18"/>
  <c r="K66" i="18"/>
  <c r="N66" i="18" s="1"/>
  <c r="O66" i="18" s="1"/>
  <c r="K168" i="18"/>
  <c r="N168" i="18" s="1"/>
  <c r="O168" i="18" s="1"/>
  <c r="K54" i="18"/>
  <c r="N54" i="18" s="1"/>
  <c r="O162" i="18"/>
  <c r="K11" i="18"/>
  <c r="N11" i="18" s="1"/>
  <c r="O11" i="18" s="1"/>
  <c r="K119" i="18"/>
  <c r="N119" i="18" s="1"/>
  <c r="L126" i="18"/>
  <c r="K126" i="18"/>
  <c r="N126" i="18" s="1"/>
  <c r="K156" i="18"/>
  <c r="N156" i="18" s="1"/>
  <c r="O156" i="18" s="1"/>
  <c r="O107" i="18"/>
  <c r="K132" i="18"/>
  <c r="N132" i="18" s="1"/>
  <c r="O132" i="18" s="1"/>
  <c r="L24" i="18"/>
  <c r="K24" i="18"/>
  <c r="N24" i="18" s="1"/>
  <c r="O24" i="18" s="1"/>
  <c r="O36" i="18"/>
  <c r="O79" i="18"/>
  <c r="O90" i="18"/>
  <c r="K102" i="18"/>
  <c r="N102" i="18" s="1"/>
  <c r="O102" i="18" s="1"/>
  <c r="O119" i="18"/>
  <c r="L138" i="18"/>
  <c r="K138" i="18"/>
  <c r="N138" i="18" s="1"/>
  <c r="O150" i="18"/>
  <c r="L49" i="18"/>
  <c r="K49" i="18"/>
  <c r="N49" i="18" s="1"/>
  <c r="K85" i="18"/>
  <c r="N85" i="18" s="1"/>
  <c r="O85" i="18" s="1"/>
  <c r="L97" i="18"/>
  <c r="K97" i="18"/>
  <c r="N97" i="18" s="1"/>
  <c r="O97" i="18" s="1"/>
  <c r="L151" i="18"/>
  <c r="K151" i="18"/>
  <c r="N151" i="18" s="1"/>
  <c r="O151" i="18" s="1"/>
  <c r="L131" i="18"/>
  <c r="K131" i="18"/>
  <c r="N131" i="18" s="1"/>
  <c r="O131" i="18" s="1"/>
  <c r="L136" i="18"/>
  <c r="K136" i="18"/>
  <c r="N136" i="18" s="1"/>
  <c r="O136" i="18" s="1"/>
  <c r="L167" i="18"/>
  <c r="K167" i="18"/>
  <c r="N167" i="18" s="1"/>
  <c r="O167" i="18" s="1"/>
  <c r="O49" i="18"/>
  <c r="O54" i="18"/>
  <c r="O110" i="18"/>
  <c r="L10" i="18"/>
  <c r="K10" i="18"/>
  <c r="N10" i="18" s="1"/>
  <c r="O10" i="18" s="1"/>
  <c r="L55" i="18"/>
  <c r="K55" i="18"/>
  <c r="N55" i="18" s="1"/>
  <c r="O55" i="18" s="1"/>
  <c r="L60" i="18"/>
  <c r="K60" i="18"/>
  <c r="N60" i="18" s="1"/>
  <c r="O60" i="18" s="1"/>
  <c r="L121" i="18"/>
  <c r="K121" i="18"/>
  <c r="N121" i="18" s="1"/>
  <c r="O121" i="18" s="1"/>
  <c r="O126" i="18"/>
  <c r="O163" i="18"/>
  <c r="L112" i="18"/>
  <c r="K112" i="18"/>
  <c r="N112" i="18" s="1"/>
  <c r="O112" i="18" s="1"/>
  <c r="K143" i="18"/>
  <c r="N143" i="18" s="1"/>
  <c r="O143" i="18" s="1"/>
  <c r="K153" i="18"/>
  <c r="N153" i="18" s="1"/>
  <c r="L12" i="18"/>
  <c r="K12" i="18"/>
  <c r="N12" i="18" s="1"/>
  <c r="O12" i="18" s="1"/>
  <c r="K31" i="18"/>
  <c r="N31" i="18" s="1"/>
  <c r="O31" i="18" s="1"/>
  <c r="O56" i="18"/>
  <c r="K62" i="18"/>
  <c r="N62" i="18" s="1"/>
  <c r="O62" i="18" s="1"/>
  <c r="K98" i="18"/>
  <c r="N98" i="18" s="1"/>
  <c r="O117" i="18"/>
  <c r="K128" i="18"/>
  <c r="N128" i="18" s="1"/>
  <c r="O133" i="18"/>
  <c r="O138" i="18"/>
  <c r="O158" i="18"/>
  <c r="K169" i="18"/>
  <c r="N169" i="18" s="1"/>
  <c r="K17" i="18"/>
  <c r="N17" i="18" s="1"/>
  <c r="O17" i="18" s="1"/>
  <c r="K22" i="18"/>
  <c r="N22" i="18" s="1"/>
  <c r="K47" i="18"/>
  <c r="N47" i="18" s="1"/>
  <c r="K67" i="18"/>
  <c r="N67" i="18" s="1"/>
  <c r="O67" i="18" s="1"/>
  <c r="L123" i="18"/>
  <c r="K123" i="18"/>
  <c r="N123" i="18" s="1"/>
  <c r="O123" i="18" s="1"/>
  <c r="K27" i="18"/>
  <c r="N27" i="18" s="1"/>
  <c r="L37" i="18"/>
  <c r="K37" i="18"/>
  <c r="N37" i="18" s="1"/>
  <c r="O37" i="18" s="1"/>
  <c r="L42" i="18"/>
  <c r="K42" i="18"/>
  <c r="N42" i="18" s="1"/>
  <c r="K52" i="18"/>
  <c r="N52" i="18" s="1"/>
  <c r="O52" i="18" s="1"/>
  <c r="O72" i="18"/>
  <c r="O93" i="18"/>
  <c r="O98" i="18"/>
  <c r="O128" i="18"/>
  <c r="K139" i="18"/>
  <c r="N139" i="18" s="1"/>
  <c r="O139" i="18" s="1"/>
  <c r="O164" i="18"/>
  <c r="O169" i="18"/>
  <c r="O22" i="18"/>
  <c r="O42" i="18"/>
  <c r="O47" i="18"/>
  <c r="L78" i="18"/>
  <c r="K78" i="18"/>
  <c r="N78" i="18" s="1"/>
  <c r="K108" i="18"/>
  <c r="N108" i="18" s="1"/>
  <c r="O108" i="18" s="1"/>
  <c r="L157" i="18"/>
  <c r="K157" i="18"/>
  <c r="N157" i="18" s="1"/>
  <c r="O157" i="18" s="1"/>
  <c r="K30" i="18"/>
  <c r="N30" i="18" s="1"/>
  <c r="O30" i="18" s="1"/>
  <c r="K70" i="18"/>
  <c r="N70" i="18" s="1"/>
  <c r="O70" i="18" s="1"/>
  <c r="K101" i="18"/>
  <c r="N101" i="18" s="1"/>
  <c r="O101" i="18" s="1"/>
  <c r="K146" i="18"/>
  <c r="N146" i="18" s="1"/>
  <c r="O146" i="18" s="1"/>
  <c r="O153" i="18"/>
  <c r="K161" i="18"/>
  <c r="N161" i="18" s="1"/>
  <c r="O78" i="18"/>
  <c r="O71" i="18"/>
  <c r="K91" i="18"/>
  <c r="N91" i="18" s="1"/>
  <c r="O91" i="18" s="1"/>
  <c r="K125" i="18"/>
  <c r="N125" i="18" s="1"/>
  <c r="O125" i="18" s="1"/>
  <c r="K155" i="18"/>
  <c r="N155" i="18" s="1"/>
  <c r="O155" i="18" s="1"/>
  <c r="K166" i="18"/>
  <c r="N166" i="18" s="1"/>
  <c r="K46" i="18"/>
  <c r="N46" i="18" s="1"/>
  <c r="O46" i="18" s="1"/>
  <c r="K53" i="18"/>
  <c r="N53" i="18" s="1"/>
  <c r="O53" i="18" s="1"/>
  <c r="K64" i="18"/>
  <c r="N64" i="18" s="1"/>
  <c r="K80" i="18"/>
  <c r="N80" i="18" s="1"/>
  <c r="O80" i="18" s="1"/>
  <c r="K95" i="18"/>
  <c r="N95" i="18" s="1"/>
  <c r="O95" i="18" s="1"/>
  <c r="K114" i="18"/>
  <c r="N114" i="18" s="1"/>
  <c r="O114" i="18" s="1"/>
  <c r="K140" i="18"/>
  <c r="N140" i="18" s="1"/>
  <c r="O140" i="18" s="1"/>
  <c r="K21" i="18"/>
  <c r="N21" i="18" s="1"/>
  <c r="O21" i="18" s="1"/>
  <c r="K39" i="18"/>
  <c r="N39" i="18" s="1"/>
  <c r="O39" i="18" s="1"/>
  <c r="K84" i="18"/>
  <c r="N84" i="18" s="1"/>
  <c r="O84" i="18" s="1"/>
  <c r="K148" i="18"/>
  <c r="N148" i="18" s="1"/>
  <c r="O148" i="18" s="1"/>
  <c r="K159" i="18"/>
  <c r="N159" i="18" s="1"/>
  <c r="O159" i="18" s="1"/>
  <c r="K170" i="18"/>
  <c r="N170" i="18" s="1"/>
  <c r="O170" i="18" s="1"/>
  <c r="K14" i="18"/>
  <c r="N14" i="18" s="1"/>
  <c r="K25" i="18"/>
  <c r="N25" i="18" s="1"/>
  <c r="O25" i="18" s="1"/>
  <c r="K32" i="18"/>
  <c r="N32" i="18" s="1"/>
  <c r="O32" i="18" s="1"/>
  <c r="K57" i="18"/>
  <c r="N57" i="18" s="1"/>
  <c r="O57" i="18" s="1"/>
  <c r="O64" i="18"/>
  <c r="K118" i="18"/>
  <c r="N118" i="18" s="1"/>
  <c r="O118" i="18" s="1"/>
  <c r="K133" i="18"/>
  <c r="N133" i="18" s="1"/>
  <c r="L61" i="18"/>
  <c r="K61" i="18"/>
  <c r="N61" i="18" s="1"/>
  <c r="O61" i="18" s="1"/>
  <c r="O99" i="18"/>
  <c r="K96" i="18"/>
  <c r="N96" i="18" s="1"/>
  <c r="O96" i="18" s="1"/>
  <c r="K120" i="18"/>
  <c r="N120" i="18" s="1"/>
  <c r="O120" i="18" s="1"/>
  <c r="K137" i="18"/>
  <c r="N137" i="18" s="1"/>
  <c r="H8" i="12"/>
  <c r="I8" i="12"/>
  <c r="H9" i="12"/>
  <c r="I9" i="12"/>
  <c r="H10" i="12"/>
  <c r="I10" i="12"/>
  <c r="I11" i="12"/>
  <c r="H12" i="12"/>
  <c r="I12" i="12"/>
  <c r="H13" i="12"/>
  <c r="I13" i="12" s="1"/>
  <c r="H15" i="12"/>
  <c r="I15" i="12" s="1"/>
  <c r="H16" i="12"/>
  <c r="I16" i="12" s="1"/>
  <c r="H18" i="12"/>
  <c r="I18" i="12" s="1"/>
  <c r="H19" i="12"/>
  <c r="I19" i="12"/>
  <c r="H20" i="12"/>
  <c r="I20" i="12"/>
  <c r="H21" i="12"/>
  <c r="I21" i="12" s="1"/>
  <c r="H22" i="12"/>
  <c r="I22" i="12" s="1"/>
  <c r="H23" i="12"/>
  <c r="I23" i="12" s="1"/>
  <c r="H24" i="12"/>
  <c r="I24" i="12" s="1"/>
  <c r="H25" i="12"/>
  <c r="I25" i="12" s="1"/>
  <c r="H26" i="12"/>
  <c r="I26" i="12"/>
  <c r="H28" i="12"/>
  <c r="I28" i="12" s="1"/>
  <c r="H29" i="12"/>
  <c r="I29" i="12" s="1"/>
  <c r="H30" i="12"/>
  <c r="I30" i="12" s="1"/>
  <c r="H31" i="12"/>
  <c r="I31" i="12" s="1"/>
  <c r="H32" i="12"/>
  <c r="I32" i="12"/>
  <c r="H33" i="12"/>
  <c r="I33" i="12"/>
  <c r="H34" i="12"/>
  <c r="I34" i="12" s="1"/>
  <c r="H35" i="12"/>
  <c r="I35" i="12" s="1"/>
  <c r="H36" i="12"/>
  <c r="I36" i="12" s="1"/>
  <c r="H37" i="12"/>
  <c r="I37" i="12" s="1"/>
  <c r="H39" i="12"/>
  <c r="I39" i="12"/>
  <c r="H40" i="12"/>
  <c r="I40" i="12" s="1"/>
  <c r="H41" i="12"/>
  <c r="I41" i="12" s="1"/>
  <c r="H43" i="12"/>
  <c r="I43" i="12" s="1"/>
  <c r="H44" i="12"/>
  <c r="I44" i="12" s="1"/>
  <c r="H45" i="12"/>
  <c r="I45" i="12" s="1"/>
  <c r="H46" i="12"/>
  <c r="I46" i="12" s="1"/>
  <c r="H47" i="12"/>
  <c r="I47" i="12"/>
  <c r="H48" i="12"/>
  <c r="I48" i="12" s="1"/>
  <c r="H49" i="12"/>
  <c r="I49" i="12" s="1"/>
  <c r="H50" i="12"/>
  <c r="I50" i="12" s="1"/>
  <c r="H51" i="12"/>
  <c r="I51" i="12" s="1"/>
  <c r="H52" i="12"/>
  <c r="I52" i="12" s="1"/>
  <c r="H54" i="12"/>
  <c r="I54" i="12"/>
  <c r="H55" i="12"/>
  <c r="I55" i="12" s="1"/>
  <c r="H57" i="12"/>
  <c r="I57" i="12" s="1"/>
  <c r="H58" i="12"/>
  <c r="I58" i="12" s="1"/>
  <c r="H59" i="12"/>
  <c r="I59" i="12" s="1"/>
  <c r="H60" i="12"/>
  <c r="I60" i="12"/>
  <c r="H61" i="12"/>
  <c r="I61" i="12" s="1"/>
  <c r="H62" i="12"/>
  <c r="I62" i="12" s="1"/>
  <c r="H63" i="12"/>
  <c r="I63" i="12" s="1"/>
  <c r="H64" i="12"/>
  <c r="I64" i="12" s="1"/>
  <c r="H65" i="12"/>
  <c r="I65" i="12" s="1"/>
  <c r="H66" i="12"/>
  <c r="I66" i="12"/>
  <c r="H69" i="12"/>
  <c r="I69" i="12"/>
  <c r="H70" i="12"/>
  <c r="I70" i="12" s="1"/>
  <c r="H81" i="12"/>
  <c r="I81" i="12" s="1"/>
  <c r="H82" i="12"/>
  <c r="I82" i="12" s="1"/>
  <c r="H83" i="12"/>
  <c r="I83" i="12" s="1"/>
  <c r="H84" i="12"/>
  <c r="I84" i="12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5" i="12"/>
  <c r="I95" i="12" s="1"/>
  <c r="H96" i="12"/>
  <c r="I96" i="12"/>
  <c r="H97" i="12"/>
  <c r="I97" i="12"/>
  <c r="H98" i="12"/>
  <c r="I98" i="12" s="1"/>
  <c r="H99" i="12"/>
  <c r="I99" i="12" s="1"/>
  <c r="H100" i="12"/>
  <c r="I100" i="12" s="1"/>
  <c r="H101" i="12"/>
  <c r="I101" i="12" s="1"/>
  <c r="H102" i="12"/>
  <c r="I102" i="12" s="1"/>
  <c r="H103" i="12"/>
  <c r="I103" i="12"/>
  <c r="H104" i="12"/>
  <c r="I104" i="12" s="1"/>
  <c r="H105" i="12"/>
  <c r="I105" i="12" s="1"/>
  <c r="H106" i="12"/>
  <c r="I106" i="12" s="1"/>
  <c r="H107" i="12"/>
  <c r="I107" i="12" s="1"/>
  <c r="H108" i="12"/>
  <c r="I108" i="12"/>
  <c r="H109" i="12"/>
  <c r="I109" i="12"/>
  <c r="H110" i="12"/>
  <c r="I110" i="12" s="1"/>
  <c r="H111" i="12"/>
  <c r="I111" i="12" s="1"/>
  <c r="H112" i="12"/>
  <c r="I112" i="12" s="1"/>
  <c r="H113" i="12"/>
  <c r="I113" i="12" s="1"/>
  <c r="H114" i="12"/>
  <c r="I114" i="12"/>
  <c r="H115" i="12"/>
  <c r="I115" i="12"/>
  <c r="H116" i="12"/>
  <c r="I116" i="12" s="1"/>
  <c r="H117" i="12"/>
  <c r="I117" i="12" s="1"/>
  <c r="H118" i="12"/>
  <c r="I118" i="12" s="1"/>
  <c r="H119" i="12"/>
  <c r="I119" i="12" s="1"/>
  <c r="H120" i="12"/>
  <c r="I120" i="12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/>
  <c r="H127" i="12"/>
  <c r="I127" i="12"/>
  <c r="H128" i="12"/>
  <c r="I128" i="12" s="1"/>
  <c r="H129" i="12"/>
  <c r="I129" i="12" s="1"/>
  <c r="H130" i="12"/>
  <c r="I130" i="12" s="1"/>
  <c r="H234" i="12"/>
  <c r="I234" i="12" s="1"/>
  <c r="H235" i="12"/>
  <c r="I235" i="12"/>
  <c r="H236" i="12"/>
  <c r="I236" i="12"/>
  <c r="H139" i="11"/>
  <c r="I139" i="11" s="1"/>
  <c r="H138" i="11"/>
  <c r="I138" i="11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99" i="11"/>
  <c r="I99" i="11" s="1"/>
  <c r="H98" i="11"/>
  <c r="I98" i="11" s="1"/>
  <c r="H96" i="11"/>
  <c r="I96" i="11" s="1"/>
  <c r="H95" i="11"/>
  <c r="I95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I81" i="11" s="1"/>
  <c r="H80" i="11"/>
  <c r="I80" i="11" s="1"/>
  <c r="H79" i="11"/>
  <c r="I79" i="11" s="1"/>
  <c r="H77" i="11"/>
  <c r="I77" i="11" s="1"/>
  <c r="H76" i="11"/>
  <c r="I76" i="11" s="1"/>
  <c r="H74" i="11"/>
  <c r="I74" i="11" s="1"/>
  <c r="H73" i="11"/>
  <c r="I73" i="11" s="1"/>
  <c r="H72" i="11"/>
  <c r="I72" i="11" s="1"/>
  <c r="H70" i="11"/>
  <c r="I70" i="11" s="1"/>
  <c r="H69" i="11"/>
  <c r="I69" i="11" s="1"/>
  <c r="H68" i="11"/>
  <c r="I68" i="11" s="1"/>
  <c r="H67" i="11"/>
  <c r="I67" i="11" s="1"/>
  <c r="H66" i="11"/>
  <c r="I66" i="11" s="1"/>
  <c r="H65" i="11"/>
  <c r="I65" i="11" s="1"/>
  <c r="H64" i="11"/>
  <c r="I64" i="11" s="1"/>
  <c r="H62" i="11"/>
  <c r="I62" i="11" s="1"/>
  <c r="H61" i="11"/>
  <c r="I61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7" i="11"/>
  <c r="I17" i="11" s="1"/>
  <c r="H16" i="11"/>
  <c r="I16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T32" i="10"/>
  <c r="T31" i="10"/>
  <c r="T30" i="10"/>
  <c r="O29" i="10"/>
  <c r="R29" i="10" s="1"/>
  <c r="N29" i="10"/>
  <c r="Q29" i="10" s="1"/>
  <c r="O28" i="10"/>
  <c r="R28" i="10" s="1"/>
  <c r="N28" i="10"/>
  <c r="Q28" i="10" s="1"/>
  <c r="P29" i="10" l="1"/>
  <c r="S29" i="10" s="1"/>
  <c r="T29" i="10" s="1"/>
  <c r="P28" i="10"/>
  <c r="S28" i="10" s="1"/>
  <c r="T28" i="10" s="1"/>
</calcChain>
</file>

<file path=xl/sharedStrings.xml><?xml version="1.0" encoding="utf-8"?>
<sst xmlns="http://schemas.openxmlformats.org/spreadsheetml/2006/main" count="1230" uniqueCount="772">
  <si>
    <t>Ser</t>
  </si>
  <si>
    <t xml:space="preserve">Make &amp; Eqpt </t>
  </si>
  <si>
    <t>Dependency</t>
  </si>
  <si>
    <t>NMC Due to</t>
  </si>
  <si>
    <t>Total NMC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</si>
  <si>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</si>
  <si>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</si>
  <si>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</si>
  <si>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</si>
  <si>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</si>
  <si>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</si>
  <si>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</si>
  <si>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MUA</t>
  </si>
  <si>
    <t>Spares</t>
  </si>
  <si>
    <t>OBE</t>
  </si>
  <si>
    <t xml:space="preserve"> </t>
  </si>
  <si>
    <t>Total</t>
  </si>
  <si>
    <t>Category (Make &amp; Type)</t>
  </si>
  <si>
    <t>PMC (Nos) 
(Due to OH)</t>
  </si>
  <si>
    <t>OH</t>
  </si>
  <si>
    <t>FR</t>
  </si>
  <si>
    <t>R4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</si>
  <si>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</si>
  <si>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</si>
  <si>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</si>
  <si>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</si>
  <si>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</si>
  <si>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</si>
  <si>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</si>
  <si>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</si>
  <si>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</si>
  <si>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</si>
  <si>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</si>
  <si>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</si>
  <si>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</si>
  <si>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</si>
  <si>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</si>
  <si>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</si>
  <si>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</si>
  <si>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</si>
  <si>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FMC</t>
  </si>
  <si>
    <t/>
  </si>
  <si>
    <t>Appx A (A veh)</t>
  </si>
  <si>
    <t>FMN READINESS STATE  : 'A' VEHS</t>
  </si>
  <si>
    <t>Units</t>
  </si>
  <si>
    <t>Eng</t>
  </si>
  <si>
    <t>MR</t>
  </si>
  <si>
    <t>(xix)</t>
  </si>
  <si>
    <t>(xx)</t>
  </si>
  <si>
    <t>WE Eqpt</t>
  </si>
  <si>
    <t>65 Armd Regt</t>
  </si>
  <si>
    <t>88 Armd Regt</t>
  </si>
  <si>
    <t>8 Guards</t>
  </si>
  <si>
    <t>79 Med Regt</t>
  </si>
  <si>
    <t>A Veh Pl</t>
  </si>
  <si>
    <t>8 GUARDS</t>
  </si>
  <si>
    <t>A Veh pl</t>
  </si>
  <si>
    <t xml:space="preserve">                                                                                                                                                                                                              APPX A (B veh)</t>
  </si>
  <si>
    <t>Ser No</t>
  </si>
  <si>
    <t>R4/ CL-V &amp; VI</t>
  </si>
  <si>
    <t>LIGHT VEHICLE</t>
  </si>
  <si>
    <t>Special Vehicle</t>
  </si>
  <si>
    <t>01x Decl Cl V</t>
  </si>
  <si>
    <t>Ambulance Vehs</t>
  </si>
  <si>
    <t>01 x CL VI (GLOF)</t>
  </si>
  <si>
    <t>01 x Under Cl V                                                                                                            01 x CL VI (GLOF)</t>
  </si>
  <si>
    <t>04 x Decl CL-V 
01 x CL VI (GLOF)                                                                                                          01 X Rear axle Dmd</t>
  </si>
  <si>
    <t>02 x Decl Cl V</t>
  </si>
  <si>
    <t>01 x Chassis crack (DR raised)</t>
  </si>
  <si>
    <t>Recovery Vehs</t>
  </si>
  <si>
    <t>Water Browser</t>
  </si>
  <si>
    <t>NIV / CIV Pattern Vehs</t>
  </si>
  <si>
    <t xml:space="preserve">01 x Decl CL-V </t>
  </si>
  <si>
    <t>03 x Decl CL-V</t>
  </si>
  <si>
    <t>03 x  Decl Cl -V</t>
  </si>
  <si>
    <t>Trailer</t>
  </si>
  <si>
    <t>01 x Tlr of 963 TPT Pl ASC off Rd due to Boggy Bend</t>
  </si>
  <si>
    <t>Misc Vehicles</t>
  </si>
  <si>
    <t>01xStarting trouble (Eng assy reqd OH, OEM vis fwd area for repair of IPMV on 05 Aug 2025).</t>
  </si>
  <si>
    <t xml:space="preserve">02x Decl Cl V
</t>
  </si>
  <si>
    <t xml:space="preserve">02 x decl Cl V </t>
  </si>
  <si>
    <t>Addl Eqpt</t>
  </si>
  <si>
    <t>04 x BER &amp; 1 X OH, 
02 x Loss in GLOF (Flood)</t>
  </si>
  <si>
    <t>01 x BER</t>
  </si>
  <si>
    <t xml:space="preserve">04 x BER </t>
  </si>
  <si>
    <t>03 X BER 
03 x Loss in GLOF (Flood)</t>
  </si>
  <si>
    <t>02 x BER</t>
  </si>
  <si>
    <t>01 x Loss in GLOF (Flood)</t>
  </si>
  <si>
    <t>01 x BER  
01 x Loss in GLOF (Flood)</t>
  </si>
  <si>
    <t>12 x BER &amp; 02 x OH
01 x Loss in GLOF (Flood)</t>
  </si>
  <si>
    <t>05 x BER
01 x Loss in GLOF (Flood)</t>
  </si>
  <si>
    <t>01 x GEN SET FRLASH FLOOD</t>
  </si>
  <si>
    <t>02 x Decl CL VI</t>
  </si>
  <si>
    <t>01 x Decl CL VI</t>
  </si>
  <si>
    <t>GENR SET AND CHG SET</t>
  </si>
  <si>
    <t>BRIDGING EQPT</t>
  </si>
  <si>
    <t xml:space="preserve">02 x Mobile Mast Hydraulic oil seal Demand </t>
  </si>
  <si>
    <t>Mobile Mast</t>
  </si>
  <si>
    <t>BRIDGING EQPT AND MOBILE MASTS</t>
  </si>
  <si>
    <t>Misc Eqpt</t>
  </si>
  <si>
    <t>Mining Eqpt</t>
  </si>
  <si>
    <t>Out Board Motor</t>
  </si>
  <si>
    <t>Air Compressor</t>
  </si>
  <si>
    <t>01x Gear box n/w parts under demand at unit level on 20 Feb 2024</t>
  </si>
  <si>
    <t xml:space="preserve">01x Eqpt decl CL-VI </t>
  </si>
  <si>
    <t>Construction Eqpt</t>
  </si>
  <si>
    <t>Excavator Loader</t>
  </si>
  <si>
    <t>Wheel Dozer</t>
  </si>
  <si>
    <t>01x CL-VI (Docu under process)</t>
  </si>
  <si>
    <t>Tracked Dozer</t>
  </si>
  <si>
    <t>PLANT AND MACHY EQPT</t>
  </si>
  <si>
    <t>R4/CL-V &amp; VI</t>
  </si>
  <si>
    <t xml:space="preserve">Remarks
(Demand details of VOR/EOA ) </t>
  </si>
  <si>
    <t>FMN READINESS STATE :  C VEHS</t>
  </si>
  <si>
    <t>Appx A (C Veh)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</si>
  <si>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Arial"/>
        <family val="2"/>
      </rPr>
      <t>APPX A-III (a) (C veh)</t>
    </r>
  </si>
  <si>
    <t>FMN READINESS STATE  : ARMT</t>
  </si>
  <si>
    <t>Brl dmd and cont Number recd (cont no 4503646640 dt 22 Feb 2024)</t>
  </si>
  <si>
    <t>01 x Brl Assy decl UNSV by CQA Jabalpur</t>
  </si>
  <si>
    <t xml:space="preserve">(i) 18X11962W - Cart Base Disposal Mech , CBDM re-demanded vide demand no TSS/EOA/T-90/002 dt 11 May 2023 to CAFVD Kirkee. 
</t>
  </si>
  <si>
    <t>FMN READINESS STATE : 'B' VEH OF HQ 33 CORPS (EME) FOR THE MONTH OF Nov 2025</t>
  </si>
  <si>
    <t xml:space="preserve">01 x Decl CL-V (Under Deposition)
01 x Gear Box &amp; Aux Gear Box Dmd
04 x Eng Demand                                                                                                      01 x ALS LRV loss in GLOF
</t>
  </si>
  <si>
    <t>01x MUAs dmd</t>
  </si>
  <si>
    <t>01 x MUA Dmd</t>
  </si>
  <si>
    <t>02 x Decl CL-V                                                                                                                                                                                                        01x loss in GLOF</t>
  </si>
  <si>
    <t>01 x Track shoe assy demanded by user unit (C No - M/2070 dt 29 Apr 2024
01 x Gear box Dmd</t>
  </si>
  <si>
    <t xml:space="preserve">03 x Eng Assy Demand </t>
  </si>
  <si>
    <t>DR Raised</t>
  </si>
  <si>
    <t>STATE OF CBRN EQPT TO BE SUSTAINED BY EME</t>
  </si>
  <si>
    <t>Make &amp; Type</t>
  </si>
  <si>
    <t>UNSV</t>
  </si>
  <si>
    <t>Auth</t>
  </si>
  <si>
    <t>Held</t>
  </si>
  <si>
    <t xml:space="preserve"> DRWO </t>
  </si>
  <si>
    <t>Remarks</t>
  </si>
  <si>
    <t xml:space="preserve">     </t>
  </si>
  <si>
    <t>'S'</t>
  </si>
  <si>
    <t>01x 20 Mtn Div (UNSV) , RTE .               02x 17 Mtn Div</t>
  </si>
  <si>
    <r>
      <rPr>
        <sz val="16"/>
        <color rgb="FFFF0000"/>
        <rFont val="Arial"/>
        <family val="2"/>
      </rPr>
      <t xml:space="preserve">13 x  Decl CL-V /VI </t>
    </r>
    <r>
      <rPr>
        <sz val="16"/>
        <rFont val="Arial"/>
        <family val="2"/>
      </rPr>
      <t xml:space="preserve">
18 x Eng Assy Dmd
01 x MUA Dmd</t>
    </r>
  </si>
  <si>
    <r>
      <t xml:space="preserve">10 x Eng assy Dmd                                                                                                                                            12 x MUAs Dmd
</t>
    </r>
    <r>
      <rPr>
        <sz val="16"/>
        <color rgb="FFFF0000"/>
        <rFont val="Arial"/>
        <family val="2"/>
      </rPr>
      <t xml:space="preserve">40 x Decl CL-V/VI  </t>
    </r>
    <r>
      <rPr>
        <sz val="16"/>
        <rFont val="Arial"/>
        <family val="2"/>
      </rPr>
      <t xml:space="preserve">                                  
02 x Accidential Veh</t>
    </r>
  </si>
  <si>
    <r>
      <rPr>
        <sz val="16"/>
        <color rgb="FFFF0000"/>
        <rFont val="Arial"/>
        <family val="2"/>
      </rPr>
      <t>50 x CL-V/VI (05 x ALS loss in GLOF)</t>
    </r>
    <r>
      <rPr>
        <sz val="16"/>
        <rFont val="Arial"/>
        <family val="2"/>
      </rPr>
      <t xml:space="preserve">
09 x Eng assy demanded 
06 x MUAs Dmd</t>
    </r>
  </si>
  <si>
    <r>
      <t xml:space="preserve">01 x Decl Cl-V                                                                                          </t>
    </r>
    <r>
      <rPr>
        <sz val="16"/>
        <color rgb="FFFF0000"/>
        <rFont val="Arial"/>
        <family val="2"/>
      </rPr>
      <t xml:space="preserve">    </t>
    </r>
    <r>
      <rPr>
        <sz val="16"/>
        <color theme="1"/>
        <rFont val="Arial"/>
        <family val="2"/>
      </rPr>
      <t xml:space="preserve">                 </t>
    </r>
  </si>
  <si>
    <r>
      <t xml:space="preserve">01 x MUA Dmd
</t>
    </r>
    <r>
      <rPr>
        <sz val="16"/>
        <color rgb="FFFF0000"/>
        <rFont val="Arial"/>
        <family val="2"/>
      </rPr>
      <t xml:space="preserve">02 x HRV AV-15 under BOH </t>
    </r>
  </si>
  <si>
    <r>
      <rPr>
        <b/>
        <sz val="14"/>
        <rFont val="Arial"/>
        <family val="2"/>
      </rPr>
      <t xml:space="preserve">           Appx B</t>
    </r>
    <r>
      <rPr>
        <b/>
        <u/>
        <sz val="14"/>
        <rFont val="Arial"/>
        <family val="2"/>
      </rPr>
      <t xml:space="preserve">
</t>
    </r>
    <r>
      <rPr>
        <b/>
        <sz val="14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</t>
    </r>
  </si>
  <si>
    <r>
      <t>04x Gun Under BOH</t>
    </r>
    <r>
      <rPr>
        <sz val="14"/>
        <color rgb="FFFF0000"/>
        <rFont val="Arial"/>
        <family val="2"/>
      </rPr>
      <t xml:space="preserve"> </t>
    </r>
    <r>
      <rPr>
        <sz val="14"/>
        <rFont val="Arial"/>
        <family val="2"/>
      </rPr>
      <t xml:space="preserve">                                                                                                                                                    .</t>
    </r>
  </si>
  <si>
    <t xml:space="preserve">01 x VOR for eng assy demanded.                                                      </t>
  </si>
  <si>
    <r>
      <rPr>
        <sz val="14"/>
        <color theme="1"/>
        <rFont val="Arial"/>
        <family val="2"/>
      </rPr>
      <t xml:space="preserve">04x Gun Under BOH  (01 x 724 Eng Demand &amp; Under BOH)   </t>
    </r>
    <r>
      <rPr>
        <sz val="14"/>
        <color rgb="FFFF000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</t>
    </r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</si>
  <si>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</si>
  <si>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</si>
  <si>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</si>
  <si>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</si>
  <si>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</si>
  <si>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</si>
  <si>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</si>
  <si>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</si>
  <si>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</si>
  <si>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</si>
  <si>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</si>
  <si>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</si>
  <si>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</si>
  <si>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</si>
  <si>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</si>
  <si>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</si>
  <si>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</si>
  <si>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</si>
  <si>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</si>
  <si>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</si>
  <si>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</si>
  <si>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</si>
  <si>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</si>
  <si>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</si>
  <si>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</si>
  <si>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</si>
  <si>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</si>
  <si>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</si>
  <si>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</si>
  <si>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</si>
  <si>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</si>
  <si>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</si>
  <si>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</si>
  <si>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</si>
  <si>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</si>
  <si>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</si>
  <si>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</si>
  <si>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</si>
  <si>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</si>
  <si>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</si>
  <si>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</si>
  <si>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</si>
  <si>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</si>
  <si>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</si>
  <si>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</si>
  <si>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</si>
  <si>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</si>
  <si>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</si>
  <si>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</si>
  <si>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</si>
  <si>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</si>
  <si>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</si>
  <si>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</si>
  <si>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</si>
  <si>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</si>
  <si>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</si>
  <si>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</si>
  <si>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</si>
  <si>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</si>
  <si>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</si>
  <si>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</si>
  <si>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</si>
  <si>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</si>
  <si>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</si>
  <si>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</si>
  <si>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</si>
  <si>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</si>
  <si>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</si>
  <si>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</si>
  <si>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</si>
  <si>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</si>
  <si>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</si>
  <si>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</si>
  <si>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</si>
  <si>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</si>
  <si>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</si>
  <si>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</si>
  <si>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</si>
  <si>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</si>
  <si>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</si>
  <si>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</si>
  <si>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</si>
  <si>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</si>
  <si>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</si>
  <si>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</si>
  <si>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</si>
  <si>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</si>
  <si>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</si>
  <si>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</si>
  <si>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</si>
  <si>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</si>
  <si>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</si>
  <si>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</si>
  <si>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</si>
  <si>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</si>
  <si>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</si>
  <si>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</si>
  <si>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</si>
  <si>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</si>
  <si>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</si>
  <si>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</si>
  <si>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</si>
  <si>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</si>
  <si>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</si>
  <si>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</si>
  <si>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</si>
  <si>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</si>
  <si>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</si>
  <si>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</si>
  <si>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</si>
  <si>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</si>
  <si>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</si>
  <si>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</si>
  <si>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</si>
  <si>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</si>
  <si>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</si>
  <si>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</si>
  <si>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</si>
  <si>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</si>
  <si>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</si>
  <si>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</si>
  <si>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</si>
  <si>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</si>
  <si>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</si>
  <si>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</si>
  <si>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</si>
  <si>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</si>
  <si>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</si>
  <si>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</si>
  <si>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</si>
  <si>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</si>
  <si>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</si>
  <si>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</si>
  <si>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</si>
  <si>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</si>
  <si>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Cl V/VI(01 x Accident veh)
01x  under BOH at W6</t>
  </si>
  <si>
    <t xml:space="preserve">04 x Veh Under BOH at W5 
02 x CL-V                                                                                                                      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</si>
  <si>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</si>
  <si>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</si>
  <si>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</si>
  <si>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</si>
  <si>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</si>
  <si>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</si>
  <si>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</si>
  <si>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</si>
  <si>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</si>
  <si>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</si>
  <si>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</si>
  <si>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</si>
  <si>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</si>
  <si>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</si>
  <si>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</si>
  <si>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</si>
  <si>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</si>
  <si>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</si>
  <si>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</si>
  <si>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</si>
  <si>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</si>
  <si>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</si>
  <si>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</si>
  <si>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</si>
  <si>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</si>
  <si>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</si>
  <si>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</si>
  <si>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</si>
  <si>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</si>
  <si>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</si>
  <si>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</si>
  <si>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</si>
  <si>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</si>
  <si>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</si>
  <si>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</si>
  <si>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</si>
  <si>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</si>
  <si>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</si>
  <si>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</si>
  <si>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</si>
  <si>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</si>
  <si>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</si>
  <si>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</si>
  <si>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</si>
  <si>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</si>
  <si>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</si>
  <si>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</si>
  <si>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</si>
  <si>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</si>
  <si>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</si>
  <si>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</si>
  <si>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</si>
  <si>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</si>
  <si>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</si>
  <si>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</si>
  <si>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</si>
  <si>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</si>
  <si>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</si>
  <si>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</si>
  <si>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</si>
  <si>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</si>
  <si>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</si>
  <si>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</si>
  <si>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</si>
  <si>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</si>
  <si>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</si>
  <si>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</si>
  <si>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</si>
  <si>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</si>
  <si>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</si>
  <si>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</si>
  <si>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</si>
  <si>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</si>
  <si>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</si>
  <si>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</si>
  <si>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</si>
  <si>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</si>
  <si>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</si>
  <si>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</si>
  <si>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</si>
  <si>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</si>
  <si>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</si>
  <si>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</si>
  <si>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</si>
  <si>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</si>
  <si>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</si>
  <si>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</si>
  <si>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</si>
  <si>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</si>
  <si>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</si>
  <si>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</si>
  <si>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</si>
  <si>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</si>
  <si>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</si>
  <si>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</si>
  <si>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</si>
  <si>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</si>
  <si>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</si>
  <si>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</si>
  <si>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</si>
  <si>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</si>
  <si>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</si>
  <si>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</si>
  <si>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</si>
  <si>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</si>
  <si>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</si>
  <si>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</si>
  <si>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</si>
  <si>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</si>
  <si>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</si>
  <si>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</si>
  <si>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</si>
  <si>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</si>
  <si>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</si>
  <si>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</si>
  <si>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</si>
  <si>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</si>
  <si>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</si>
  <si>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</si>
  <si>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</si>
  <si>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</si>
  <si>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</si>
  <si>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</si>
  <si>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</si>
  <si>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</si>
  <si>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</si>
  <si>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</si>
  <si>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</si>
  <si>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</si>
  <si>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</si>
  <si>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</si>
  <si>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</si>
  <si>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</si>
  <si>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</si>
  <si>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</si>
  <si>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</si>
  <si>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</si>
  <si>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</si>
  <si>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</si>
  <si>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</si>
  <si>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</si>
  <si>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</si>
  <si>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</si>
  <si>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</si>
  <si>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</si>
  <si>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</si>
  <si>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</si>
  <si>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</si>
  <si>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</si>
  <si>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</si>
  <si>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</si>
  <si>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</si>
  <si>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</si>
  <si>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</si>
  <si>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</si>
  <si>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</si>
  <si>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</si>
  <si>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</si>
  <si>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</si>
  <si>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</si>
  <si>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</si>
  <si>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</si>
  <si>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</si>
  <si>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</si>
  <si>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</si>
  <si>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</si>
  <si>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</si>
  <si>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</si>
  <si>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</si>
  <si>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</si>
  <si>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</si>
  <si>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</si>
  <si>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</si>
  <si>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</si>
  <si>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</si>
  <si>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</si>
  <si>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</si>
  <si>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</si>
  <si>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</si>
  <si>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</si>
  <si>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</si>
  <si>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</si>
  <si>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</si>
  <si>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</si>
  <si>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</si>
  <si>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</si>
  <si>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</si>
  <si>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</si>
  <si>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</si>
  <si>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</si>
  <si>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</si>
  <si>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</si>
  <si>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</si>
  <si>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</si>
  <si>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</si>
  <si>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</si>
  <si>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</si>
  <si>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</si>
  <si>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</si>
  <si>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</si>
  <si>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</si>
  <si>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</si>
  <si>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</si>
  <si>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</si>
  <si>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</si>
  <si>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</si>
  <si>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</si>
  <si>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</si>
  <si>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</si>
  <si>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</si>
  <si>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</si>
  <si>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</si>
  <si>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</si>
  <si>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</si>
  <si>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</si>
  <si>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</si>
  <si>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</si>
  <si>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New Issue of U45</t>
  </si>
  <si>
    <t>03x MML decl Cl-VI and MRP fixation letter fwd to ESD Kankinara vy U42
03x MML of U42 decl Cl- VI</t>
  </si>
  <si>
    <t>Newly collected Eqpt
01× Road Roller (CASE 952 Ex) out of ACSFP grant newly collected by U46.</t>
  </si>
  <si>
    <t xml:space="preserve">03 x Eng Demand (U39)
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</si>
  <si>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</si>
  <si>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</si>
  <si>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</si>
  <si>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</si>
  <si>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</si>
  <si>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</si>
  <si>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</si>
  <si>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</si>
  <si>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</si>
  <si>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</si>
  <si>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</si>
  <si>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</si>
  <si>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</si>
  <si>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</si>
  <si>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</si>
  <si>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</si>
  <si>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</si>
  <si>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</si>
  <si>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</si>
  <si>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</si>
  <si>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01 x Guns U49  (Regd No L/1403) under BOH at W7 wef 07 Nov 25.                     
02 x Guns U50 (Regd No L/0924 &amp; L/0925) under BOH at W7 wef 13 Sep 2025.PDC Date recd for 05 Dec 25.
02 x Guns 77 &amp; U51 (Regd No L/1192 &amp; L/1129) under BOH at W7 &amp; 17 CZW wef 07 Nov &amp; 22 Oct 2025.
*02 x Gun    Regd No L/1337 &amp; 1020 under BOH at U52 on dt 14 Oct 25
*01 x Gun Regd No L/1202   of U53 under BOH at W7 dt  23 Aug 25 
02 x Gun Regd No L/328 &amp; 330  of U54 under BOH at W7 dt 08 &amp; 09 Aug 25 
01 x Regd No L/1168 Due to Muzzle Brake Demand on dt 12 May 25
01 x Regd No L/1221 Due to Gun Brl  &amp; Muzzle Brake dt 12 May 25
03 X Regd No L/1048/1065 &amp; 1063 under BOH at 29 May 25</t>
  </si>
  <si>
    <t>(i)  01 x   Recuparator cyl and  recoil brake demand through Ord Ch by wksp vide demand No TSS/EOA/Tk T-72/125MM GUN /09 dt 02 Aug 2022. 
(BA No 87X 3721L).
(ii) 04 x Gun 125 MM demanded of U3
(iii) 01 x Recuparator cyl Bkn  DR Raise of 10Armd Regt  under progress.</t>
  </si>
  <si>
    <t xml:space="preserve">(i)  01 x Feed lever Assy demanded vide demand no TSS/EOA/ICVS /BMP-II/008 dt 18 Oct 2023 and same is controled on 06 Dec 23 of BA No 93X 5684P 
(ii) 01x Catch assy bkn(BA No 91X 5325H) of U7 , demanded by this wksp  vide demand No TSS/VOR/Gun 30MM/03 dt 03 Jul 24.                                                                                                                  </t>
  </si>
  <si>
    <t>N1</t>
  </si>
  <si>
    <t>N2</t>
  </si>
  <si>
    <t>N3</t>
  </si>
  <si>
    <t>N4</t>
  </si>
  <si>
    <t>N5</t>
  </si>
  <si>
    <t>N6</t>
  </si>
  <si>
    <t>N7</t>
  </si>
  <si>
    <t>FMN READINESS STATE  : SMALL ARMS</t>
  </si>
  <si>
    <t xml:space="preserve">PMC (Nos) 
</t>
  </si>
  <si>
    <t>FMC (Nos)</t>
  </si>
  <si>
    <t>Eng/
 Brl</t>
  </si>
  <si>
    <t xml:space="preserve"> Under OH /MR/R4/
FR/ Base Repair</t>
  </si>
  <si>
    <t>S1</t>
  </si>
  <si>
    <t>S2</t>
  </si>
  <si>
    <t>S3</t>
  </si>
  <si>
    <t>07 x Cocking Arm Assy demanded (U73)
02 x Lever bottle assy Demanded (U73)
10 x Cocking Arm Assy demanded (U74)</t>
  </si>
  <si>
    <t>S4</t>
  </si>
  <si>
    <t>S5</t>
  </si>
  <si>
    <t>S6</t>
  </si>
  <si>
    <t xml:space="preserve">01 x Carrying Handle Dmd 
02 x Bipod Assy Bkn Dmd placed 
01X Decl R4 awaiting for backloading. 15 RAJPUT. Call-in notice recd to deposit by 4th week of Dec 2025. 
 01 x Ventury Demanded (U77)
(PMC-01)
01 x 84 mm RL Mk-III (Regd No  16917) of U78, Bipod Melted demanded by U79.(Demand Details as per Annex I of Appx C)
</t>
  </si>
  <si>
    <t>S7</t>
  </si>
  <si>
    <t xml:space="preserve">01x Wpn lost in GLOF
</t>
  </si>
  <si>
    <t>S8</t>
  </si>
  <si>
    <t>S9</t>
  </si>
  <si>
    <t>S10</t>
  </si>
  <si>
    <t xml:space="preserve">49 x Wpn lost in GLOF
01 x R4 in r/o 221 Fd Regt
</t>
  </si>
  <si>
    <t>S11</t>
  </si>
  <si>
    <t>S12</t>
  </si>
  <si>
    <t>S13</t>
  </si>
  <si>
    <t>S14</t>
  </si>
  <si>
    <t>S15</t>
  </si>
  <si>
    <t>S16</t>
  </si>
  <si>
    <t xml:space="preserve">
02 x Wpn Decl R4
03X AK47 Declared R4</t>
  </si>
  <si>
    <t>S17</t>
  </si>
  <si>
    <t>S18</t>
  </si>
  <si>
    <t>S19</t>
  </si>
  <si>
    <t>S20</t>
  </si>
  <si>
    <t>S21</t>
  </si>
  <si>
    <t xml:space="preserve">04 x R4 in r/o U3
</t>
  </si>
  <si>
    <t>S22</t>
  </si>
  <si>
    <r>
      <rPr>
        <sz val="12"/>
        <color rgb="FFFF0000"/>
        <rFont val="Arial"/>
        <family val="2"/>
      </rPr>
      <t xml:space="preserve">01 x Rif  NMC due to Wpn Amn exploded in the chamber during firing practice. Documentation under prog.
07 x Rif  NMC due to road accident during Op Chaukas 24. 
12 x Rif Decl R4 awaiting for backloading.
01 x Rif Decl R4 awaiting for backloading.
</t>
    </r>
    <r>
      <rPr>
        <sz val="12"/>
        <color theme="1"/>
        <rFont val="Arial"/>
        <family val="2"/>
      </rPr>
      <t>238 X R4  WPN 
42x Wpn lost in GLOF</t>
    </r>
  </si>
  <si>
    <t>S23</t>
  </si>
  <si>
    <t>S24</t>
  </si>
  <si>
    <t>98x Wpn Damaged during GLOF
15 x  Wpn decl Unsv due to RRC sheared off &amp; 01 x Unsv due to Boss Bayonet worn out, CR issued on 16 Sep 2025 awaiting for CIN.
03 x wpn of 15 SIKH LI &amp; 01 x wpn of 166 Mtn Bde Sig Coy decl R4 during ATI on 25 Feb 25
76 x Decl R4</t>
  </si>
  <si>
    <t>S25</t>
  </si>
  <si>
    <t>19 x OBT</t>
  </si>
  <si>
    <t>S26</t>
  </si>
  <si>
    <t>16x Wpn Damaged during GLOF
 15 X Wpn decl R4</t>
  </si>
  <si>
    <t>S27</t>
  </si>
  <si>
    <r>
      <t>03 X off rd due to Rt channel bkn 
02 x off rd due to more than 3 rivets loose .</t>
    </r>
    <r>
      <rPr>
        <b/>
        <u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 xml:space="preserve">04 x Decl R4 </t>
    </r>
  </si>
  <si>
    <t>S28</t>
  </si>
  <si>
    <t>S29</t>
  </si>
  <si>
    <t>S30</t>
  </si>
  <si>
    <t>S31</t>
  </si>
  <si>
    <t>S32</t>
  </si>
  <si>
    <t>S33</t>
  </si>
  <si>
    <t>S34</t>
  </si>
  <si>
    <t>03 X off rd due to Lt channel bkn.
01 x Under Inv due to stuck of Bullet</t>
  </si>
  <si>
    <t>S35</t>
  </si>
  <si>
    <t>S36</t>
  </si>
  <si>
    <t>S37</t>
  </si>
  <si>
    <t>S38</t>
  </si>
  <si>
    <t>S39</t>
  </si>
  <si>
    <t>01 x Decl R4
02 x R4 of U77</t>
  </si>
  <si>
    <t>S40</t>
  </si>
  <si>
    <t xml:space="preserve">
03X Rear Sight Assy in r/o U99 demanded.</t>
  </si>
  <si>
    <t>S41</t>
  </si>
  <si>
    <t xml:space="preserve">
06 x Packer Assy repaired by W7
02 x Packer Assy Under repair at W7 
01 x Breech Assy Dmd
02 x AGL packer assy loose under repair at W7\
01 x Packer Assy demanded U89</t>
  </si>
  <si>
    <t>S42</t>
  </si>
  <si>
    <t>S43</t>
  </si>
  <si>
    <t>S44</t>
  </si>
  <si>
    <t xml:space="preserve">
01 x Brl blast during RCWS Validation</t>
  </si>
  <si>
    <t>S45</t>
  </si>
  <si>
    <t>S46</t>
  </si>
  <si>
    <t>S47</t>
  </si>
  <si>
    <t>S48</t>
  </si>
  <si>
    <t xml:space="preserve">
04 x R4 
34 x OBE 
</t>
  </si>
  <si>
    <t>S49</t>
  </si>
  <si>
    <t>S50</t>
  </si>
  <si>
    <t>05 x Wpn decl R4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</si>
  <si>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</si>
  <si>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</si>
  <si>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</si>
  <si>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</si>
  <si>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</si>
  <si>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</si>
  <si>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</si>
  <si>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</si>
  <si>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</si>
  <si>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</si>
  <si>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</si>
  <si>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</si>
  <si>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</si>
  <si>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</si>
  <si>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</si>
  <si>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05 x off rd due to cocking lever stopper &amp; safety lever brl broken</t>
  </si>
  <si>
    <t>S66</t>
  </si>
  <si>
    <t>S67</t>
  </si>
  <si>
    <t xml:space="preserve">Appx E
</t>
  </si>
  <si>
    <t>FMN READINESS STATE  : INSTS</t>
  </si>
  <si>
    <t xml:space="preserve">NMC due to </t>
  </si>
  <si>
    <t>Auth 
(UE)</t>
  </si>
  <si>
    <t xml:space="preserve"> Under OH /R4/FR/  Base Repair</t>
  </si>
  <si>
    <t>NMC</t>
  </si>
  <si>
    <t>%</t>
  </si>
  <si>
    <t>S1.1</t>
  </si>
  <si>
    <t>S1.2</t>
  </si>
  <si>
    <t>S1.3</t>
  </si>
  <si>
    <t>S1.4</t>
  </si>
  <si>
    <t xml:space="preserve">
De-kitting of 45 x TISAS kits is under progress at 
U3 unit loc, Yongdi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</si>
  <si>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</si>
  <si>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</si>
  <si>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</si>
  <si>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</si>
  <si>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</si>
  <si>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</si>
  <si>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</si>
  <si>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</si>
  <si>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</si>
  <si>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</si>
  <si>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 xml:space="preserve">
01 x Sight -1G 46 fwd to W2</t>
  </si>
  <si>
    <t>S4.2</t>
  </si>
  <si>
    <t xml:space="preserve">
02 x Control Unit, 01 x Mirror unit fwd to W2</t>
  </si>
  <si>
    <t>S4.3</t>
  </si>
  <si>
    <t>S4.4</t>
  </si>
  <si>
    <t>S5.1</t>
  </si>
  <si>
    <t xml:space="preserve">
05 x TKN-4S collected under fitment
07 x TKN-4S fwd to OLF Dehradun for CTI 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</si>
  <si>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</si>
  <si>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</si>
  <si>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</si>
  <si>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</si>
  <si>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</si>
  <si>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</si>
  <si>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</si>
  <si>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</si>
  <si>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</si>
  <si>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</si>
  <si>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</si>
  <si>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</si>
  <si>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</si>
  <si>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</si>
  <si>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</si>
  <si>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</si>
  <si>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</si>
  <si>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</si>
  <si>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</si>
  <si>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</si>
  <si>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</si>
  <si>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</si>
  <si>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</si>
  <si>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</si>
  <si>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</si>
  <si>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</si>
  <si>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</si>
  <si>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</si>
  <si>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SVL / OBSN / SIGHTING EQPTS (THERMAL IMAGING)</t>
  </si>
  <si>
    <t>01 x After stand by mode there is lining in screen, Eqpt u/r 
at Z1 wef 25 Aug 25
02 x Display faulty, under repair at Z1 
03 x HHTI under repair at Z2
05 x HHTI Fwd to Z2 for Getter Activation</t>
  </si>
  <si>
    <t xml:space="preserve">
01 x Eqpt not getting ON, Under repair at Z2 wef 25 Aug 25
02 x LRF u/r at Z2 
</t>
  </si>
  <si>
    <t xml:space="preserve">
01 x Under Wty repair at BEL, Machilipatnam
</t>
  </si>
  <si>
    <t>02 x Display not work, under repair at Z1
01 x DC connector faulty, under repair at BEL
620 EME Bn (02)
01 x LRF and map display not working u/r at Z1
01 x ANFM plate bkn u/r at Z1</t>
  </si>
  <si>
    <t>Hor line on display , eqpt not getting ON, under repair at Z2 wef 12 Aug 25 &amp;
02 x Display faulty, under repair at Z1 wef 22 Oct  25
02 x  ARTIMLR u/r at Z1</t>
  </si>
  <si>
    <t xml:space="preserve">
01 x Pan &amp; Tilt Sensor faulty
01 x Mother bd faulty, under repair at Z2 wef 06 Nov 25
</t>
  </si>
  <si>
    <t>LASER BASED INSTS</t>
  </si>
  <si>
    <t xml:space="preserve">01 x Range not found, further fwd toZ2 on 11 Jun 25 &amp; 
01 x Being fwd to Z1.                                      </t>
  </si>
  <si>
    <t xml:space="preserve">
01 x fwd to W2 by Z2 on 09 Jun 25</t>
  </si>
  <si>
    <t>PASSIVE NIGHT VISION DEVICES (PNVD)</t>
  </si>
  <si>
    <t xml:space="preserve">
04 x II Tube UNSV under repair at Z1.  Z1  demanded from COD Agra . COD Agra reply that II Tube is not available and will come in Dec 25.
03 x II Tube BER &amp; demanded by Z1,
03 x eqpt u/r at Z1      
02 x TI tube decl BER by Z1 and 02 x TI tube demanded  </t>
  </si>
  <si>
    <t>03 x II Tube faulty Under repair at Z1 . Z1 Decl BER and demanded from COD Agra . COD Agra reply that II Tube is not available and will come in Dec 25.
05 x II Tube BER &amp; demanded by Z1
05 x u/r at Z1
02 x II Tube Dmd by Z1 on 10/01/25 5 FOD on 11/6/22 for dmd No 222001/222022. C/53061/1B/Ext/Cont/122/350 dt 11/6/22 &amp; 05/05/22</t>
  </si>
  <si>
    <t xml:space="preserve">
01 x Under repair at W7 (Bty Compartment Bkn)</t>
  </si>
  <si>
    <t xml:space="preserve">06 x Eqpt EOA
07 x II Tube UNSV  under repair at Z1.  Z1 Decl BER and demanded from COD Agra . COD Agra reply that 
II Tube is not available and will come in Dec 25
07 X II tube BER &amp; demanded by Z1
08 x under repair at Z1 </t>
  </si>
  <si>
    <t>01 x II Tube BER &amp; demanded by Z1
01 x PNS u/r at Z1</t>
  </si>
  <si>
    <t>Optical Insts</t>
  </si>
  <si>
    <t>05x Rubber Armouring perished, Under repair at Z1 since 26 Jul 2025
01 x Hinge Bkn, Under repair at Z1.
04 x under repair at Z1</t>
  </si>
  <si>
    <t>S68</t>
  </si>
  <si>
    <t>S69</t>
  </si>
  <si>
    <t>S70</t>
  </si>
  <si>
    <t>S71</t>
  </si>
  <si>
    <t>S72</t>
  </si>
  <si>
    <t>S73</t>
  </si>
  <si>
    <t xml:space="preserve">
01 x Mount Catch demnded by dependent Wksp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</si>
  <si>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</si>
  <si>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</si>
  <si>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</si>
  <si>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</si>
  <si>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</si>
  <si>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</si>
  <si>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</si>
  <si>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</si>
  <si>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</si>
  <si>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</si>
  <si>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</si>
  <si>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</si>
  <si>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</si>
  <si>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</si>
  <si>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</si>
  <si>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</si>
  <si>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 xml:space="preserve">
02 x Electronic Unit fwd to W2
02 x TIMU &amp; 01 x GDCU fwd of DRWO to Z1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</si>
  <si>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</si>
  <si>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</si>
  <si>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</si>
  <si>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</si>
  <si>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</si>
  <si>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</si>
  <si>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</si>
  <si>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</si>
  <si>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</si>
  <si>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 xml:space="preserve">
01 x Sterliser Electric
01 x Bath Water Universal Decl BER
</t>
  </si>
  <si>
    <t>S99</t>
  </si>
  <si>
    <t>S100</t>
  </si>
  <si>
    <t xml:space="preserve">
01 x O2 Concentrator Faulty
01 X BP Monitor Faulty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</si>
  <si>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</si>
  <si>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</si>
  <si>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</si>
  <si>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</si>
  <si>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</si>
  <si>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</si>
  <si>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</si>
  <si>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</si>
  <si>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</si>
  <si>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</si>
  <si>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</si>
  <si>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01 x DR raised, eqpt under repair at TASL Bangalore.</t>
  </si>
  <si>
    <t>S112</t>
  </si>
  <si>
    <t>01 x DR raised, eqpt under repair at BEL Bangalore.
01 x Disp unit Faulty under wty repair at Tata Power Pvt ltd Banglore Ser No-SED 00454 dt 6 Jan 25)</t>
  </si>
  <si>
    <t>S113</t>
  </si>
  <si>
    <t>S114</t>
  </si>
  <si>
    <t>(i) 02 x Tk T-72 Under BOH of U1</t>
  </si>
  <si>
    <t xml:space="preserve"> 01 x VOR for eng assy dmd
 02 x Universal Joit &amp; Shaft Propeller dmd 
03 x EOA  Spares Dmd
 8 x EOA due to DRWO fwd to W1 / W2 ABW
 3 x MUA demanded (Gun 125mm)
 1 x Defect Report raised.</t>
  </si>
  <si>
    <t>5 (I) Armd Sqn</t>
  </si>
  <si>
    <t xml:space="preserve"> 1 x EOA for want of spares from H1/ F1.
  2 x EOA due to DRWO fwd to W1 / W2 ABW. 
</t>
  </si>
  <si>
    <t>6 Guards</t>
  </si>
  <si>
    <t xml:space="preserve">   1 x VOR for eng assy demanded. 
  1 x EOA for want of spares from H1/ F1.
  2 x ICV BMP-II Under FR.
   3x EOA due to DRWO fwd to W3 / W4 ABW
</t>
  </si>
  <si>
    <t>10 Armd Regt</t>
  </si>
  <si>
    <t xml:space="preserve">   1 x EOA for want of spares from H1/ F1
  1 x VT-72B Ba No-90X 7201Y CL-V</t>
  </si>
  <si>
    <t>01 x EOA for want of spares from H1</t>
  </si>
  <si>
    <t>6 GUARDS</t>
  </si>
  <si>
    <t xml:space="preserve"> 01 x VOR for eng assy demanded.                                                      </t>
  </si>
  <si>
    <t>(i) 01 x EOA for want of spares from H1/ F1</t>
  </si>
  <si>
    <t>(i) 02 x EOA for want of spares from H1/ F1</t>
  </si>
  <si>
    <t>15 x DRWOs fwd to W2/ W1.
01 x EOA for want of spares from H1/ F1
01 x Defect Report raised, investigation carried out wef 3-11 Nov 25 in unit loc by team ex GCF Jabalpur. 
01 x VOR for eng assy dmd</t>
  </si>
  <si>
    <t xml:space="preserve">  1 x VOR for eng assy demanded.
01 x MUAs Cut of Relay Eng Generator 
   2 x EOA due to DRWO fwd to W1 / W2 ABW.
01 x  Under MR at 33 CZW</t>
  </si>
  <si>
    <t xml:space="preserve">
  2 x EOA for want of spares from H1/ F1. </t>
  </si>
  <si>
    <t xml:space="preserve">
  1 x EOA for want of spares from H1/ F1. </t>
  </si>
  <si>
    <t xml:space="preserve">1 x VOR for eng assy demanded.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</si>
</sst>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sz val="16"/>
      <name val="Calibri"/>
      <family val="2"/>
      <scheme val="minor"/>
    </font>
    <font>
      <u/>
      <sz val="16"/>
      <name val="Arial"/>
      <family val="2"/>
    </font>
    <font>
      <sz val="8"/>
      <name val="Calibri"/>
      <family val="2"/>
      <scheme val="minor"/>
    </font>
    <font>
      <b/>
      <u/>
      <sz val="12"/>
      <color theme="1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" fillId="0" borderId="0"/>
  </cellStyleXfs>
  <cellXfs count="330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2" xfId="3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vertical="top" wrapText="1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top" wrapText="1"/>
    </xf>
    <xf numFmtId="10" fontId="10" fillId="2" borderId="2" xfId="0" applyNumberFormat="1" applyFont="1" applyFill="1" applyBorder="1" applyAlignment="1">
      <alignment horizontal="left" vertical="top" wrapText="1"/>
    </xf>
    <xf numFmtId="10" fontId="11" fillId="2" borderId="2" xfId="0" applyNumberFormat="1" applyFont="1" applyFill="1" applyBorder="1" applyAlignment="1">
      <alignment horizontal="left" vertical="top" wrapText="1"/>
    </xf>
    <xf numFmtId="10" fontId="10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8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7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vertical="top"/>
    </xf>
    <xf numFmtId="0" fontId="5" fillId="2" borderId="6" xfId="0" applyFont="1" applyFill="1" applyBorder="1" applyAlignment="1">
      <alignment horizontal="left" vertical="top" wrapText="1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horizontal="left" vertical="top" wrapText="1"/>
      <protection locked="0"/>
    </xf>
    <xf numFmtId="0" fontId="5" fillId="2" borderId="2" xfId="0" applyFont="1" applyFill="1" applyBorder="1"/>
    <xf numFmtId="0" fontId="3" fillId="2" borderId="2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vertical="center"/>
    </xf>
    <xf numFmtId="0" fontId="3" fillId="2" borderId="2" xfId="0" applyFont="1" applyFill="1" applyBorder="1" applyProtection="1">
      <protection locked="0"/>
    </xf>
    <xf numFmtId="0" fontId="7" fillId="2" borderId="0" xfId="0" applyFont="1" applyFill="1" applyAlignment="1">
      <alignment vertical="center"/>
    </xf>
    <xf numFmtId="0" fontId="3" fillId="2" borderId="0" xfId="0" applyFont="1" applyFill="1" applyProtection="1"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>
      <alignment horizontal="left" indent="2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left" wrapText="1"/>
      <protection locked="0"/>
    </xf>
    <xf numFmtId="0" fontId="2" fillId="2" borderId="2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left" indent="2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8" fillId="2" borderId="2" xfId="0" applyFont="1" applyFill="1" applyBorder="1" applyAlignment="1" applyProtection="1">
      <alignment horizontal="left" wrapText="1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top" wrapText="1"/>
    </xf>
    <xf numFmtId="0" fontId="18" fillId="2" borderId="7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 applyProtection="1">
      <alignment horizontal="left" vertical="center" wrapText="1"/>
      <protection locked="0"/>
    </xf>
    <xf numFmtId="0" fontId="15" fillId="2" borderId="2" xfId="0" applyFont="1" applyFill="1" applyBorder="1" applyAlignment="1" applyProtection="1">
      <alignment horizontal="left" vertical="center" wrapText="1"/>
      <protection locked="0"/>
    </xf>
    <xf numFmtId="0" fontId="19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 applyProtection="1">
      <alignment horizontal="left" vertical="top" wrapText="1"/>
      <protection locked="0"/>
    </xf>
    <xf numFmtId="0" fontId="10" fillId="2" borderId="0" xfId="0" applyFont="1" applyFill="1" applyAlignment="1">
      <alignment horizontal="left" vertical="center"/>
    </xf>
    <xf numFmtId="0" fontId="10" fillId="2" borderId="2" xfId="3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left" vertical="top"/>
    </xf>
    <xf numFmtId="0" fontId="22" fillId="2" borderId="2" xfId="0" applyFont="1" applyFill="1" applyBorder="1" applyAlignment="1">
      <alignment horizontal="center" vertical="top" wrapText="1"/>
    </xf>
    <xf numFmtId="0" fontId="22" fillId="2" borderId="2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top"/>
    </xf>
    <xf numFmtId="0" fontId="22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center" vertical="top"/>
    </xf>
    <xf numFmtId="0" fontId="20" fillId="2" borderId="2" xfId="0" applyFont="1" applyFill="1" applyBorder="1" applyAlignment="1">
      <alignment horizontal="left" vertical="top" wrapText="1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1" fontId="15" fillId="2" borderId="3" xfId="2" applyNumberFormat="1" applyFont="1" applyFill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0" fontId="20" fillId="2" borderId="2" xfId="2" applyFont="1" applyFill="1" applyBorder="1" applyAlignment="1" applyProtection="1">
      <alignment horizontal="left" vertical="top" wrapText="1"/>
      <protection locked="0"/>
    </xf>
    <xf numFmtId="0" fontId="22" fillId="2" borderId="0" xfId="0" applyFont="1" applyFill="1" applyAlignment="1">
      <alignment horizontal="left" vertical="top"/>
    </xf>
    <xf numFmtId="1" fontId="15" fillId="2" borderId="2" xfId="2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 applyProtection="1">
      <alignment horizontal="left" vertical="top" wrapText="1"/>
      <protection locked="0"/>
    </xf>
    <xf numFmtId="0" fontId="20" fillId="2" borderId="0" xfId="0" applyFont="1" applyFill="1" applyAlignment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  <protection locked="0"/>
    </xf>
    <xf numFmtId="0" fontId="25" fillId="2" borderId="2" xfId="0" applyFont="1" applyFill="1" applyBorder="1" applyAlignment="1" applyProtection="1">
      <alignment horizontal="left" vertical="center" wrapText="1"/>
      <protection locked="0"/>
    </xf>
    <xf numFmtId="0" fontId="26" fillId="2" borderId="0" xfId="0" applyFont="1" applyFill="1" applyAlignment="1">
      <alignment horizontal="left" vertical="center"/>
    </xf>
    <xf numFmtId="0" fontId="15" fillId="2" borderId="1" xfId="2" applyFont="1" applyFill="1" applyBorder="1" applyAlignment="1">
      <alignment horizontal="center" vertical="center" wrapText="1"/>
    </xf>
    <xf numFmtId="0" fontId="21" fillId="2" borderId="2" xfId="0" applyFont="1" applyFill="1" applyBorder="1" applyAlignment="1" applyProtection="1">
      <alignment horizontal="left" vertical="center" wrapText="1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25" fillId="2" borderId="6" xfId="0" applyFont="1" applyFill="1" applyBorder="1" applyAlignment="1" applyProtection="1">
      <alignment horizontal="left" vertical="top"/>
      <protection locked="0"/>
    </xf>
    <xf numFmtId="0" fontId="26" fillId="2" borderId="0" xfId="0" applyFont="1" applyFill="1" applyAlignment="1">
      <alignment horizontal="left" vertical="top"/>
    </xf>
    <xf numFmtId="0" fontId="15" fillId="2" borderId="2" xfId="2" applyFont="1" applyFill="1" applyBorder="1" applyAlignment="1">
      <alignment horizontal="left" vertical="center" wrapText="1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0" fontId="22" fillId="2" borderId="0" xfId="0" applyFont="1" applyFill="1" applyAlignment="1">
      <alignment horizontal="left" vertical="center"/>
    </xf>
    <xf numFmtId="0" fontId="15" fillId="2" borderId="2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9" fillId="2" borderId="2" xfId="2" applyFont="1" applyFill="1" applyBorder="1" applyAlignment="1">
      <alignment horizontal="left" vertical="center" wrapText="1"/>
    </xf>
    <xf numFmtId="1" fontId="20" fillId="2" borderId="2" xfId="2" applyNumberFormat="1" applyFont="1" applyFill="1" applyBorder="1" applyAlignment="1">
      <alignment horizontal="center" vertical="center"/>
    </xf>
    <xf numFmtId="1" fontId="21" fillId="2" borderId="2" xfId="2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 applyProtection="1">
      <alignment horizontal="left" vertical="center" wrapText="1"/>
      <protection locked="0"/>
    </xf>
    <xf numFmtId="0" fontId="23" fillId="2" borderId="2" xfId="0" applyFont="1" applyFill="1" applyBorder="1" applyAlignment="1" applyProtection="1">
      <alignment horizontal="left" vertical="center" wrapText="1"/>
      <protection locked="0"/>
    </xf>
    <xf numFmtId="0" fontId="15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 applyProtection="1">
      <alignment horizontal="center" vertical="center"/>
      <protection locked="0"/>
    </xf>
    <xf numFmtId="0" fontId="15" fillId="2" borderId="4" xfId="2" applyFont="1" applyFill="1" applyBorder="1" applyAlignment="1">
      <alignment horizontal="left" vertical="center" wrapText="1"/>
    </xf>
    <xf numFmtId="0" fontId="20" fillId="2" borderId="4" xfId="2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 applyProtection="1">
      <alignment horizontal="left" vertical="center"/>
      <protection locked="0"/>
    </xf>
    <xf numFmtId="0" fontId="27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 applyProtection="1">
      <alignment horizontal="left" vertical="center" wrapText="1"/>
      <protection locked="0"/>
    </xf>
    <xf numFmtId="0" fontId="20" fillId="2" borderId="2" xfId="2" applyFont="1" applyFill="1" applyBorder="1" applyAlignment="1">
      <alignment horizontal="left" vertical="center" wrapText="1"/>
    </xf>
    <xf numFmtId="0" fontId="22" fillId="2" borderId="2" xfId="2" applyFont="1" applyFill="1" applyBorder="1" applyAlignment="1" applyProtection="1">
      <alignment horizontal="left" vertical="center" wrapText="1"/>
      <protection locked="0"/>
    </xf>
    <xf numFmtId="0" fontId="21" fillId="2" borderId="2" xfId="2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0" fillId="2" borderId="0" xfId="0" applyFont="1" applyFill="1" applyAlignment="1" applyProtection="1">
      <alignment horizontal="center" vertical="center"/>
      <protection locked="0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 applyProtection="1">
      <alignment horizontal="left" vertical="center"/>
      <protection locked="0"/>
    </xf>
    <xf numFmtId="0" fontId="25" fillId="2" borderId="0" xfId="0" applyFont="1" applyFill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0" fontId="15" fillId="2" borderId="2" xfId="4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 wrapText="1"/>
    </xf>
    <xf numFmtId="0" fontId="20" fillId="2" borderId="2" xfId="2" applyFont="1" applyFill="1" applyBorder="1" applyAlignment="1" applyProtection="1">
      <alignment horizontal="left" vertical="center" wrapText="1"/>
      <protection locked="0"/>
    </xf>
    <xf numFmtId="0" fontId="20" fillId="2" borderId="5" xfId="0" applyFont="1" applyFill="1" applyBorder="1" applyAlignment="1">
      <alignment horizontal="center" vertical="center"/>
    </xf>
    <xf numFmtId="0" fontId="20" fillId="2" borderId="2" xfId="2" applyFont="1" applyFill="1" applyBorder="1" applyAlignment="1" applyProtection="1">
      <alignment horizontal="left" vertical="center"/>
      <protection locked="0"/>
    </xf>
    <xf numFmtId="0" fontId="20" fillId="2" borderId="0" xfId="2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 readingOrder="1"/>
    </xf>
    <xf numFmtId="0" fontId="20" fillId="2" borderId="0" xfId="0" applyFont="1" applyFill="1" applyAlignment="1">
      <alignment horizontal="center" vertical="top"/>
    </xf>
    <xf numFmtId="1" fontId="15" fillId="2" borderId="2" xfId="2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indent="2"/>
    </xf>
    <xf numFmtId="0" fontId="14" fillId="2" borderId="0" xfId="0" applyFont="1" applyFill="1" applyAlignment="1">
      <alignment horizontal="left" indent="2"/>
    </xf>
    <xf numFmtId="0" fontId="10" fillId="2" borderId="0" xfId="0" applyFont="1" applyFill="1" applyAlignment="1">
      <alignment vertical="top"/>
    </xf>
    <xf numFmtId="0" fontId="24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indent="2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/>
    </xf>
    <xf numFmtId="1" fontId="12" fillId="2" borderId="2" xfId="0" applyNumberFormat="1" applyFont="1" applyFill="1" applyBorder="1" applyAlignment="1">
      <alignment horizontal="center" vertical="center" wrapText="1"/>
    </xf>
    <xf numFmtId="10" fontId="12" fillId="2" borderId="2" xfId="1" applyNumberFormat="1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 applyProtection="1">
      <alignment horizontal="left" vertical="top" wrapText="1"/>
      <protection locked="0"/>
    </xf>
    <xf numFmtId="0" fontId="10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 textRotation="90"/>
    </xf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10" fontId="5" fillId="2" borderId="1" xfId="1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indent="2"/>
    </xf>
    <xf numFmtId="0" fontId="5" fillId="2" borderId="2" xfId="0" applyFont="1" applyFill="1" applyBorder="1" applyAlignment="1" applyProtection="1">
      <alignment wrapText="1"/>
      <protection locked="0"/>
    </xf>
    <xf numFmtId="0" fontId="5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10" fontId="3" fillId="2" borderId="0" xfId="1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top" wrapText="1"/>
    </xf>
    <xf numFmtId="1" fontId="3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 applyProtection="1">
      <alignment horizontal="center" vertical="center"/>
    </xf>
    <xf numFmtId="10" fontId="3" fillId="2" borderId="2" xfId="1" applyNumberFormat="1" applyFont="1" applyFill="1" applyBorder="1" applyAlignment="1" applyProtection="1">
      <alignment horizontal="center" vertical="center"/>
    </xf>
    <xf numFmtId="0" fontId="31" fillId="2" borderId="2" xfId="0" applyFont="1" applyFill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9" fontId="3" fillId="0" borderId="2" xfId="1" applyFont="1" applyFill="1" applyBorder="1" applyAlignment="1" applyProtection="1">
      <alignment horizontal="center" vertical="center"/>
    </xf>
    <xf numFmtId="10" fontId="3" fillId="0" borderId="2" xfId="1" applyNumberFormat="1" applyFont="1" applyFill="1" applyBorder="1" applyAlignment="1" applyProtection="1">
      <alignment horizontal="center" vertical="center"/>
    </xf>
    <xf numFmtId="0" fontId="31" fillId="0" borderId="2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8" fillId="2" borderId="2" xfId="0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9" fontId="8" fillId="2" borderId="2" xfId="1" applyFont="1" applyFill="1" applyBorder="1" applyAlignment="1" applyProtection="1">
      <alignment horizontal="center" vertical="center"/>
    </xf>
    <xf numFmtId="10" fontId="8" fillId="2" borderId="2" xfId="1" applyNumberFormat="1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9" fontId="3" fillId="3" borderId="2" xfId="1" applyFont="1" applyFill="1" applyBorder="1" applyAlignment="1" applyProtection="1">
      <alignment horizontal="center" vertical="center"/>
    </xf>
    <xf numFmtId="10" fontId="3" fillId="3" borderId="2" xfId="1" applyNumberFormat="1" applyFont="1" applyFill="1" applyBorder="1" applyAlignment="1" applyProtection="1">
      <alignment horizontal="center" vertical="center"/>
    </xf>
    <xf numFmtId="0" fontId="32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left" vertical="top"/>
    </xf>
    <xf numFmtId="0" fontId="25" fillId="2" borderId="5" xfId="0" applyFont="1" applyFill="1" applyBorder="1" applyAlignment="1">
      <alignment horizontal="left" vertical="top"/>
    </xf>
    <xf numFmtId="0" fontId="22" fillId="2" borderId="2" xfId="0" applyFont="1" applyFill="1" applyBorder="1" applyAlignment="1">
      <alignment horizontal="left" vertical="top"/>
    </xf>
    <xf numFmtId="0" fontId="25" fillId="2" borderId="2" xfId="0" applyFont="1" applyFill="1" applyBorder="1" applyAlignment="1">
      <alignment horizontal="left" vertical="top"/>
    </xf>
    <xf numFmtId="0" fontId="22" fillId="2" borderId="4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top"/>
    </xf>
    <xf numFmtId="0" fontId="24" fillId="2" borderId="7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3" xfId="0" quotePrefix="1" applyFont="1" applyBorder="1" applyAlignment="1">
      <alignment horizontal="center" vertical="center" wrapText="1"/>
    </xf>
  </cellXfs>
  <cellStyles count="6">
    <cellStyle name="Normal" xfId="0" builtinId="0"/>
    <cellStyle name="Normal 2" xfId="4" xr:uid="{00000000-0005-0000-0000-000001000000}"/>
    <cellStyle name="Normal 4" xfId="3" xr:uid="{00000000-0005-0000-0000-000002000000}"/>
    <cellStyle name="Normal 4 2" xfId="5" xr:uid="{00000000-0005-0000-0000-000003000000}"/>
    <cellStyle name="Normal 55 2" xfId="2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e%20Disk\G%20DRIVE\FRS%20FOLDER\ALL%20EQPT%20AUTH%20HELD%202019\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%2004\Application%20Data\Microsoft\Excel\MESR\FRS%20Nov%2010\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32"/>
  <sheetViews>
    <sheetView tabSelected="1" view="pageBreakPreview" zoomScale="70" zoomScaleSheetLayoutView="70" workbookViewId="0">
      <pane ySplit="5" topLeftCell="A12" activePane="bottomLeft" state="frozen"/>
      <selection activeCell="F14" sqref="F14"/>
      <selection pane="bottomLeft" activeCell="C30" sqref="C30:C32"/>
    </sheetView>
  </sheetViews>
  <sheetFormatPr defaultColWidth="9.140625" defaultRowHeight="18" x14ac:dyDescent="0.25"/>
  <cols>
    <col min="1" max="1" width="9.28515625" style="88" bestFit="1" customWidth="1"/>
    <col min="2" max="2" width="33.85546875" style="88" bestFit="1" customWidth="1"/>
    <col min="3" max="3" width="18.5703125" style="89" bestFit="1" customWidth="1"/>
    <col min="4" max="4" width="8.28515625" style="88" customWidth="1"/>
    <col min="5" max="5" width="8" style="88" customWidth="1"/>
    <col min="6" max="6" width="7.42578125" style="88" customWidth="1"/>
    <col min="7" max="7" width="7.28515625" style="88" customWidth="1"/>
    <col min="8" max="8" width="9.28515625" style="88" bestFit="1" customWidth="1"/>
    <col min="9" max="9" width="7.42578125" style="88" customWidth="1"/>
    <col min="10" max="10" width="6.5703125" style="88" customWidth="1"/>
    <col min="11" max="11" width="6.42578125" style="88" customWidth="1"/>
    <col min="12" max="12" width="6.28515625" style="88" customWidth="1"/>
    <col min="13" max="13" width="6.85546875" style="88" customWidth="1"/>
    <col min="14" max="14" width="9" style="88" customWidth="1"/>
    <col min="15" max="15" width="17.5703125" style="88" customWidth="1"/>
    <col min="16" max="16" width="9.42578125" style="89" bestFit="1" customWidth="1"/>
    <col min="17" max="17" width="11.5703125" style="89" bestFit="1" customWidth="1"/>
    <col min="18" max="18" width="9.7109375" style="89" customWidth="1"/>
    <col min="19" max="19" width="11" style="89" customWidth="1"/>
    <col min="20" max="20" width="10.42578125" style="89" customWidth="1"/>
    <col min="21" max="21" width="90.42578125" style="99" customWidth="1"/>
    <col min="22" max="16384" width="9.140625" style="89"/>
  </cols>
  <sheetData>
    <row r="1" spans="1:21" ht="21.75" customHeight="1" x14ac:dyDescent="0.25">
      <c r="T1" s="90"/>
      <c r="U1" s="91" t="s">
        <v>42</v>
      </c>
    </row>
    <row r="2" spans="1:21" ht="15" customHeight="1" x14ac:dyDescent="0.25">
      <c r="U2" s="92"/>
    </row>
    <row r="3" spans="1:21" x14ac:dyDescent="0.25">
      <c r="A3" s="281" t="s">
        <v>43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</row>
    <row r="4" spans="1:21" s="94" customFormat="1" x14ac:dyDescent="0.25">
      <c r="A4" s="282" t="s">
        <v>0</v>
      </c>
      <c r="B4" s="279" t="s">
        <v>17</v>
      </c>
      <c r="C4" s="93"/>
      <c r="D4" s="282" t="s">
        <v>2</v>
      </c>
      <c r="E4" s="282"/>
      <c r="F4" s="282" t="s">
        <v>3</v>
      </c>
      <c r="G4" s="282"/>
      <c r="H4" s="282"/>
      <c r="I4" s="282"/>
      <c r="J4" s="282"/>
      <c r="K4" s="282"/>
      <c r="L4" s="282"/>
      <c r="M4" s="282"/>
      <c r="N4" s="279" t="s">
        <v>4</v>
      </c>
      <c r="O4" s="279" t="s">
        <v>18</v>
      </c>
      <c r="P4" s="282" t="s">
        <v>40</v>
      </c>
      <c r="Q4" s="279" t="s">
        <v>5</v>
      </c>
      <c r="R4" s="279" t="s">
        <v>6</v>
      </c>
      <c r="S4" s="279" t="s">
        <v>7</v>
      </c>
      <c r="T4" s="279" t="s">
        <v>8</v>
      </c>
      <c r="U4" s="279" t="s">
        <v>9</v>
      </c>
    </row>
    <row r="5" spans="1:21" s="94" customFormat="1" ht="41.25" customHeight="1" x14ac:dyDescent="0.25">
      <c r="A5" s="282"/>
      <c r="B5" s="279"/>
      <c r="C5" s="93" t="s">
        <v>44</v>
      </c>
      <c r="D5" s="93" t="s">
        <v>10</v>
      </c>
      <c r="E5" s="93" t="s">
        <v>11</v>
      </c>
      <c r="F5" s="95" t="s">
        <v>45</v>
      </c>
      <c r="G5" s="95" t="s">
        <v>12</v>
      </c>
      <c r="H5" s="95" t="s">
        <v>13</v>
      </c>
      <c r="I5" s="95" t="s">
        <v>19</v>
      </c>
      <c r="J5" s="95" t="s">
        <v>46</v>
      </c>
      <c r="K5" s="95" t="s">
        <v>20</v>
      </c>
      <c r="L5" s="95" t="s">
        <v>21</v>
      </c>
      <c r="M5" s="95" t="s">
        <v>14</v>
      </c>
      <c r="N5" s="279"/>
      <c r="O5" s="279"/>
      <c r="P5" s="282"/>
      <c r="Q5" s="279"/>
      <c r="R5" s="279"/>
      <c r="S5" s="279"/>
      <c r="T5" s="279"/>
      <c r="U5" s="279"/>
    </row>
    <row r="6" spans="1:21" s="94" customFormat="1" ht="27.75" customHeight="1" x14ac:dyDescent="0.25">
      <c r="A6" s="280" t="s">
        <v>49</v>
      </c>
      <c r="B6" s="280"/>
      <c r="C6" s="96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3"/>
    </row>
    <row r="7" spans="1:21" ht="96.75" customHeight="1" x14ac:dyDescent="0.25">
      <c r="A7" s="37">
        <v>1</v>
      </c>
      <c r="B7" s="16" t="s">
        <v>147</v>
      </c>
      <c r="C7" s="271" t="s">
        <v>50</v>
      </c>
      <c r="D7" s="10">
        <v>41</v>
      </c>
      <c r="E7" s="10">
        <v>37</v>
      </c>
      <c r="F7" s="10">
        <v>1</v>
      </c>
      <c r="G7" s="10">
        <v>0</v>
      </c>
      <c r="H7" s="10">
        <v>0</v>
      </c>
      <c r="I7" s="11">
        <v>1</v>
      </c>
      <c r="J7" s="11">
        <v>0</v>
      </c>
      <c r="K7" s="11">
        <v>15</v>
      </c>
      <c r="L7" s="11">
        <v>0</v>
      </c>
      <c r="M7" s="11">
        <v>0</v>
      </c>
      <c r="N7" s="11">
        <f>F7+G7+I7+J7</f>
        <v>2</v>
      </c>
      <c r="O7" s="11">
        <f>H7+K7</f>
        <v>15</v>
      </c>
      <c r="P7" s="11">
        <f>E7-N7-O7</f>
        <v>20</v>
      </c>
      <c r="Q7" s="24">
        <f>N7/E7*100</f>
        <v>5.4054054054054053</v>
      </c>
      <c r="R7" s="24">
        <f>O7*100/E7</f>
        <v>40.54054054054054</v>
      </c>
      <c r="S7" s="24">
        <f>P7*100/E7</f>
        <v>54.054054054054056</v>
      </c>
      <c r="T7" s="24">
        <f>R7+S7</f>
        <v>94.594594594594597</v>
      </c>
      <c r="U7" s="25" t="s">
        <v>767</v>
      </c>
    </row>
    <row r="8" spans="1:21" ht="47.25" customHeight="1" x14ac:dyDescent="0.25">
      <c r="A8" s="36">
        <v>2</v>
      </c>
      <c r="B8" s="276" t="s">
        <v>148</v>
      </c>
      <c r="C8" s="272" t="s">
        <v>50</v>
      </c>
      <c r="D8" s="10">
        <v>4</v>
      </c>
      <c r="E8" s="10">
        <v>4</v>
      </c>
      <c r="F8" s="10">
        <v>0</v>
      </c>
      <c r="G8" s="10">
        <v>0</v>
      </c>
      <c r="H8" s="10">
        <v>0</v>
      </c>
      <c r="I8" s="26">
        <v>0</v>
      </c>
      <c r="J8" s="26">
        <v>0</v>
      </c>
      <c r="K8" s="26">
        <v>2</v>
      </c>
      <c r="L8" s="26">
        <v>0</v>
      </c>
      <c r="M8" s="26">
        <v>0</v>
      </c>
      <c r="N8" s="11">
        <f t="shared" ref="N8:N25" si="0">F8+G8+I8+J8</f>
        <v>0</v>
      </c>
      <c r="O8" s="11">
        <f t="shared" ref="O8:O25" si="1">H8+K8</f>
        <v>2</v>
      </c>
      <c r="P8" s="11">
        <f t="shared" ref="P8:P27" si="2">E8-N8-O8</f>
        <v>2</v>
      </c>
      <c r="Q8" s="24">
        <f>N8/E8*100</f>
        <v>0</v>
      </c>
      <c r="R8" s="24">
        <f t="shared" ref="R8:R12" si="3">O8*100/E8</f>
        <v>50</v>
      </c>
      <c r="S8" s="24">
        <f t="shared" ref="S8:S12" si="4">P8*100/E8</f>
        <v>50</v>
      </c>
      <c r="T8" s="24">
        <f t="shared" ref="T8:T27" si="5">R8+S8</f>
        <v>100</v>
      </c>
      <c r="U8" s="27" t="s">
        <v>754</v>
      </c>
    </row>
    <row r="9" spans="1:21" ht="114.75" customHeight="1" x14ac:dyDescent="0.25">
      <c r="A9" s="36">
        <v>3</v>
      </c>
      <c r="B9" s="278"/>
      <c r="C9" s="272" t="s">
        <v>51</v>
      </c>
      <c r="D9" s="10">
        <v>45</v>
      </c>
      <c r="E9" s="10">
        <v>47</v>
      </c>
      <c r="F9" s="10">
        <v>1</v>
      </c>
      <c r="G9" s="10">
        <v>5</v>
      </c>
      <c r="H9" s="10">
        <v>0</v>
      </c>
      <c r="I9" s="26">
        <v>3</v>
      </c>
      <c r="J9" s="26">
        <v>0</v>
      </c>
      <c r="K9" s="26">
        <v>8</v>
      </c>
      <c r="L9" s="26">
        <v>0</v>
      </c>
      <c r="M9" s="26">
        <v>0</v>
      </c>
      <c r="N9" s="11">
        <f t="shared" si="0"/>
        <v>9</v>
      </c>
      <c r="O9" s="11">
        <f t="shared" si="1"/>
        <v>8</v>
      </c>
      <c r="P9" s="11">
        <f t="shared" si="2"/>
        <v>30</v>
      </c>
      <c r="Q9" s="24">
        <f t="shared" ref="Q9:Q12" si="6">N9/E9*100</f>
        <v>19.148936170212767</v>
      </c>
      <c r="R9" s="24">
        <f t="shared" si="3"/>
        <v>17.021276595744681</v>
      </c>
      <c r="S9" s="24">
        <f t="shared" si="4"/>
        <v>63.829787234042556</v>
      </c>
      <c r="T9" s="24">
        <f t="shared" si="5"/>
        <v>80.851063829787236</v>
      </c>
      <c r="U9" s="28" t="s">
        <v>755</v>
      </c>
    </row>
    <row r="10" spans="1:21" ht="75" customHeight="1" x14ac:dyDescent="0.25">
      <c r="A10" s="36">
        <v>4</v>
      </c>
      <c r="B10" s="277"/>
      <c r="C10" s="272" t="s">
        <v>756</v>
      </c>
      <c r="D10" s="10">
        <v>14</v>
      </c>
      <c r="E10" s="10">
        <v>14</v>
      </c>
      <c r="F10" s="10">
        <v>0</v>
      </c>
      <c r="G10" s="10">
        <v>0</v>
      </c>
      <c r="H10" s="10">
        <v>0</v>
      </c>
      <c r="I10" s="26">
        <v>1</v>
      </c>
      <c r="J10" s="26">
        <v>0</v>
      </c>
      <c r="K10" s="26">
        <v>2</v>
      </c>
      <c r="L10" s="26">
        <v>0</v>
      </c>
      <c r="M10" s="26">
        <v>0</v>
      </c>
      <c r="N10" s="11">
        <f t="shared" si="0"/>
        <v>1</v>
      </c>
      <c r="O10" s="11">
        <f t="shared" si="1"/>
        <v>2</v>
      </c>
      <c r="P10" s="11">
        <f t="shared" si="2"/>
        <v>11</v>
      </c>
      <c r="Q10" s="24">
        <f t="shared" si="6"/>
        <v>7.1428571428571423</v>
      </c>
      <c r="R10" s="24">
        <f t="shared" si="3"/>
        <v>14.285714285714286</v>
      </c>
      <c r="S10" s="24">
        <f t="shared" si="4"/>
        <v>78.571428571428569</v>
      </c>
      <c r="T10" s="24">
        <f t="shared" si="5"/>
        <v>92.857142857142861</v>
      </c>
      <c r="U10" s="29" t="s">
        <v>757</v>
      </c>
    </row>
    <row r="11" spans="1:21" ht="74.25" customHeight="1" x14ac:dyDescent="0.25">
      <c r="A11" s="37">
        <v>5</v>
      </c>
      <c r="B11" s="276" t="s">
        <v>149</v>
      </c>
      <c r="C11" s="272" t="s">
        <v>758</v>
      </c>
      <c r="D11" s="10">
        <v>57</v>
      </c>
      <c r="E11" s="10">
        <v>56</v>
      </c>
      <c r="F11" s="10">
        <v>1</v>
      </c>
      <c r="G11" s="10">
        <v>0</v>
      </c>
      <c r="H11" s="10">
        <v>0</v>
      </c>
      <c r="I11" s="26">
        <v>1</v>
      </c>
      <c r="J11" s="26">
        <v>0</v>
      </c>
      <c r="K11" s="26">
        <v>5</v>
      </c>
      <c r="L11" s="26">
        <v>0</v>
      </c>
      <c r="M11" s="26">
        <v>0</v>
      </c>
      <c r="N11" s="11">
        <f>F11+G11+I11+J11</f>
        <v>2</v>
      </c>
      <c r="O11" s="11">
        <f t="shared" si="1"/>
        <v>5</v>
      </c>
      <c r="P11" s="11">
        <f t="shared" si="2"/>
        <v>49</v>
      </c>
      <c r="Q11" s="24">
        <f t="shared" si="6"/>
        <v>3.5714285714285712</v>
      </c>
      <c r="R11" s="24">
        <f t="shared" si="3"/>
        <v>8.9285714285714288</v>
      </c>
      <c r="S11" s="24">
        <f t="shared" si="4"/>
        <v>87.5</v>
      </c>
      <c r="T11" s="24">
        <f t="shared" si="5"/>
        <v>96.428571428571431</v>
      </c>
      <c r="U11" s="30" t="s">
        <v>759</v>
      </c>
    </row>
    <row r="12" spans="1:21" ht="75.75" customHeight="1" x14ac:dyDescent="0.25">
      <c r="A12" s="36">
        <v>6</v>
      </c>
      <c r="B12" s="278"/>
      <c r="C12" s="272" t="s">
        <v>52</v>
      </c>
      <c r="D12" s="10">
        <v>57</v>
      </c>
      <c r="E12" s="10">
        <v>61</v>
      </c>
      <c r="F12" s="10">
        <v>1</v>
      </c>
      <c r="G12" s="10">
        <v>1</v>
      </c>
      <c r="H12" s="10">
        <v>0</v>
      </c>
      <c r="I12" s="26">
        <v>0</v>
      </c>
      <c r="J12" s="26">
        <v>0</v>
      </c>
      <c r="K12" s="26">
        <v>3</v>
      </c>
      <c r="L12" s="26">
        <v>0</v>
      </c>
      <c r="M12" s="26">
        <v>0</v>
      </c>
      <c r="N12" s="11">
        <f>F12+G12+I12+J12</f>
        <v>2</v>
      </c>
      <c r="O12" s="11">
        <f t="shared" si="1"/>
        <v>3</v>
      </c>
      <c r="P12" s="11">
        <f t="shared" si="2"/>
        <v>56</v>
      </c>
      <c r="Q12" s="24">
        <f t="shared" si="6"/>
        <v>3.278688524590164</v>
      </c>
      <c r="R12" s="24">
        <f t="shared" si="3"/>
        <v>4.918032786885246</v>
      </c>
      <c r="S12" s="24">
        <f t="shared" si="4"/>
        <v>91.803278688524586</v>
      </c>
      <c r="T12" s="24">
        <f t="shared" si="5"/>
        <v>96.721311475409834</v>
      </c>
      <c r="U12" s="30" t="s">
        <v>768</v>
      </c>
    </row>
    <row r="13" spans="1:21" ht="24.75" customHeight="1" x14ac:dyDescent="0.25">
      <c r="A13" s="36">
        <v>7</v>
      </c>
      <c r="B13" s="278"/>
      <c r="C13" s="272" t="s">
        <v>50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1">
        <f t="shared" si="0"/>
        <v>0</v>
      </c>
      <c r="O13" s="11">
        <f t="shared" si="1"/>
        <v>0</v>
      </c>
      <c r="P13" s="11">
        <f t="shared" si="2"/>
        <v>0</v>
      </c>
      <c r="Q13" s="24"/>
      <c r="R13" s="24"/>
      <c r="S13" s="24"/>
      <c r="T13" s="24">
        <f t="shared" si="5"/>
        <v>0</v>
      </c>
      <c r="U13" s="29"/>
    </row>
    <row r="14" spans="1:21" ht="24.75" customHeight="1" x14ac:dyDescent="0.25">
      <c r="A14" s="36">
        <v>8</v>
      </c>
      <c r="B14" s="278"/>
      <c r="C14" s="272" t="s">
        <v>760</v>
      </c>
      <c r="D14" s="10">
        <v>1</v>
      </c>
      <c r="E14" s="10">
        <v>0</v>
      </c>
      <c r="F14" s="10">
        <v>0</v>
      </c>
      <c r="G14" s="10">
        <v>0</v>
      </c>
      <c r="H14" s="10">
        <v>4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1">
        <f t="shared" si="0"/>
        <v>0</v>
      </c>
      <c r="O14" s="11">
        <f t="shared" si="1"/>
        <v>4</v>
      </c>
      <c r="P14" s="11">
        <f t="shared" si="2"/>
        <v>-4</v>
      </c>
      <c r="Q14" s="24"/>
      <c r="R14" s="24"/>
      <c r="S14" s="24"/>
      <c r="T14" s="24">
        <f t="shared" si="5"/>
        <v>0</v>
      </c>
      <c r="U14" s="29"/>
    </row>
    <row r="15" spans="1:21" x14ac:dyDescent="0.25">
      <c r="A15" s="37">
        <v>9</v>
      </c>
      <c r="B15" s="277"/>
      <c r="C15" s="272" t="s">
        <v>53</v>
      </c>
      <c r="D15" s="12">
        <v>3</v>
      </c>
      <c r="E15" s="12">
        <v>3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f t="shared" si="0"/>
        <v>0</v>
      </c>
      <c r="O15" s="11">
        <f t="shared" si="1"/>
        <v>0</v>
      </c>
      <c r="P15" s="11">
        <f t="shared" si="2"/>
        <v>3</v>
      </c>
      <c r="Q15" s="24">
        <f t="shared" ref="Q15:Q27" si="7">N15/E15*100</f>
        <v>0</v>
      </c>
      <c r="R15" s="24">
        <f t="shared" ref="R15:R27" si="8">O15*100/E15</f>
        <v>0</v>
      </c>
      <c r="S15" s="24">
        <f t="shared" ref="S15:S27" si="9">P15*100/E15</f>
        <v>100</v>
      </c>
      <c r="T15" s="24">
        <f t="shared" si="5"/>
        <v>100</v>
      </c>
      <c r="U15" s="31"/>
    </row>
    <row r="16" spans="1:21" ht="45.75" customHeight="1" x14ac:dyDescent="0.25">
      <c r="A16" s="36">
        <v>10</v>
      </c>
      <c r="B16" s="275" t="s">
        <v>150</v>
      </c>
      <c r="C16" s="272" t="s">
        <v>54</v>
      </c>
      <c r="D16" s="12">
        <v>0</v>
      </c>
      <c r="E16" s="12">
        <v>2</v>
      </c>
      <c r="F16" s="11">
        <v>0</v>
      </c>
      <c r="G16" s="11">
        <v>1</v>
      </c>
      <c r="H16" s="11">
        <v>0</v>
      </c>
      <c r="I16" s="11">
        <v>1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1</v>
      </c>
      <c r="P16" s="11">
        <f t="shared" si="2"/>
        <v>1</v>
      </c>
      <c r="Q16" s="24">
        <f t="shared" si="7"/>
        <v>0</v>
      </c>
      <c r="R16" s="24">
        <f t="shared" si="8"/>
        <v>50</v>
      </c>
      <c r="S16" s="24">
        <f t="shared" si="9"/>
        <v>50</v>
      </c>
      <c r="T16" s="24">
        <f t="shared" si="5"/>
        <v>100</v>
      </c>
      <c r="U16" s="31" t="s">
        <v>761</v>
      </c>
    </row>
    <row r="17" spans="1:21" x14ac:dyDescent="0.25">
      <c r="A17" s="36">
        <v>11</v>
      </c>
      <c r="B17" s="275"/>
      <c r="C17" s="272" t="s">
        <v>50</v>
      </c>
      <c r="D17" s="12">
        <v>2</v>
      </c>
      <c r="E17" s="12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f t="shared" si="0"/>
        <v>0</v>
      </c>
      <c r="O17" s="11">
        <f t="shared" si="1"/>
        <v>0</v>
      </c>
      <c r="P17" s="11">
        <f t="shared" si="2"/>
        <v>1</v>
      </c>
      <c r="Q17" s="24">
        <f t="shared" si="7"/>
        <v>0</v>
      </c>
      <c r="R17" s="24">
        <f t="shared" si="8"/>
        <v>0</v>
      </c>
      <c r="S17" s="24">
        <f t="shared" si="9"/>
        <v>100</v>
      </c>
      <c r="T17" s="24">
        <f t="shared" si="5"/>
        <v>100</v>
      </c>
      <c r="U17" s="31"/>
    </row>
    <row r="18" spans="1:21" ht="36" x14ac:dyDescent="0.25">
      <c r="A18" s="37">
        <v>12</v>
      </c>
      <c r="B18" s="275"/>
      <c r="C18" s="272" t="s">
        <v>758</v>
      </c>
      <c r="D18" s="12">
        <v>1</v>
      </c>
      <c r="E18" s="12">
        <v>1</v>
      </c>
      <c r="F18" s="11">
        <v>0</v>
      </c>
      <c r="G18" s="11">
        <v>0</v>
      </c>
      <c r="H18" s="11">
        <v>0</v>
      </c>
      <c r="I18" s="11">
        <v>1</v>
      </c>
      <c r="J18" s="11">
        <v>0</v>
      </c>
      <c r="K18" s="11">
        <v>0</v>
      </c>
      <c r="L18" s="11">
        <v>0</v>
      </c>
      <c r="M18" s="11">
        <v>0</v>
      </c>
      <c r="N18" s="11">
        <f t="shared" si="0"/>
        <v>1</v>
      </c>
      <c r="O18" s="11">
        <f t="shared" si="1"/>
        <v>0</v>
      </c>
      <c r="P18" s="11">
        <f t="shared" si="2"/>
        <v>0</v>
      </c>
      <c r="Q18" s="24">
        <f t="shared" si="7"/>
        <v>100</v>
      </c>
      <c r="R18" s="24">
        <f t="shared" si="8"/>
        <v>0</v>
      </c>
      <c r="S18" s="24">
        <f t="shared" si="9"/>
        <v>0</v>
      </c>
      <c r="T18" s="24">
        <f t="shared" si="5"/>
        <v>0</v>
      </c>
      <c r="U18" s="31" t="s">
        <v>770</v>
      </c>
    </row>
    <row r="19" spans="1:21" ht="39.75" customHeight="1" x14ac:dyDescent="0.25">
      <c r="A19" s="36">
        <v>13</v>
      </c>
      <c r="B19" s="276" t="s">
        <v>151</v>
      </c>
      <c r="C19" s="271" t="s">
        <v>50</v>
      </c>
      <c r="D19" s="273">
        <v>1</v>
      </c>
      <c r="E19" s="273">
        <v>1</v>
      </c>
      <c r="F19" s="11">
        <v>1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f t="shared" si="0"/>
        <v>1</v>
      </c>
      <c r="O19" s="11">
        <f t="shared" si="1"/>
        <v>0</v>
      </c>
      <c r="P19" s="11">
        <f t="shared" si="2"/>
        <v>0</v>
      </c>
      <c r="Q19" s="24">
        <f t="shared" si="7"/>
        <v>100</v>
      </c>
      <c r="R19" s="24">
        <f t="shared" si="8"/>
        <v>0</v>
      </c>
      <c r="S19" s="24">
        <f t="shared" si="9"/>
        <v>0</v>
      </c>
      <c r="T19" s="24">
        <f t="shared" si="5"/>
        <v>0</v>
      </c>
      <c r="U19" s="31" t="s">
        <v>771</v>
      </c>
    </row>
    <row r="20" spans="1:21" ht="39" customHeight="1" x14ac:dyDescent="0.25">
      <c r="A20" s="36">
        <v>14</v>
      </c>
      <c r="B20" s="278"/>
      <c r="C20" s="274" t="s">
        <v>51</v>
      </c>
      <c r="D20" s="273">
        <v>3</v>
      </c>
      <c r="E20" s="273">
        <v>2</v>
      </c>
      <c r="F20" s="11">
        <v>0</v>
      </c>
      <c r="G20" s="11">
        <v>0</v>
      </c>
      <c r="H20" s="11">
        <v>0</v>
      </c>
      <c r="I20" s="11">
        <v>1</v>
      </c>
      <c r="J20" s="11">
        <v>0</v>
      </c>
      <c r="K20" s="11">
        <v>0</v>
      </c>
      <c r="L20" s="11">
        <v>0</v>
      </c>
      <c r="M20" s="11">
        <v>0</v>
      </c>
      <c r="N20" s="11">
        <f t="shared" si="0"/>
        <v>1</v>
      </c>
      <c r="O20" s="11">
        <f t="shared" si="1"/>
        <v>0</v>
      </c>
      <c r="P20" s="11">
        <f t="shared" si="2"/>
        <v>1</v>
      </c>
      <c r="Q20" s="24">
        <f t="shared" si="7"/>
        <v>50</v>
      </c>
      <c r="R20" s="24">
        <f t="shared" si="8"/>
        <v>0</v>
      </c>
      <c r="S20" s="24">
        <f t="shared" si="9"/>
        <v>50</v>
      </c>
      <c r="T20" s="24">
        <f t="shared" si="5"/>
        <v>50</v>
      </c>
      <c r="U20" s="31" t="s">
        <v>762</v>
      </c>
    </row>
    <row r="21" spans="1:21" ht="27.75" customHeight="1" x14ac:dyDescent="0.25">
      <c r="A21" s="37">
        <v>15</v>
      </c>
      <c r="B21" s="278"/>
      <c r="C21" s="271" t="s">
        <v>55</v>
      </c>
      <c r="D21" s="4">
        <v>3</v>
      </c>
      <c r="E21" s="4">
        <v>1</v>
      </c>
      <c r="F21" s="11">
        <v>0</v>
      </c>
      <c r="G21" s="11">
        <v>0</v>
      </c>
      <c r="H21" s="11">
        <v>0</v>
      </c>
      <c r="I21" s="11">
        <v>1</v>
      </c>
      <c r="J21" s="11">
        <v>0</v>
      </c>
      <c r="K21" s="11">
        <v>0</v>
      </c>
      <c r="L21" s="11">
        <v>0</v>
      </c>
      <c r="M21" s="11">
        <v>0</v>
      </c>
      <c r="N21" s="11">
        <f t="shared" si="0"/>
        <v>1</v>
      </c>
      <c r="O21" s="11">
        <f t="shared" si="1"/>
        <v>0</v>
      </c>
      <c r="P21" s="11">
        <f t="shared" si="2"/>
        <v>0</v>
      </c>
      <c r="Q21" s="24">
        <f t="shared" si="7"/>
        <v>100</v>
      </c>
      <c r="R21" s="24">
        <f t="shared" si="8"/>
        <v>0</v>
      </c>
      <c r="S21" s="24">
        <f t="shared" si="9"/>
        <v>0</v>
      </c>
      <c r="T21" s="24">
        <f t="shared" si="5"/>
        <v>0</v>
      </c>
      <c r="U21" s="31" t="s">
        <v>762</v>
      </c>
    </row>
    <row r="22" spans="1:21" ht="21" customHeight="1" x14ac:dyDescent="0.25">
      <c r="A22" s="36">
        <v>16</v>
      </c>
      <c r="B22" s="278"/>
      <c r="C22" s="271" t="s">
        <v>763</v>
      </c>
      <c r="D22" s="273">
        <v>2</v>
      </c>
      <c r="E22" s="273">
        <v>2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f t="shared" si="0"/>
        <v>0</v>
      </c>
      <c r="O22" s="11">
        <f t="shared" si="1"/>
        <v>0</v>
      </c>
      <c r="P22" s="11">
        <f t="shared" si="2"/>
        <v>2</v>
      </c>
      <c r="Q22" s="24">
        <f t="shared" si="7"/>
        <v>0</v>
      </c>
      <c r="R22" s="24">
        <f t="shared" si="8"/>
        <v>0</v>
      </c>
      <c r="S22" s="24">
        <f t="shared" si="9"/>
        <v>100</v>
      </c>
      <c r="T22" s="24">
        <f t="shared" si="5"/>
        <v>100</v>
      </c>
      <c r="U22" s="31"/>
    </row>
    <row r="23" spans="1:21" ht="21" customHeight="1" x14ac:dyDescent="0.25">
      <c r="A23" s="36">
        <v>17</v>
      </c>
      <c r="B23" s="277"/>
      <c r="C23" s="208" t="s">
        <v>56</v>
      </c>
      <c r="D23" s="273"/>
      <c r="E23" s="273">
        <v>1</v>
      </c>
      <c r="F23" s="11">
        <v>0</v>
      </c>
      <c r="G23" s="11">
        <v>0</v>
      </c>
      <c r="H23" s="11">
        <v>0</v>
      </c>
      <c r="I23" s="11">
        <v>1</v>
      </c>
      <c r="J23" s="11">
        <v>0</v>
      </c>
      <c r="K23" s="11">
        <v>0</v>
      </c>
      <c r="L23" s="11">
        <v>0</v>
      </c>
      <c r="M23" s="11">
        <v>0</v>
      </c>
      <c r="N23" s="11">
        <f t="shared" si="0"/>
        <v>1</v>
      </c>
      <c r="O23" s="11">
        <f t="shared" si="1"/>
        <v>0</v>
      </c>
      <c r="P23" s="11">
        <f t="shared" si="2"/>
        <v>0</v>
      </c>
      <c r="Q23" s="24">
        <f t="shared" si="7"/>
        <v>100</v>
      </c>
      <c r="R23" s="24">
        <f t="shared" si="8"/>
        <v>0</v>
      </c>
      <c r="S23" s="24">
        <f t="shared" si="9"/>
        <v>0</v>
      </c>
      <c r="T23" s="24">
        <f t="shared" si="5"/>
        <v>0</v>
      </c>
      <c r="U23" s="31" t="s">
        <v>762</v>
      </c>
    </row>
    <row r="24" spans="1:21" ht="23.25" customHeight="1" x14ac:dyDescent="0.25">
      <c r="A24" s="36">
        <v>18</v>
      </c>
      <c r="B24" s="276" t="s">
        <v>152</v>
      </c>
      <c r="C24" s="272" t="s">
        <v>758</v>
      </c>
      <c r="D24" s="10">
        <v>6</v>
      </c>
      <c r="E24" s="10">
        <v>9</v>
      </c>
      <c r="F24" s="12">
        <v>0</v>
      </c>
      <c r="G24" s="12">
        <v>0</v>
      </c>
      <c r="H24" s="12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f t="shared" si="0"/>
        <v>0</v>
      </c>
      <c r="O24" s="11">
        <f t="shared" si="1"/>
        <v>0</v>
      </c>
      <c r="P24" s="11">
        <f t="shared" si="2"/>
        <v>9</v>
      </c>
      <c r="Q24" s="24">
        <f t="shared" si="7"/>
        <v>0</v>
      </c>
      <c r="R24" s="24">
        <f t="shared" si="8"/>
        <v>0</v>
      </c>
      <c r="S24" s="24">
        <f t="shared" si="9"/>
        <v>100</v>
      </c>
      <c r="T24" s="24">
        <f t="shared" si="5"/>
        <v>100</v>
      </c>
      <c r="U24" s="27"/>
    </row>
    <row r="25" spans="1:21" x14ac:dyDescent="0.25">
      <c r="A25" s="37">
        <v>19</v>
      </c>
      <c r="B25" s="277"/>
      <c r="C25" s="272" t="s">
        <v>52</v>
      </c>
      <c r="D25" s="12">
        <v>6</v>
      </c>
      <c r="E25" s="12">
        <v>8</v>
      </c>
      <c r="F25" s="12">
        <v>1</v>
      </c>
      <c r="G25" s="12">
        <v>0</v>
      </c>
      <c r="H25" s="12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f t="shared" si="0"/>
        <v>1</v>
      </c>
      <c r="O25" s="11">
        <f t="shared" si="1"/>
        <v>0</v>
      </c>
      <c r="P25" s="11">
        <f t="shared" si="2"/>
        <v>7</v>
      </c>
      <c r="Q25" s="24">
        <f t="shared" si="7"/>
        <v>12.5</v>
      </c>
      <c r="R25" s="24">
        <f t="shared" si="8"/>
        <v>0</v>
      </c>
      <c r="S25" s="24">
        <f t="shared" si="9"/>
        <v>87.5</v>
      </c>
      <c r="T25" s="24">
        <f t="shared" si="5"/>
        <v>87.5</v>
      </c>
      <c r="U25" s="27" t="s">
        <v>764</v>
      </c>
    </row>
    <row r="26" spans="1:21" ht="21" customHeight="1" x14ac:dyDescent="0.25">
      <c r="A26" s="36">
        <v>20</v>
      </c>
      <c r="B26" s="276" t="s">
        <v>153</v>
      </c>
      <c r="C26" s="272" t="s">
        <v>758</v>
      </c>
      <c r="D26" s="12">
        <v>4</v>
      </c>
      <c r="E26" s="12">
        <v>4</v>
      </c>
      <c r="F26" s="12">
        <v>0</v>
      </c>
      <c r="G26" s="12">
        <v>0</v>
      </c>
      <c r="H26" s="12">
        <v>0</v>
      </c>
      <c r="I26" s="11">
        <v>1</v>
      </c>
      <c r="J26" s="11">
        <v>0</v>
      </c>
      <c r="K26" s="11">
        <v>0</v>
      </c>
      <c r="L26" s="11">
        <v>0</v>
      </c>
      <c r="M26" s="11">
        <v>0</v>
      </c>
      <c r="N26" s="11">
        <f>F26+G26+I26+J26</f>
        <v>1</v>
      </c>
      <c r="O26" s="11">
        <f>H26+K26</f>
        <v>0</v>
      </c>
      <c r="P26" s="11">
        <f t="shared" si="2"/>
        <v>3</v>
      </c>
      <c r="Q26" s="24">
        <f t="shared" si="7"/>
        <v>25</v>
      </c>
      <c r="R26" s="24">
        <f t="shared" si="8"/>
        <v>0</v>
      </c>
      <c r="S26" s="24">
        <f t="shared" si="9"/>
        <v>75</v>
      </c>
      <c r="T26" s="24">
        <f t="shared" si="5"/>
        <v>75</v>
      </c>
      <c r="U26" s="25" t="s">
        <v>765</v>
      </c>
    </row>
    <row r="27" spans="1:21" ht="21" customHeight="1" x14ac:dyDescent="0.25">
      <c r="A27" s="36">
        <v>21</v>
      </c>
      <c r="B27" s="278"/>
      <c r="C27" s="272" t="s">
        <v>52</v>
      </c>
      <c r="D27" s="12">
        <v>4</v>
      </c>
      <c r="E27" s="12">
        <v>4</v>
      </c>
      <c r="F27" s="12">
        <v>0</v>
      </c>
      <c r="G27" s="12">
        <v>0</v>
      </c>
      <c r="H27" s="12">
        <v>0</v>
      </c>
      <c r="I27" s="11">
        <v>2</v>
      </c>
      <c r="J27" s="11">
        <v>0</v>
      </c>
      <c r="K27" s="11">
        <v>0</v>
      </c>
      <c r="L27" s="11">
        <v>0</v>
      </c>
      <c r="M27" s="11">
        <v>0</v>
      </c>
      <c r="N27" s="11">
        <f>F27+G27+I27+J27</f>
        <v>2</v>
      </c>
      <c r="O27" s="11">
        <f>H27+K27</f>
        <v>0</v>
      </c>
      <c r="P27" s="11">
        <f t="shared" si="2"/>
        <v>2</v>
      </c>
      <c r="Q27" s="24">
        <f t="shared" si="7"/>
        <v>50</v>
      </c>
      <c r="R27" s="24">
        <f t="shared" si="8"/>
        <v>0</v>
      </c>
      <c r="S27" s="24">
        <f t="shared" si="9"/>
        <v>50</v>
      </c>
      <c r="T27" s="24">
        <f t="shared" si="5"/>
        <v>50</v>
      </c>
      <c r="U27" s="31" t="s">
        <v>766</v>
      </c>
    </row>
    <row r="28" spans="1:21" ht="36" x14ac:dyDescent="0.25">
      <c r="A28" s="37">
        <v>22</v>
      </c>
      <c r="B28" s="278"/>
      <c r="C28" s="98" t="s">
        <v>760</v>
      </c>
      <c r="D28" s="12">
        <v>2</v>
      </c>
      <c r="E28" s="12">
        <v>2</v>
      </c>
      <c r="F28" s="12">
        <v>1</v>
      </c>
      <c r="G28" s="12">
        <v>0</v>
      </c>
      <c r="H28" s="12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f t="shared" ref="N28:N29" si="10">F28+G28+I28+J28</f>
        <v>1</v>
      </c>
      <c r="O28" s="11">
        <f t="shared" ref="O28:O29" si="11">H28+K28</f>
        <v>0</v>
      </c>
      <c r="P28" s="11">
        <f t="shared" ref="P28:P29" si="12">E28-N28-O28</f>
        <v>1</v>
      </c>
      <c r="Q28" s="24">
        <f t="shared" ref="Q28:Q29" si="13">N28/E28*100</f>
        <v>50</v>
      </c>
      <c r="R28" s="24">
        <f t="shared" ref="R28:R29" si="14">O28*100/E28</f>
        <v>0</v>
      </c>
      <c r="S28" s="24">
        <f t="shared" ref="S28:S29" si="15">P28*100/E28</f>
        <v>50</v>
      </c>
      <c r="T28" s="24">
        <f t="shared" ref="T28:T32" si="16">R28+S28</f>
        <v>50</v>
      </c>
      <c r="U28" s="27" t="s">
        <v>145</v>
      </c>
    </row>
    <row r="29" spans="1:21" ht="60" customHeight="1" x14ac:dyDescent="0.25">
      <c r="A29" s="36">
        <v>23</v>
      </c>
      <c r="B29" s="277"/>
      <c r="C29" s="97" t="s">
        <v>50</v>
      </c>
      <c r="D29" s="12">
        <v>2</v>
      </c>
      <c r="E29" s="12">
        <v>2</v>
      </c>
      <c r="F29" s="12">
        <v>0</v>
      </c>
      <c r="G29" s="12">
        <v>0</v>
      </c>
      <c r="H29" s="12">
        <v>0</v>
      </c>
      <c r="I29" s="11">
        <v>2</v>
      </c>
      <c r="J29" s="11">
        <v>0</v>
      </c>
      <c r="K29" s="11">
        <v>0</v>
      </c>
      <c r="L29" s="11">
        <v>0</v>
      </c>
      <c r="M29" s="11">
        <v>0</v>
      </c>
      <c r="N29" s="11">
        <f t="shared" si="10"/>
        <v>2</v>
      </c>
      <c r="O29" s="11">
        <f t="shared" si="11"/>
        <v>0</v>
      </c>
      <c r="P29" s="11">
        <f t="shared" si="12"/>
        <v>0</v>
      </c>
      <c r="Q29" s="24">
        <f t="shared" si="13"/>
        <v>100</v>
      </c>
      <c r="R29" s="24">
        <f t="shared" si="14"/>
        <v>0</v>
      </c>
      <c r="S29" s="24">
        <f t="shared" si="15"/>
        <v>0</v>
      </c>
      <c r="T29" s="24">
        <f t="shared" si="16"/>
        <v>0</v>
      </c>
      <c r="U29" s="27" t="s">
        <v>769</v>
      </c>
    </row>
    <row r="30" spans="1:21" ht="30" customHeight="1" x14ac:dyDescent="0.25">
      <c r="A30" s="36">
        <v>24</v>
      </c>
      <c r="B30" s="16" t="s">
        <v>154</v>
      </c>
      <c r="C30" s="272" t="s">
        <v>758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24"/>
      <c r="R30" s="24"/>
      <c r="S30" s="24"/>
      <c r="T30" s="24">
        <f t="shared" si="16"/>
        <v>0</v>
      </c>
      <c r="U30" s="25"/>
    </row>
    <row r="31" spans="1:21" ht="35.25" customHeight="1" x14ac:dyDescent="0.25">
      <c r="A31" s="37">
        <v>25</v>
      </c>
      <c r="B31" s="16" t="s">
        <v>155</v>
      </c>
      <c r="C31" s="272" t="s">
        <v>52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24"/>
      <c r="R31" s="24"/>
      <c r="S31" s="24"/>
      <c r="T31" s="24">
        <f t="shared" si="16"/>
        <v>0</v>
      </c>
      <c r="U31" s="22"/>
    </row>
    <row r="32" spans="1:21" ht="24.75" customHeight="1" x14ac:dyDescent="0.25">
      <c r="A32" s="36">
        <v>26</v>
      </c>
      <c r="B32" s="16" t="s">
        <v>156</v>
      </c>
      <c r="C32" s="98" t="s">
        <v>760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24"/>
      <c r="R32" s="24"/>
      <c r="S32" s="24"/>
      <c r="T32" s="24">
        <f t="shared" si="16"/>
        <v>0</v>
      </c>
      <c r="U32" s="22"/>
    </row>
  </sheetData>
  <mergeCells count="20">
    <mergeCell ref="U4:U5"/>
    <mergeCell ref="A6:B6"/>
    <mergeCell ref="B8:B10"/>
    <mergeCell ref="B11:B1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  <mergeCell ref="B16:B18"/>
    <mergeCell ref="B24:B25"/>
    <mergeCell ref="B26:B29"/>
    <mergeCell ref="S4:S5"/>
    <mergeCell ref="T4:T5"/>
    <mergeCell ref="B19:B23"/>
  </mergeCells>
  <phoneticPr fontId="28" type="noConversion"/>
  <dataValidations count="3">
    <dataValidation type="whole" allowBlank="1" showInputMessage="1" showErrorMessage="1" errorTitle="Value Between 0 to 200000" sqref="P65320:P65373" xr:uid="{00000000-0002-0000-0000-000000000000}">
      <formula1>0</formula1>
      <formula2>200000</formula2>
    </dataValidation>
    <dataValidation type="whole" allowBlank="1" showInputMessage="1" showErrorMessage="1" sqref="D65320:M65373" xr:uid="{00000000-0002-0000-0000-000001000000}">
      <formula1>0</formula1>
      <formula2>50000</formula2>
    </dataValidation>
    <dataValidation type="whole" allowBlank="1" showInputMessage="1" showErrorMessage="1" errorTitle="Wrong data" error="Enter  only number " sqref="D23:E23 D15:E18 F15:M23" xr:uid="{CAA96E75-DECB-4C03-9AE2-8835303816D7}">
      <formula1>0</formula1>
      <formula2>9.99999999999999E+42</formula2>
    </dataValidation>
  </dataValidations>
  <printOptions horizontalCentered="1"/>
  <pageMargins left="0" right="0.82677165354330717" top="0.23622047244094491" bottom="0.23622047244094491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L139"/>
  <sheetViews>
    <sheetView view="pageBreakPreview" zoomScale="70" zoomScaleNormal="70" zoomScaleSheetLayoutView="70" workbookViewId="0">
      <pane ySplit="5" topLeftCell="A6" activePane="bottomLeft" state="frozen"/>
      <selection activeCell="F14" sqref="F14"/>
      <selection pane="bottomLeft" activeCell="J8" sqref="J8"/>
    </sheetView>
  </sheetViews>
  <sheetFormatPr defaultColWidth="9.140625" defaultRowHeight="20.25" x14ac:dyDescent="0.25"/>
  <cols>
    <col min="1" max="1" width="10.28515625" style="180" customWidth="1"/>
    <col min="2" max="2" width="76.28515625" style="117" bestFit="1" customWidth="1"/>
    <col min="3" max="3" width="13.28515625" style="169" customWidth="1"/>
    <col min="4" max="4" width="14.85546875" style="169" customWidth="1"/>
    <col min="5" max="5" width="13" style="169" customWidth="1"/>
    <col min="6" max="6" width="11.7109375" style="169" customWidth="1"/>
    <col min="7" max="7" width="11.42578125" style="169" customWidth="1"/>
    <col min="8" max="8" width="12.7109375" style="169" customWidth="1"/>
    <col min="9" max="9" width="14.7109375" style="169" customWidth="1"/>
    <col min="10" max="10" width="94.140625" style="117" customWidth="1"/>
    <col min="11" max="11" width="6.140625" style="117" customWidth="1"/>
    <col min="12" max="30" width="9.140625" style="117"/>
    <col min="31" max="31" width="9.140625" style="117" customWidth="1"/>
    <col min="32" max="16384" width="9.140625" style="117"/>
  </cols>
  <sheetData>
    <row r="1" spans="1:38" ht="18" customHeight="1" x14ac:dyDescent="0.25">
      <c r="A1" s="286" t="s">
        <v>57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38" ht="8.25" customHeight="1" x14ac:dyDescent="0.25">
      <c r="A2" s="287"/>
      <c r="B2" s="287"/>
      <c r="C2" s="287"/>
      <c r="D2" s="287"/>
      <c r="E2" s="287"/>
      <c r="F2" s="287"/>
      <c r="G2" s="287"/>
      <c r="H2" s="287"/>
      <c r="I2" s="287"/>
      <c r="J2" s="287"/>
    </row>
    <row r="3" spans="1:38" ht="24.75" customHeight="1" x14ac:dyDescent="0.25">
      <c r="A3" s="287" t="s">
        <v>120</v>
      </c>
      <c r="B3" s="287"/>
      <c r="C3" s="287"/>
      <c r="D3" s="287"/>
      <c r="E3" s="287"/>
      <c r="F3" s="287"/>
      <c r="G3" s="287"/>
      <c r="H3" s="287"/>
      <c r="I3" s="287"/>
      <c r="J3" s="287"/>
    </row>
    <row r="4" spans="1:38" s="121" customFormat="1" ht="55.5" customHeight="1" x14ac:dyDescent="0.25">
      <c r="A4" s="118" t="s">
        <v>58</v>
      </c>
      <c r="B4" s="119" t="s">
        <v>17</v>
      </c>
      <c r="C4" s="288" t="s">
        <v>2</v>
      </c>
      <c r="D4" s="289"/>
      <c r="E4" s="290"/>
      <c r="F4" s="290"/>
      <c r="G4" s="290"/>
      <c r="H4" s="290"/>
      <c r="I4" s="120" t="s">
        <v>40</v>
      </c>
      <c r="J4" s="119" t="s">
        <v>9</v>
      </c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</row>
    <row r="5" spans="1:38" s="121" customFormat="1" ht="67.5" customHeight="1" x14ac:dyDescent="0.25">
      <c r="A5" s="118"/>
      <c r="B5" s="119"/>
      <c r="C5" s="122" t="s">
        <v>10</v>
      </c>
      <c r="D5" s="122" t="s">
        <v>11</v>
      </c>
      <c r="E5" s="120" t="s">
        <v>12</v>
      </c>
      <c r="F5" s="120" t="s">
        <v>19</v>
      </c>
      <c r="G5" s="122" t="s">
        <v>59</v>
      </c>
      <c r="H5" s="120" t="s">
        <v>16</v>
      </c>
      <c r="I5" s="120"/>
      <c r="J5" s="123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</row>
    <row r="6" spans="1:38" ht="18.75" customHeight="1" x14ac:dyDescent="0.25">
      <c r="A6" s="124" t="s">
        <v>22</v>
      </c>
      <c r="B6" s="125" t="s">
        <v>23</v>
      </c>
      <c r="C6" s="106" t="s">
        <v>24</v>
      </c>
      <c r="D6" s="106" t="s">
        <v>25</v>
      </c>
      <c r="E6" s="106" t="s">
        <v>27</v>
      </c>
      <c r="F6" s="106" t="s">
        <v>29</v>
      </c>
      <c r="G6" s="106" t="s">
        <v>32</v>
      </c>
      <c r="H6" s="106" t="s">
        <v>33</v>
      </c>
      <c r="I6" s="106" t="s">
        <v>36</v>
      </c>
      <c r="J6" s="121" t="s">
        <v>48</v>
      </c>
    </row>
    <row r="7" spans="1:38" ht="18.75" customHeight="1" x14ac:dyDescent="0.25">
      <c r="A7" s="284" t="s">
        <v>60</v>
      </c>
      <c r="B7" s="285"/>
      <c r="C7" s="126"/>
      <c r="D7" s="126"/>
      <c r="E7" s="126"/>
      <c r="F7" s="126"/>
      <c r="G7" s="126"/>
      <c r="H7" s="126"/>
      <c r="I7" s="126"/>
      <c r="J7" s="127"/>
    </row>
    <row r="8" spans="1:38" s="133" customFormat="1" ht="60.75" x14ac:dyDescent="0.25">
      <c r="A8" s="106">
        <v>1</v>
      </c>
      <c r="B8" s="128" t="s">
        <v>157</v>
      </c>
      <c r="C8" s="129">
        <v>1611</v>
      </c>
      <c r="D8" s="130">
        <v>986</v>
      </c>
      <c r="E8" s="130">
        <v>21</v>
      </c>
      <c r="F8" s="130"/>
      <c r="G8" s="104">
        <v>13</v>
      </c>
      <c r="H8" s="131">
        <f>E8+F8+G8</f>
        <v>34</v>
      </c>
      <c r="I8" s="131">
        <f>D8-H8</f>
        <v>952</v>
      </c>
      <c r="J8" s="132" t="s">
        <v>138</v>
      </c>
    </row>
    <row r="9" spans="1:38" ht="81" x14ac:dyDescent="0.25">
      <c r="A9" s="103">
        <v>2</v>
      </c>
      <c r="B9" s="128" t="s">
        <v>158</v>
      </c>
      <c r="C9" s="101">
        <v>2117</v>
      </c>
      <c r="D9" s="134">
        <v>1659</v>
      </c>
      <c r="E9" s="181">
        <v>20</v>
      </c>
      <c r="F9" s="134"/>
      <c r="G9" s="104">
        <v>40</v>
      </c>
      <c r="H9" s="131">
        <f t="shared" ref="H9:H80" si="0">E9+F9+G9</f>
        <v>60</v>
      </c>
      <c r="I9" s="131">
        <f t="shared" ref="I9:I73" si="1">D9-H9</f>
        <v>1599</v>
      </c>
      <c r="J9" s="132" t="s">
        <v>139</v>
      </c>
    </row>
    <row r="10" spans="1:38" ht="60.75" x14ac:dyDescent="0.25">
      <c r="A10" s="106">
        <v>3</v>
      </c>
      <c r="B10" s="128" t="s">
        <v>159</v>
      </c>
      <c r="C10" s="101">
        <v>1961</v>
      </c>
      <c r="D10" s="134">
        <v>1799</v>
      </c>
      <c r="E10" s="134">
        <v>15</v>
      </c>
      <c r="F10" s="134"/>
      <c r="G10" s="104">
        <v>68</v>
      </c>
      <c r="H10" s="131">
        <f t="shared" si="0"/>
        <v>83</v>
      </c>
      <c r="I10" s="131">
        <f t="shared" si="1"/>
        <v>1716</v>
      </c>
      <c r="J10" s="132" t="s">
        <v>140</v>
      </c>
    </row>
    <row r="11" spans="1:38" ht="46.5" customHeight="1" x14ac:dyDescent="0.25">
      <c r="A11" s="103">
        <v>4</v>
      </c>
      <c r="B11" s="128" t="s">
        <v>160</v>
      </c>
      <c r="C11" s="101">
        <v>12</v>
      </c>
      <c r="D11" s="134">
        <v>22</v>
      </c>
      <c r="E11" s="134"/>
      <c r="F11" s="134"/>
      <c r="G11" s="104"/>
      <c r="H11" s="131">
        <f t="shared" si="0"/>
        <v>0</v>
      </c>
      <c r="I11" s="131">
        <f t="shared" si="1"/>
        <v>22</v>
      </c>
      <c r="J11" s="135"/>
    </row>
    <row r="12" spans="1:38" s="136" customFormat="1" ht="27" customHeight="1" x14ac:dyDescent="0.25">
      <c r="A12" s="106">
        <v>5</v>
      </c>
      <c r="B12" s="128" t="s">
        <v>161</v>
      </c>
      <c r="C12" s="104">
        <v>0</v>
      </c>
      <c r="D12" s="104">
        <v>0</v>
      </c>
      <c r="E12" s="104"/>
      <c r="F12" s="104"/>
      <c r="G12" s="104"/>
      <c r="H12" s="131">
        <f t="shared" si="0"/>
        <v>0</v>
      </c>
      <c r="I12" s="131">
        <f t="shared" si="1"/>
        <v>0</v>
      </c>
      <c r="J12" s="107"/>
    </row>
    <row r="13" spans="1:38" s="136" customFormat="1" ht="27" customHeight="1" x14ac:dyDescent="0.25">
      <c r="A13" s="103">
        <v>6</v>
      </c>
      <c r="B13" s="128" t="s">
        <v>162</v>
      </c>
      <c r="C13" s="101">
        <v>1</v>
      </c>
      <c r="D13" s="134">
        <v>6</v>
      </c>
      <c r="E13" s="134"/>
      <c r="F13" s="134"/>
      <c r="G13" s="104"/>
      <c r="H13" s="131">
        <f t="shared" si="0"/>
        <v>0</v>
      </c>
      <c r="I13" s="131">
        <f t="shared" si="1"/>
        <v>6</v>
      </c>
      <c r="J13" s="137"/>
    </row>
    <row r="14" spans="1:38" s="136" customFormat="1" ht="27" customHeight="1" x14ac:dyDescent="0.25">
      <c r="A14" s="106">
        <v>7</v>
      </c>
      <c r="B14" s="128" t="s">
        <v>163</v>
      </c>
      <c r="C14" s="101">
        <v>11</v>
      </c>
      <c r="D14" s="134">
        <v>11</v>
      </c>
      <c r="E14" s="104"/>
      <c r="F14" s="104"/>
      <c r="G14" s="104"/>
      <c r="H14" s="131">
        <f t="shared" si="0"/>
        <v>0</v>
      </c>
      <c r="I14" s="131">
        <f t="shared" si="1"/>
        <v>11</v>
      </c>
      <c r="J14" s="137"/>
    </row>
    <row r="15" spans="1:38" s="136" customFormat="1" ht="27" customHeight="1" x14ac:dyDescent="0.25">
      <c r="A15" s="103">
        <v>8</v>
      </c>
      <c r="B15" s="128" t="s">
        <v>164</v>
      </c>
      <c r="C15" s="101">
        <v>3</v>
      </c>
      <c r="D15" s="134">
        <v>3</v>
      </c>
      <c r="E15" s="104"/>
      <c r="F15" s="104"/>
      <c r="G15" s="104"/>
      <c r="H15" s="131">
        <f t="shared" si="0"/>
        <v>0</v>
      </c>
      <c r="I15" s="131">
        <f t="shared" si="1"/>
        <v>3</v>
      </c>
      <c r="J15" s="138"/>
    </row>
    <row r="16" spans="1:38" s="139" customFormat="1" ht="27" customHeight="1" x14ac:dyDescent="0.25">
      <c r="A16" s="106">
        <v>9</v>
      </c>
      <c r="B16" s="128" t="s">
        <v>165</v>
      </c>
      <c r="C16" s="101">
        <v>6</v>
      </c>
      <c r="D16" s="134">
        <v>14</v>
      </c>
      <c r="E16" s="104"/>
      <c r="F16" s="104"/>
      <c r="G16" s="104"/>
      <c r="H16" s="131">
        <f t="shared" si="0"/>
        <v>0</v>
      </c>
      <c r="I16" s="131">
        <f t="shared" si="1"/>
        <v>14</v>
      </c>
      <c r="J16" s="108"/>
    </row>
    <row r="17" spans="1:10" s="139" customFormat="1" ht="69" customHeight="1" x14ac:dyDescent="0.25">
      <c r="A17" s="103">
        <v>10</v>
      </c>
      <c r="B17" s="128" t="s">
        <v>166</v>
      </c>
      <c r="C17" s="105">
        <v>2</v>
      </c>
      <c r="D17" s="140">
        <v>35</v>
      </c>
      <c r="E17" s="140"/>
      <c r="F17" s="104"/>
      <c r="G17" s="104"/>
      <c r="H17" s="131">
        <f t="shared" si="0"/>
        <v>0</v>
      </c>
      <c r="I17" s="131">
        <f t="shared" si="1"/>
        <v>35</v>
      </c>
      <c r="J17" s="141"/>
    </row>
    <row r="18" spans="1:10" s="144" customFormat="1" ht="26.25" customHeight="1" x14ac:dyDescent="0.25">
      <c r="A18" s="284" t="s">
        <v>61</v>
      </c>
      <c r="B18" s="285"/>
      <c r="C18" s="142"/>
      <c r="D18" s="142"/>
      <c r="E18" s="142"/>
      <c r="F18" s="142"/>
      <c r="G18" s="142"/>
      <c r="H18" s="126"/>
      <c r="I18" s="126"/>
      <c r="J18" s="143"/>
    </row>
    <row r="19" spans="1:10" s="136" customFormat="1" ht="26.25" customHeight="1" x14ac:dyDescent="0.25">
      <c r="A19" s="106">
        <v>11</v>
      </c>
      <c r="B19" s="128" t="s">
        <v>167</v>
      </c>
      <c r="C19" s="101">
        <v>1</v>
      </c>
      <c r="D19" s="134">
        <v>1</v>
      </c>
      <c r="E19" s="134"/>
      <c r="F19" s="134"/>
      <c r="G19" s="104"/>
      <c r="H19" s="131">
        <f t="shared" si="0"/>
        <v>0</v>
      </c>
      <c r="I19" s="131">
        <f t="shared" si="1"/>
        <v>1</v>
      </c>
      <c r="J19" s="108"/>
    </row>
    <row r="20" spans="1:10" s="136" customFormat="1" ht="26.25" customHeight="1" x14ac:dyDescent="0.25">
      <c r="A20" s="106">
        <v>12</v>
      </c>
      <c r="B20" s="128" t="s">
        <v>168</v>
      </c>
      <c r="C20" s="101">
        <v>0</v>
      </c>
      <c r="D20" s="134">
        <v>1</v>
      </c>
      <c r="E20" s="134"/>
      <c r="F20" s="134"/>
      <c r="G20" s="104"/>
      <c r="H20" s="131">
        <f t="shared" si="0"/>
        <v>0</v>
      </c>
      <c r="I20" s="131">
        <f t="shared" si="1"/>
        <v>1</v>
      </c>
      <c r="J20" s="108"/>
    </row>
    <row r="21" spans="1:10" s="136" customFormat="1" ht="26.25" customHeight="1" x14ac:dyDescent="0.25">
      <c r="A21" s="106">
        <v>13</v>
      </c>
      <c r="B21" s="128" t="s">
        <v>169</v>
      </c>
      <c r="C21" s="101">
        <v>0</v>
      </c>
      <c r="D21" s="134">
        <v>1</v>
      </c>
      <c r="E21" s="134"/>
      <c r="F21" s="134"/>
      <c r="G21" s="104"/>
      <c r="H21" s="131">
        <f t="shared" si="0"/>
        <v>0</v>
      </c>
      <c r="I21" s="131">
        <f t="shared" si="1"/>
        <v>1</v>
      </c>
      <c r="J21" s="102"/>
    </row>
    <row r="22" spans="1:10" s="136" customFormat="1" ht="26.25" customHeight="1" x14ac:dyDescent="0.25">
      <c r="A22" s="106">
        <v>14</v>
      </c>
      <c r="B22" s="128" t="s">
        <v>170</v>
      </c>
      <c r="C22" s="101">
        <v>1</v>
      </c>
      <c r="D22" s="134">
        <v>1</v>
      </c>
      <c r="E22" s="134"/>
      <c r="F22" s="134"/>
      <c r="G22" s="104"/>
      <c r="H22" s="131">
        <f t="shared" si="0"/>
        <v>0</v>
      </c>
      <c r="I22" s="131">
        <f t="shared" si="1"/>
        <v>1</v>
      </c>
      <c r="J22" s="102"/>
    </row>
    <row r="23" spans="1:10" s="136" customFormat="1" ht="26.25" customHeight="1" x14ac:dyDescent="0.25">
      <c r="A23" s="106">
        <v>15</v>
      </c>
      <c r="B23" s="128" t="s">
        <v>171</v>
      </c>
      <c r="C23" s="101">
        <v>0</v>
      </c>
      <c r="D23" s="134">
        <v>0</v>
      </c>
      <c r="E23" s="134"/>
      <c r="F23" s="134"/>
      <c r="G23" s="104"/>
      <c r="H23" s="131">
        <f t="shared" si="0"/>
        <v>0</v>
      </c>
      <c r="I23" s="131">
        <f t="shared" si="1"/>
        <v>0</v>
      </c>
      <c r="J23" s="145"/>
    </row>
    <row r="24" spans="1:10" s="136" customFormat="1" ht="27.75" customHeight="1" x14ac:dyDescent="0.25">
      <c r="A24" s="106">
        <v>16</v>
      </c>
      <c r="B24" s="128" t="s">
        <v>172</v>
      </c>
      <c r="C24" s="101">
        <v>0</v>
      </c>
      <c r="D24" s="134">
        <v>0</v>
      </c>
      <c r="E24" s="134"/>
      <c r="F24" s="134"/>
      <c r="G24" s="104"/>
      <c r="H24" s="131">
        <f t="shared" si="0"/>
        <v>0</v>
      </c>
      <c r="I24" s="131">
        <f t="shared" si="1"/>
        <v>0</v>
      </c>
      <c r="J24" s="102"/>
    </row>
    <row r="25" spans="1:10" s="136" customFormat="1" ht="72.75" customHeight="1" x14ac:dyDescent="0.25">
      <c r="A25" s="106">
        <v>17</v>
      </c>
      <c r="B25" s="128" t="s">
        <v>173</v>
      </c>
      <c r="C25" s="101">
        <v>90</v>
      </c>
      <c r="D25" s="134">
        <v>90</v>
      </c>
      <c r="E25" s="134"/>
      <c r="F25" s="134">
        <v>4</v>
      </c>
      <c r="G25" s="104">
        <v>2</v>
      </c>
      <c r="H25" s="131">
        <f t="shared" si="0"/>
        <v>6</v>
      </c>
      <c r="I25" s="131">
        <f t="shared" si="1"/>
        <v>84</v>
      </c>
      <c r="J25" s="102" t="s">
        <v>283</v>
      </c>
    </row>
    <row r="26" spans="1:10" s="136" customFormat="1" x14ac:dyDescent="0.25">
      <c r="A26" s="106">
        <v>18</v>
      </c>
      <c r="B26" s="128" t="s">
        <v>174</v>
      </c>
      <c r="C26" s="101">
        <v>48</v>
      </c>
      <c r="D26" s="134">
        <v>38</v>
      </c>
      <c r="E26" s="134"/>
      <c r="F26" s="134"/>
      <c r="G26" s="104"/>
      <c r="H26" s="131">
        <f t="shared" si="0"/>
        <v>0</v>
      </c>
      <c r="I26" s="131">
        <f t="shared" si="1"/>
        <v>38</v>
      </c>
      <c r="J26" s="108"/>
    </row>
    <row r="27" spans="1:10" s="136" customFormat="1" ht="23.25" customHeight="1" x14ac:dyDescent="0.25">
      <c r="A27" s="106">
        <v>19</v>
      </c>
      <c r="B27" s="128" t="s">
        <v>175</v>
      </c>
      <c r="C27" s="101">
        <v>0</v>
      </c>
      <c r="D27" s="134">
        <v>0</v>
      </c>
      <c r="E27" s="134"/>
      <c r="F27" s="134"/>
      <c r="G27" s="104"/>
      <c r="H27" s="131">
        <f t="shared" si="0"/>
        <v>0</v>
      </c>
      <c r="I27" s="131">
        <f t="shared" si="1"/>
        <v>0</v>
      </c>
      <c r="J27" s="108"/>
    </row>
    <row r="28" spans="1:10" s="136" customFormat="1" ht="23.25" customHeight="1" x14ac:dyDescent="0.25">
      <c r="A28" s="106">
        <v>20</v>
      </c>
      <c r="B28" s="128" t="s">
        <v>176</v>
      </c>
      <c r="C28" s="101">
        <v>0</v>
      </c>
      <c r="D28" s="134">
        <v>0</v>
      </c>
      <c r="E28" s="134"/>
      <c r="F28" s="134"/>
      <c r="G28" s="104"/>
      <c r="H28" s="131">
        <f t="shared" si="0"/>
        <v>0</v>
      </c>
      <c r="I28" s="131">
        <f t="shared" si="1"/>
        <v>0</v>
      </c>
      <c r="J28" s="108"/>
    </row>
    <row r="29" spans="1:10" s="147" customFormat="1" x14ac:dyDescent="0.25">
      <c r="A29" s="106">
        <v>21</v>
      </c>
      <c r="B29" s="128" t="s">
        <v>177</v>
      </c>
      <c r="C29" s="101">
        <v>37</v>
      </c>
      <c r="D29" s="134">
        <v>13</v>
      </c>
      <c r="E29" s="134"/>
      <c r="F29" s="134"/>
      <c r="G29" s="104"/>
      <c r="H29" s="131">
        <f t="shared" si="0"/>
        <v>0</v>
      </c>
      <c r="I29" s="131">
        <f t="shared" si="1"/>
        <v>13</v>
      </c>
      <c r="J29" s="146"/>
    </row>
    <row r="30" spans="1:10" s="147" customFormat="1" ht="31.5" customHeight="1" x14ac:dyDescent="0.25">
      <c r="A30" s="106">
        <v>22</v>
      </c>
      <c r="B30" s="128" t="s">
        <v>178</v>
      </c>
      <c r="C30" s="101">
        <v>0</v>
      </c>
      <c r="D30" s="134">
        <v>0</v>
      </c>
      <c r="E30" s="134"/>
      <c r="F30" s="134"/>
      <c r="G30" s="104"/>
      <c r="H30" s="131">
        <f t="shared" si="0"/>
        <v>0</v>
      </c>
      <c r="I30" s="131">
        <f t="shared" si="1"/>
        <v>0</v>
      </c>
      <c r="J30" s="108"/>
    </row>
    <row r="31" spans="1:10" s="147" customFormat="1" ht="31.5" customHeight="1" x14ac:dyDescent="0.25">
      <c r="A31" s="106">
        <v>23</v>
      </c>
      <c r="B31" s="128" t="s">
        <v>179</v>
      </c>
      <c r="C31" s="101">
        <v>0</v>
      </c>
      <c r="D31" s="134">
        <v>0</v>
      </c>
      <c r="E31" s="134"/>
      <c r="F31" s="134"/>
      <c r="G31" s="104"/>
      <c r="H31" s="131">
        <f t="shared" si="0"/>
        <v>0</v>
      </c>
      <c r="I31" s="131">
        <f t="shared" si="1"/>
        <v>0</v>
      </c>
      <c r="J31" s="108"/>
    </row>
    <row r="32" spans="1:10" s="147" customFormat="1" ht="31.5" customHeight="1" x14ac:dyDescent="0.25">
      <c r="A32" s="106">
        <v>24</v>
      </c>
      <c r="B32" s="128" t="s">
        <v>180</v>
      </c>
      <c r="C32" s="101">
        <v>0</v>
      </c>
      <c r="D32" s="134">
        <v>0</v>
      </c>
      <c r="E32" s="134"/>
      <c r="F32" s="134"/>
      <c r="G32" s="104"/>
      <c r="H32" s="131">
        <f t="shared" si="0"/>
        <v>0</v>
      </c>
      <c r="I32" s="131">
        <f t="shared" si="1"/>
        <v>0</v>
      </c>
      <c r="J32" s="108"/>
    </row>
    <row r="33" spans="1:10" s="147" customFormat="1" ht="31.5" customHeight="1" x14ac:dyDescent="0.25">
      <c r="A33" s="106">
        <v>25</v>
      </c>
      <c r="B33" s="128" t="s">
        <v>181</v>
      </c>
      <c r="C33" s="100">
        <v>0</v>
      </c>
      <c r="D33" s="134">
        <v>2</v>
      </c>
      <c r="E33" s="134"/>
      <c r="F33" s="134"/>
      <c r="G33" s="104"/>
      <c r="H33" s="131">
        <f t="shared" si="0"/>
        <v>0</v>
      </c>
      <c r="I33" s="131">
        <f t="shared" si="1"/>
        <v>2</v>
      </c>
      <c r="J33" s="108"/>
    </row>
    <row r="34" spans="1:10" s="147" customFormat="1" ht="31.5" customHeight="1" x14ac:dyDescent="0.25">
      <c r="A34" s="106">
        <v>26</v>
      </c>
      <c r="B34" s="128" t="s">
        <v>182</v>
      </c>
      <c r="C34" s="100">
        <v>0</v>
      </c>
      <c r="D34" s="134">
        <v>0</v>
      </c>
      <c r="E34" s="134"/>
      <c r="F34" s="134"/>
      <c r="G34" s="104"/>
      <c r="H34" s="131">
        <f t="shared" si="0"/>
        <v>0</v>
      </c>
      <c r="I34" s="131">
        <f t="shared" si="1"/>
        <v>0</v>
      </c>
      <c r="J34" s="108"/>
    </row>
    <row r="35" spans="1:10" s="147" customFormat="1" ht="31.5" customHeight="1" x14ac:dyDescent="0.25">
      <c r="A35" s="106">
        <v>27</v>
      </c>
      <c r="B35" s="128" t="s">
        <v>183</v>
      </c>
      <c r="C35" s="100">
        <v>0</v>
      </c>
      <c r="D35" s="134">
        <v>0</v>
      </c>
      <c r="E35" s="134"/>
      <c r="F35" s="134"/>
      <c r="G35" s="104"/>
      <c r="H35" s="131">
        <f t="shared" si="0"/>
        <v>0</v>
      </c>
      <c r="I35" s="131">
        <f t="shared" si="1"/>
        <v>0</v>
      </c>
      <c r="J35" s="102"/>
    </row>
    <row r="36" spans="1:10" s="136" customFormat="1" ht="36.75" customHeight="1" x14ac:dyDescent="0.25">
      <c r="A36" s="106">
        <v>28</v>
      </c>
      <c r="B36" s="128" t="s">
        <v>184</v>
      </c>
      <c r="C36" s="100">
        <v>0</v>
      </c>
      <c r="D36" s="134">
        <v>0</v>
      </c>
      <c r="E36" s="134"/>
      <c r="F36" s="134"/>
      <c r="G36" s="104"/>
      <c r="H36" s="131">
        <f t="shared" si="0"/>
        <v>0</v>
      </c>
      <c r="I36" s="131">
        <f t="shared" si="1"/>
        <v>0</v>
      </c>
      <c r="J36" s="102"/>
    </row>
    <row r="37" spans="1:10" s="136" customFormat="1" ht="24.75" customHeight="1" x14ac:dyDescent="0.25">
      <c r="A37" s="106">
        <v>29</v>
      </c>
      <c r="B37" s="128" t="s">
        <v>185</v>
      </c>
      <c r="C37" s="148">
        <v>4</v>
      </c>
      <c r="D37" s="134">
        <v>10</v>
      </c>
      <c r="E37" s="134"/>
      <c r="F37" s="134"/>
      <c r="G37" s="104"/>
      <c r="H37" s="131">
        <f t="shared" si="0"/>
        <v>0</v>
      </c>
      <c r="I37" s="131">
        <f t="shared" si="1"/>
        <v>10</v>
      </c>
      <c r="J37" s="102"/>
    </row>
    <row r="38" spans="1:10" s="136" customFormat="1" ht="24.75" customHeight="1" x14ac:dyDescent="0.25">
      <c r="A38" s="106">
        <v>30</v>
      </c>
      <c r="B38" s="128" t="s">
        <v>186</v>
      </c>
      <c r="C38" s="149">
        <v>4</v>
      </c>
      <c r="D38" s="134">
        <v>5</v>
      </c>
      <c r="E38" s="134"/>
      <c r="F38" s="134"/>
      <c r="G38" s="104"/>
      <c r="H38" s="131">
        <f t="shared" si="0"/>
        <v>0</v>
      </c>
      <c r="I38" s="131">
        <f t="shared" si="1"/>
        <v>5</v>
      </c>
      <c r="J38" s="109"/>
    </row>
    <row r="39" spans="1:10" s="139" customFormat="1" ht="24.75" customHeight="1" x14ac:dyDescent="0.25">
      <c r="A39" s="106">
        <v>31</v>
      </c>
      <c r="B39" s="128" t="s">
        <v>187</v>
      </c>
      <c r="C39" s="101">
        <v>0</v>
      </c>
      <c r="D39" s="134">
        <v>0</v>
      </c>
      <c r="E39" s="134"/>
      <c r="F39" s="134"/>
      <c r="G39" s="104"/>
      <c r="H39" s="131">
        <f t="shared" si="0"/>
        <v>0</v>
      </c>
      <c r="I39" s="131">
        <f t="shared" si="1"/>
        <v>0</v>
      </c>
      <c r="J39" s="145"/>
    </row>
    <row r="40" spans="1:10" s="139" customFormat="1" ht="41.25" customHeight="1" x14ac:dyDescent="0.25">
      <c r="A40" s="106">
        <v>32</v>
      </c>
      <c r="B40" s="128" t="s">
        <v>188</v>
      </c>
      <c r="C40" s="101">
        <v>31</v>
      </c>
      <c r="D40" s="134">
        <v>18</v>
      </c>
      <c r="E40" s="134"/>
      <c r="F40" s="134">
        <v>1</v>
      </c>
      <c r="G40" s="104">
        <v>1</v>
      </c>
      <c r="H40" s="131">
        <f t="shared" si="0"/>
        <v>2</v>
      </c>
      <c r="I40" s="131">
        <f t="shared" si="1"/>
        <v>16</v>
      </c>
      <c r="J40" s="150" t="s">
        <v>282</v>
      </c>
    </row>
    <row r="41" spans="1:10" s="139" customFormat="1" ht="24.75" customHeight="1" x14ac:dyDescent="0.25">
      <c r="A41" s="106">
        <v>33</v>
      </c>
      <c r="B41" s="128" t="s">
        <v>189</v>
      </c>
      <c r="C41" s="149">
        <v>0</v>
      </c>
      <c r="D41" s="134">
        <v>0</v>
      </c>
      <c r="E41" s="134"/>
      <c r="F41" s="134"/>
      <c r="G41" s="104"/>
      <c r="H41" s="131">
        <f t="shared" si="0"/>
        <v>0</v>
      </c>
      <c r="I41" s="131">
        <f t="shared" si="1"/>
        <v>0</v>
      </c>
      <c r="J41" s="102"/>
    </row>
    <row r="42" spans="1:10" s="147" customFormat="1" ht="24.75" customHeight="1" x14ac:dyDescent="0.25">
      <c r="A42" s="106">
        <v>34</v>
      </c>
      <c r="B42" s="128" t="s">
        <v>190</v>
      </c>
      <c r="C42" s="103">
        <v>10</v>
      </c>
      <c r="D42" s="151">
        <v>17</v>
      </c>
      <c r="E42" s="152"/>
      <c r="F42" s="152"/>
      <c r="G42" s="104">
        <v>1</v>
      </c>
      <c r="H42" s="131">
        <f t="shared" si="0"/>
        <v>1</v>
      </c>
      <c r="I42" s="131">
        <f t="shared" si="1"/>
        <v>16</v>
      </c>
      <c r="J42" s="107" t="s">
        <v>62</v>
      </c>
    </row>
    <row r="43" spans="1:10" s="147" customFormat="1" ht="24.75" customHeight="1" x14ac:dyDescent="0.25">
      <c r="A43" s="106">
        <v>35</v>
      </c>
      <c r="B43" s="128" t="s">
        <v>191</v>
      </c>
      <c r="C43" s="101">
        <v>55</v>
      </c>
      <c r="D43" s="101">
        <v>61</v>
      </c>
      <c r="E43" s="134"/>
      <c r="F43" s="134"/>
      <c r="G43" s="104"/>
      <c r="H43" s="131">
        <f t="shared" si="0"/>
        <v>0</v>
      </c>
      <c r="I43" s="131">
        <f t="shared" si="1"/>
        <v>61</v>
      </c>
      <c r="J43" s="153"/>
    </row>
    <row r="44" spans="1:10" s="147" customFormat="1" ht="41.25" customHeight="1" x14ac:dyDescent="0.25">
      <c r="A44" s="106">
        <v>36</v>
      </c>
      <c r="B44" s="128" t="s">
        <v>192</v>
      </c>
      <c r="C44" s="101">
        <v>0</v>
      </c>
      <c r="D44" s="101">
        <v>0</v>
      </c>
      <c r="E44" s="134"/>
      <c r="F44" s="134"/>
      <c r="G44" s="104"/>
      <c r="H44" s="131">
        <f t="shared" si="0"/>
        <v>0</v>
      </c>
      <c r="I44" s="131">
        <f t="shared" si="1"/>
        <v>0</v>
      </c>
      <c r="J44" s="108"/>
    </row>
    <row r="45" spans="1:10" s="147" customFormat="1" ht="24.75" customHeight="1" x14ac:dyDescent="0.25">
      <c r="A45" s="106">
        <v>37</v>
      </c>
      <c r="B45" s="128" t="s">
        <v>193</v>
      </c>
      <c r="C45" s="101">
        <v>0</v>
      </c>
      <c r="D45" s="101">
        <v>0</v>
      </c>
      <c r="E45" s="134"/>
      <c r="F45" s="134"/>
      <c r="G45" s="104"/>
      <c r="H45" s="131">
        <f t="shared" si="0"/>
        <v>0</v>
      </c>
      <c r="I45" s="131">
        <f t="shared" si="1"/>
        <v>0</v>
      </c>
      <c r="J45" s="108"/>
    </row>
    <row r="46" spans="1:10" s="147" customFormat="1" x14ac:dyDescent="0.25">
      <c r="A46" s="106">
        <v>38</v>
      </c>
      <c r="B46" s="128" t="s">
        <v>194</v>
      </c>
      <c r="C46" s="101">
        <v>2</v>
      </c>
      <c r="D46" s="101">
        <v>4</v>
      </c>
      <c r="E46" s="134"/>
      <c r="F46" s="134"/>
      <c r="G46" s="104"/>
      <c r="H46" s="131">
        <f t="shared" si="0"/>
        <v>0</v>
      </c>
      <c r="I46" s="131">
        <f t="shared" si="1"/>
        <v>4</v>
      </c>
      <c r="J46" s="102"/>
    </row>
    <row r="47" spans="1:10" s="147" customFormat="1" ht="24.75" customHeight="1" x14ac:dyDescent="0.25">
      <c r="A47" s="106">
        <v>39</v>
      </c>
      <c r="B47" s="128" t="s">
        <v>195</v>
      </c>
      <c r="C47" s="101">
        <v>0</v>
      </c>
      <c r="D47" s="101">
        <v>0</v>
      </c>
      <c r="E47" s="134"/>
      <c r="F47" s="134"/>
      <c r="G47" s="104"/>
      <c r="H47" s="131">
        <f t="shared" si="0"/>
        <v>0</v>
      </c>
      <c r="I47" s="131">
        <f t="shared" si="1"/>
        <v>0</v>
      </c>
      <c r="J47" s="102"/>
    </row>
    <row r="48" spans="1:10" s="139" customFormat="1" ht="24.75" customHeight="1" x14ac:dyDescent="0.25">
      <c r="A48" s="106">
        <v>40</v>
      </c>
      <c r="B48" s="128" t="s">
        <v>196</v>
      </c>
      <c r="C48" s="101">
        <v>0</v>
      </c>
      <c r="D48" s="101">
        <v>0</v>
      </c>
      <c r="E48" s="134"/>
      <c r="F48" s="134"/>
      <c r="G48" s="104"/>
      <c r="H48" s="131">
        <f t="shared" si="0"/>
        <v>0</v>
      </c>
      <c r="I48" s="131">
        <f t="shared" si="1"/>
        <v>0</v>
      </c>
      <c r="J48" s="102"/>
    </row>
    <row r="49" spans="1:10" s="136" customFormat="1" ht="24.75" customHeight="1" x14ac:dyDescent="0.25">
      <c r="A49" s="106">
        <v>41</v>
      </c>
      <c r="B49" s="128" t="s">
        <v>197</v>
      </c>
      <c r="C49" s="101">
        <v>0</v>
      </c>
      <c r="D49" s="101">
        <v>6</v>
      </c>
      <c r="E49" s="134"/>
      <c r="F49" s="134"/>
      <c r="G49" s="104"/>
      <c r="H49" s="131">
        <f t="shared" si="0"/>
        <v>0</v>
      </c>
      <c r="I49" s="131">
        <f t="shared" si="1"/>
        <v>6</v>
      </c>
      <c r="J49" s="102"/>
    </row>
    <row r="50" spans="1:10" s="136" customFormat="1" ht="24.75" customHeight="1" x14ac:dyDescent="0.25">
      <c r="A50" s="106">
        <v>42</v>
      </c>
      <c r="B50" s="128" t="s">
        <v>198</v>
      </c>
      <c r="C50" s="101">
        <v>0</v>
      </c>
      <c r="D50" s="101">
        <v>0</v>
      </c>
      <c r="E50" s="134"/>
      <c r="F50" s="134"/>
      <c r="G50" s="104"/>
      <c r="H50" s="131">
        <f t="shared" si="0"/>
        <v>0</v>
      </c>
      <c r="I50" s="131">
        <f t="shared" si="1"/>
        <v>0</v>
      </c>
      <c r="J50" s="102"/>
    </row>
    <row r="51" spans="1:10" s="136" customFormat="1" ht="35.25" customHeight="1" x14ac:dyDescent="0.25">
      <c r="A51" s="106">
        <v>43</v>
      </c>
      <c r="B51" s="128" t="s">
        <v>199</v>
      </c>
      <c r="C51" s="101">
        <v>0</v>
      </c>
      <c r="D51" s="101">
        <v>0</v>
      </c>
      <c r="E51" s="134"/>
      <c r="F51" s="134"/>
      <c r="G51" s="104"/>
      <c r="H51" s="131">
        <f t="shared" si="0"/>
        <v>0</v>
      </c>
      <c r="I51" s="131">
        <f t="shared" si="1"/>
        <v>0</v>
      </c>
      <c r="J51" s="102"/>
    </row>
    <row r="52" spans="1:10" s="136" customFormat="1" ht="35.25" customHeight="1" x14ac:dyDescent="0.25">
      <c r="A52" s="106">
        <v>44</v>
      </c>
      <c r="B52" s="128" t="s">
        <v>200</v>
      </c>
      <c r="C52" s="101">
        <v>0</v>
      </c>
      <c r="D52" s="101">
        <v>0</v>
      </c>
      <c r="E52" s="134"/>
      <c r="F52" s="134"/>
      <c r="G52" s="104"/>
      <c r="H52" s="131">
        <f t="shared" si="0"/>
        <v>0</v>
      </c>
      <c r="I52" s="131">
        <f t="shared" si="1"/>
        <v>0</v>
      </c>
      <c r="J52" s="102"/>
    </row>
    <row r="53" spans="1:10" s="136" customFormat="1" ht="28.5" customHeight="1" x14ac:dyDescent="0.25">
      <c r="A53" s="106">
        <v>45</v>
      </c>
      <c r="B53" s="128" t="s">
        <v>201</v>
      </c>
      <c r="C53" s="101">
        <v>0</v>
      </c>
      <c r="D53" s="101">
        <v>0</v>
      </c>
      <c r="E53" s="134"/>
      <c r="F53" s="134"/>
      <c r="G53" s="104"/>
      <c r="H53" s="131">
        <f t="shared" si="0"/>
        <v>0</v>
      </c>
      <c r="I53" s="131">
        <f t="shared" si="1"/>
        <v>0</v>
      </c>
      <c r="J53" s="102"/>
    </row>
    <row r="54" spans="1:10" s="136" customFormat="1" ht="28.5" customHeight="1" x14ac:dyDescent="0.25">
      <c r="A54" s="106">
        <v>46</v>
      </c>
      <c r="B54" s="128" t="s">
        <v>202</v>
      </c>
      <c r="C54" s="100">
        <v>91</v>
      </c>
      <c r="D54" s="134">
        <v>86</v>
      </c>
      <c r="E54" s="134"/>
      <c r="F54" s="134"/>
      <c r="G54" s="104"/>
      <c r="H54" s="131">
        <f t="shared" si="0"/>
        <v>0</v>
      </c>
      <c r="I54" s="131">
        <f t="shared" si="1"/>
        <v>86</v>
      </c>
      <c r="J54" s="154"/>
    </row>
    <row r="55" spans="1:10" s="136" customFormat="1" ht="33.75" customHeight="1" x14ac:dyDescent="0.25">
      <c r="A55" s="106">
        <v>47</v>
      </c>
      <c r="B55" s="128" t="s">
        <v>203</v>
      </c>
      <c r="C55" s="100">
        <v>6</v>
      </c>
      <c r="D55" s="134">
        <v>10</v>
      </c>
      <c r="E55" s="151"/>
      <c r="F55" s="134"/>
      <c r="G55" s="104"/>
      <c r="H55" s="131">
        <f t="shared" si="0"/>
        <v>0</v>
      </c>
      <c r="I55" s="131">
        <f t="shared" si="1"/>
        <v>10</v>
      </c>
      <c r="J55" s="109"/>
    </row>
    <row r="56" spans="1:10" s="136" customFormat="1" ht="53.25" customHeight="1" x14ac:dyDescent="0.25">
      <c r="A56" s="106">
        <v>48</v>
      </c>
      <c r="B56" s="128" t="s">
        <v>204</v>
      </c>
      <c r="C56" s="100">
        <v>224</v>
      </c>
      <c r="D56" s="134">
        <v>129</v>
      </c>
      <c r="E56" s="134">
        <v>1</v>
      </c>
      <c r="F56" s="134"/>
      <c r="G56" s="104">
        <v>6</v>
      </c>
      <c r="H56" s="131">
        <f t="shared" si="0"/>
        <v>7</v>
      </c>
      <c r="I56" s="131">
        <f t="shared" si="1"/>
        <v>122</v>
      </c>
      <c r="J56" s="108" t="s">
        <v>123</v>
      </c>
    </row>
    <row r="57" spans="1:10" s="136" customFormat="1" ht="35.25" customHeight="1" x14ac:dyDescent="0.25">
      <c r="A57" s="106">
        <v>49</v>
      </c>
      <c r="B57" s="128" t="s">
        <v>205</v>
      </c>
      <c r="C57" s="100">
        <v>27</v>
      </c>
      <c r="D57" s="134">
        <v>16</v>
      </c>
      <c r="E57" s="134"/>
      <c r="F57" s="134"/>
      <c r="G57" s="104">
        <v>1</v>
      </c>
      <c r="H57" s="131">
        <f t="shared" si="0"/>
        <v>1</v>
      </c>
      <c r="I57" s="131">
        <f t="shared" si="1"/>
        <v>15</v>
      </c>
      <c r="J57" s="102" t="s">
        <v>141</v>
      </c>
    </row>
    <row r="58" spans="1:10" s="136" customFormat="1" ht="25.5" customHeight="1" x14ac:dyDescent="0.25">
      <c r="A58" s="106">
        <v>50</v>
      </c>
      <c r="B58" s="128" t="s">
        <v>206</v>
      </c>
      <c r="C58" s="100">
        <v>0</v>
      </c>
      <c r="D58" s="134">
        <v>4</v>
      </c>
      <c r="E58" s="134"/>
      <c r="F58" s="134"/>
      <c r="G58" s="104"/>
      <c r="H58" s="131">
        <f t="shared" si="0"/>
        <v>0</v>
      </c>
      <c r="I58" s="131">
        <f t="shared" si="1"/>
        <v>4</v>
      </c>
      <c r="J58" s="102"/>
    </row>
    <row r="59" spans="1:10" s="147" customFormat="1" ht="25.5" customHeight="1" x14ac:dyDescent="0.25">
      <c r="A59" s="106">
        <v>51</v>
      </c>
      <c r="B59" s="128" t="s">
        <v>207</v>
      </c>
      <c r="C59" s="100">
        <v>4</v>
      </c>
      <c r="D59" s="134">
        <v>3</v>
      </c>
      <c r="E59" s="134"/>
      <c r="F59" s="134"/>
      <c r="G59" s="104"/>
      <c r="H59" s="131">
        <f t="shared" si="0"/>
        <v>0</v>
      </c>
      <c r="I59" s="131">
        <f t="shared" si="1"/>
        <v>3</v>
      </c>
      <c r="J59" s="102"/>
    </row>
    <row r="60" spans="1:10" s="147" customFormat="1" ht="25.5" customHeight="1" x14ac:dyDescent="0.25">
      <c r="A60" s="106">
        <v>52</v>
      </c>
      <c r="B60" s="128" t="s">
        <v>208</v>
      </c>
      <c r="C60" s="100">
        <v>13</v>
      </c>
      <c r="D60" s="134">
        <v>6</v>
      </c>
      <c r="E60" s="134"/>
      <c r="F60" s="134"/>
      <c r="G60" s="104"/>
      <c r="H60" s="131">
        <f t="shared" si="0"/>
        <v>0</v>
      </c>
      <c r="I60" s="131">
        <f t="shared" si="1"/>
        <v>6</v>
      </c>
      <c r="J60" s="102"/>
    </row>
    <row r="61" spans="1:10" s="147" customFormat="1" x14ac:dyDescent="0.25">
      <c r="A61" s="106">
        <v>53</v>
      </c>
      <c r="B61" s="128" t="s">
        <v>209</v>
      </c>
      <c r="C61" s="155">
        <v>11</v>
      </c>
      <c r="D61" s="134">
        <v>4</v>
      </c>
      <c r="E61" s="134"/>
      <c r="F61" s="134"/>
      <c r="G61" s="104"/>
      <c r="H61" s="131">
        <f t="shared" si="0"/>
        <v>0</v>
      </c>
      <c r="I61" s="131">
        <f t="shared" si="1"/>
        <v>4</v>
      </c>
      <c r="J61" s="102"/>
    </row>
    <row r="62" spans="1:10" s="136" customFormat="1" ht="25.5" customHeight="1" x14ac:dyDescent="0.25">
      <c r="A62" s="106">
        <v>54</v>
      </c>
      <c r="B62" s="128" t="s">
        <v>210</v>
      </c>
      <c r="C62" s="104"/>
      <c r="D62" s="104"/>
      <c r="E62" s="104"/>
      <c r="F62" s="104"/>
      <c r="G62" s="104"/>
      <c r="H62" s="131">
        <f t="shared" si="0"/>
        <v>0</v>
      </c>
      <c r="I62" s="131">
        <f t="shared" si="1"/>
        <v>0</v>
      </c>
      <c r="J62" s="102"/>
    </row>
    <row r="63" spans="1:10" s="133" customFormat="1" ht="30.75" customHeight="1" x14ac:dyDescent="0.25">
      <c r="A63" s="284" t="s">
        <v>63</v>
      </c>
      <c r="B63" s="285"/>
      <c r="C63" s="156"/>
      <c r="D63" s="156"/>
      <c r="E63" s="156"/>
      <c r="F63" s="156"/>
      <c r="G63" s="142"/>
      <c r="H63" s="126"/>
      <c r="I63" s="126"/>
      <c r="J63" s="143"/>
    </row>
    <row r="64" spans="1:10" s="136" customFormat="1" ht="30.75" customHeight="1" x14ac:dyDescent="0.25">
      <c r="A64" s="103">
        <v>55</v>
      </c>
      <c r="B64" s="128" t="s">
        <v>211</v>
      </c>
      <c r="C64" s="101">
        <v>5</v>
      </c>
      <c r="D64" s="134">
        <v>1</v>
      </c>
      <c r="E64" s="134"/>
      <c r="F64" s="134"/>
      <c r="G64" s="104"/>
      <c r="H64" s="131">
        <f t="shared" si="0"/>
        <v>0</v>
      </c>
      <c r="I64" s="131">
        <f t="shared" si="1"/>
        <v>1</v>
      </c>
      <c r="J64" s="102"/>
    </row>
    <row r="65" spans="1:10" s="136" customFormat="1" ht="30.75" customHeight="1" x14ac:dyDescent="0.25">
      <c r="A65" s="106">
        <v>56</v>
      </c>
      <c r="B65" s="128" t="s">
        <v>212</v>
      </c>
      <c r="C65" s="101">
        <v>4</v>
      </c>
      <c r="D65" s="134">
        <v>97</v>
      </c>
      <c r="E65" s="134"/>
      <c r="F65" s="134"/>
      <c r="G65" s="104">
        <v>2</v>
      </c>
      <c r="H65" s="131">
        <f t="shared" si="0"/>
        <v>2</v>
      </c>
      <c r="I65" s="131">
        <f t="shared" si="1"/>
        <v>95</v>
      </c>
      <c r="J65" s="145" t="s">
        <v>64</v>
      </c>
    </row>
    <row r="66" spans="1:10" s="136" customFormat="1" ht="37.5" customHeight="1" x14ac:dyDescent="0.25">
      <c r="A66" s="103">
        <v>57</v>
      </c>
      <c r="B66" s="128" t="s">
        <v>213</v>
      </c>
      <c r="C66" s="101">
        <v>136</v>
      </c>
      <c r="D66" s="134">
        <v>100</v>
      </c>
      <c r="E66" s="134"/>
      <c r="F66" s="134"/>
      <c r="G66" s="104">
        <v>1</v>
      </c>
      <c r="H66" s="131">
        <f t="shared" si="0"/>
        <v>1</v>
      </c>
      <c r="I66" s="131">
        <f t="shared" si="1"/>
        <v>99</v>
      </c>
      <c r="J66" s="157" t="s">
        <v>65</v>
      </c>
    </row>
    <row r="67" spans="1:10" s="136" customFormat="1" ht="60.75" x14ac:dyDescent="0.25">
      <c r="A67" s="106">
        <v>58</v>
      </c>
      <c r="B67" s="128" t="s">
        <v>214</v>
      </c>
      <c r="C67" s="103">
        <v>141</v>
      </c>
      <c r="D67" s="151">
        <v>46</v>
      </c>
      <c r="E67" s="151">
        <v>1</v>
      </c>
      <c r="F67" s="151"/>
      <c r="G67" s="104">
        <v>5</v>
      </c>
      <c r="H67" s="131">
        <f t="shared" si="0"/>
        <v>6</v>
      </c>
      <c r="I67" s="131">
        <f t="shared" si="1"/>
        <v>40</v>
      </c>
      <c r="J67" s="158" t="s">
        <v>66</v>
      </c>
    </row>
    <row r="68" spans="1:10" s="136" customFormat="1" ht="30.75" customHeight="1" x14ac:dyDescent="0.25">
      <c r="A68" s="103">
        <v>59</v>
      </c>
      <c r="B68" s="128" t="s">
        <v>215</v>
      </c>
      <c r="C68" s="103">
        <v>37</v>
      </c>
      <c r="D68" s="151">
        <v>5</v>
      </c>
      <c r="E68" s="151"/>
      <c r="F68" s="151"/>
      <c r="G68" s="104">
        <v>2</v>
      </c>
      <c r="H68" s="131">
        <f t="shared" si="0"/>
        <v>2</v>
      </c>
      <c r="I68" s="131">
        <f t="shared" si="1"/>
        <v>3</v>
      </c>
      <c r="J68" s="158" t="s">
        <v>67</v>
      </c>
    </row>
    <row r="69" spans="1:10" s="136" customFormat="1" ht="30.75" customHeight="1" x14ac:dyDescent="0.25">
      <c r="A69" s="106">
        <v>60</v>
      </c>
      <c r="B69" s="128" t="s">
        <v>216</v>
      </c>
      <c r="C69" s="100">
        <v>11</v>
      </c>
      <c r="D69" s="134">
        <v>43</v>
      </c>
      <c r="E69" s="134"/>
      <c r="F69" s="134"/>
      <c r="G69" s="104">
        <v>1</v>
      </c>
      <c r="H69" s="131">
        <f t="shared" si="0"/>
        <v>1</v>
      </c>
      <c r="I69" s="131">
        <f t="shared" si="1"/>
        <v>42</v>
      </c>
      <c r="J69" s="159" t="s">
        <v>68</v>
      </c>
    </row>
    <row r="70" spans="1:10" s="139" customFormat="1" ht="30.75" customHeight="1" x14ac:dyDescent="0.25">
      <c r="A70" s="103">
        <v>61</v>
      </c>
      <c r="B70" s="128" t="s">
        <v>217</v>
      </c>
      <c r="C70" s="100">
        <v>0</v>
      </c>
      <c r="D70" s="134">
        <v>1</v>
      </c>
      <c r="E70" s="134"/>
      <c r="F70" s="134"/>
      <c r="G70" s="104"/>
      <c r="H70" s="131">
        <f t="shared" si="0"/>
        <v>0</v>
      </c>
      <c r="I70" s="131">
        <f t="shared" si="1"/>
        <v>1</v>
      </c>
      <c r="J70" s="159"/>
    </row>
    <row r="71" spans="1:10" ht="30.75" customHeight="1" x14ac:dyDescent="0.25">
      <c r="A71" s="284" t="s">
        <v>69</v>
      </c>
      <c r="B71" s="285"/>
      <c r="C71" s="156"/>
      <c r="D71" s="156"/>
      <c r="E71" s="156"/>
      <c r="F71" s="156"/>
      <c r="G71" s="142"/>
      <c r="H71" s="126"/>
      <c r="I71" s="126"/>
      <c r="J71" s="143"/>
    </row>
    <row r="72" spans="1:10" s="136" customFormat="1" ht="42.75" customHeight="1" x14ac:dyDescent="0.25">
      <c r="A72" s="106">
        <v>62</v>
      </c>
      <c r="B72" s="128" t="s">
        <v>218</v>
      </c>
      <c r="C72" s="101">
        <v>13</v>
      </c>
      <c r="D72" s="134">
        <v>10</v>
      </c>
      <c r="E72" s="134">
        <v>1</v>
      </c>
      <c r="F72" s="134">
        <v>2</v>
      </c>
      <c r="G72" s="104"/>
      <c r="H72" s="131">
        <f t="shared" si="0"/>
        <v>3</v>
      </c>
      <c r="I72" s="131">
        <f t="shared" si="1"/>
        <v>7</v>
      </c>
      <c r="J72" s="108" t="s">
        <v>142</v>
      </c>
    </row>
    <row r="73" spans="1:10" s="136" customFormat="1" ht="107.25" customHeight="1" x14ac:dyDescent="0.25">
      <c r="A73" s="103">
        <v>63</v>
      </c>
      <c r="B73" s="128" t="s">
        <v>219</v>
      </c>
      <c r="C73" s="101">
        <v>99</v>
      </c>
      <c r="D73" s="134">
        <v>100</v>
      </c>
      <c r="E73" s="134">
        <v>4</v>
      </c>
      <c r="F73" s="134"/>
      <c r="G73" s="104">
        <v>2</v>
      </c>
      <c r="H73" s="131">
        <f t="shared" si="0"/>
        <v>6</v>
      </c>
      <c r="I73" s="131">
        <f t="shared" si="1"/>
        <v>94</v>
      </c>
      <c r="J73" s="102" t="s">
        <v>121</v>
      </c>
    </row>
    <row r="74" spans="1:10" s="139" customFormat="1" ht="21" x14ac:dyDescent="0.25">
      <c r="A74" s="106">
        <v>64</v>
      </c>
      <c r="B74" s="128" t="s">
        <v>220</v>
      </c>
      <c r="C74" s="101">
        <v>5</v>
      </c>
      <c r="D74" s="134">
        <v>8</v>
      </c>
      <c r="E74" s="134"/>
      <c r="F74" s="134"/>
      <c r="G74" s="104"/>
      <c r="H74" s="131">
        <f>E74+F74+G74</f>
        <v>0</v>
      </c>
      <c r="I74" s="131">
        <f t="shared" ref="I74:I137" si="2">D74-H74</f>
        <v>8</v>
      </c>
      <c r="J74" s="160"/>
    </row>
    <row r="75" spans="1:10" x14ac:dyDescent="0.25">
      <c r="A75" s="284" t="s">
        <v>70</v>
      </c>
      <c r="B75" s="285"/>
      <c r="C75" s="161"/>
      <c r="D75" s="161"/>
      <c r="E75" s="161"/>
      <c r="F75" s="161"/>
      <c r="G75" s="126"/>
      <c r="H75" s="126"/>
      <c r="I75" s="126"/>
      <c r="J75" s="127"/>
    </row>
    <row r="76" spans="1:10" s="136" customFormat="1" ht="60" customHeight="1" x14ac:dyDescent="0.25">
      <c r="A76" s="106">
        <v>65</v>
      </c>
      <c r="B76" s="128" t="s">
        <v>221</v>
      </c>
      <c r="C76" s="101">
        <v>204</v>
      </c>
      <c r="D76" s="134">
        <v>207</v>
      </c>
      <c r="E76" s="134">
        <v>1</v>
      </c>
      <c r="F76" s="134"/>
      <c r="G76" s="104">
        <v>3</v>
      </c>
      <c r="H76" s="131">
        <f t="shared" si="0"/>
        <v>4</v>
      </c>
      <c r="I76" s="131">
        <f t="shared" si="2"/>
        <v>203</v>
      </c>
      <c r="J76" s="102" t="s">
        <v>124</v>
      </c>
    </row>
    <row r="77" spans="1:10" s="136" customFormat="1" ht="57" customHeight="1" x14ac:dyDescent="0.25">
      <c r="A77" s="106">
        <v>66</v>
      </c>
      <c r="B77" s="128" t="s">
        <v>222</v>
      </c>
      <c r="C77" s="101">
        <v>88</v>
      </c>
      <c r="D77" s="134">
        <v>80</v>
      </c>
      <c r="E77" s="134"/>
      <c r="F77" s="134"/>
      <c r="G77" s="104"/>
      <c r="H77" s="131">
        <f t="shared" si="0"/>
        <v>0</v>
      </c>
      <c r="I77" s="131">
        <f t="shared" si="2"/>
        <v>80</v>
      </c>
      <c r="J77" s="157"/>
    </row>
    <row r="78" spans="1:10" s="144" customFormat="1" ht="21" x14ac:dyDescent="0.25">
      <c r="A78" s="284" t="s">
        <v>71</v>
      </c>
      <c r="B78" s="285"/>
      <c r="C78" s="156"/>
      <c r="D78" s="156"/>
      <c r="E78" s="156"/>
      <c r="F78" s="156"/>
      <c r="G78" s="142"/>
      <c r="H78" s="126"/>
      <c r="I78" s="126"/>
      <c r="J78" s="143"/>
    </row>
    <row r="79" spans="1:10" s="136" customFormat="1" ht="35.25" customHeight="1" x14ac:dyDescent="0.25">
      <c r="A79" s="106">
        <v>67</v>
      </c>
      <c r="B79" s="128" t="s">
        <v>223</v>
      </c>
      <c r="C79" s="148">
        <v>119</v>
      </c>
      <c r="D79" s="148">
        <v>99</v>
      </c>
      <c r="E79" s="148"/>
      <c r="F79" s="148"/>
      <c r="G79" s="104">
        <v>1</v>
      </c>
      <c r="H79" s="131">
        <f t="shared" si="0"/>
        <v>1</v>
      </c>
      <c r="I79" s="131">
        <f t="shared" si="2"/>
        <v>98</v>
      </c>
      <c r="J79" s="145" t="s">
        <v>72</v>
      </c>
    </row>
    <row r="80" spans="1:10" s="136" customFormat="1" ht="48.75" customHeight="1" x14ac:dyDescent="0.25">
      <c r="A80" s="103">
        <v>68</v>
      </c>
      <c r="B80" s="128" t="s">
        <v>224</v>
      </c>
      <c r="C80" s="100">
        <v>33</v>
      </c>
      <c r="D80" s="134">
        <v>133</v>
      </c>
      <c r="E80" s="134"/>
      <c r="F80" s="134"/>
      <c r="G80" s="104">
        <v>3</v>
      </c>
      <c r="H80" s="131">
        <f t="shared" si="0"/>
        <v>3</v>
      </c>
      <c r="I80" s="131">
        <f t="shared" si="2"/>
        <v>130</v>
      </c>
      <c r="J80" s="102" t="s">
        <v>73</v>
      </c>
    </row>
    <row r="81" spans="1:10" s="136" customFormat="1" ht="34.5" customHeight="1" x14ac:dyDescent="0.25">
      <c r="A81" s="106">
        <v>69</v>
      </c>
      <c r="B81" s="128" t="s">
        <v>225</v>
      </c>
      <c r="C81" s="162">
        <v>415</v>
      </c>
      <c r="D81" s="134">
        <v>318</v>
      </c>
      <c r="E81" s="134"/>
      <c r="F81" s="134"/>
      <c r="G81" s="104">
        <v>3</v>
      </c>
      <c r="H81" s="131">
        <f t="shared" ref="H81:H139" si="3">E81+F81+G81</f>
        <v>3</v>
      </c>
      <c r="I81" s="131">
        <f t="shared" si="2"/>
        <v>315</v>
      </c>
      <c r="J81" s="145" t="s">
        <v>74</v>
      </c>
    </row>
    <row r="82" spans="1:10" s="136" customFormat="1" ht="26.25" customHeight="1" x14ac:dyDescent="0.25">
      <c r="A82" s="103">
        <v>70</v>
      </c>
      <c r="B82" s="128" t="s">
        <v>226</v>
      </c>
      <c r="C82" s="162">
        <v>2</v>
      </c>
      <c r="D82" s="134">
        <v>21</v>
      </c>
      <c r="E82" s="134"/>
      <c r="F82" s="134"/>
      <c r="G82" s="104"/>
      <c r="H82" s="131">
        <f t="shared" si="3"/>
        <v>0</v>
      </c>
      <c r="I82" s="131">
        <f t="shared" si="2"/>
        <v>21</v>
      </c>
      <c r="J82" s="163"/>
    </row>
    <row r="83" spans="1:10" s="136" customFormat="1" ht="26.25" customHeight="1" x14ac:dyDescent="0.25">
      <c r="A83" s="106">
        <v>71</v>
      </c>
      <c r="B83" s="128" t="s">
        <v>227</v>
      </c>
      <c r="C83" s="162">
        <v>6</v>
      </c>
      <c r="D83" s="134">
        <v>19</v>
      </c>
      <c r="E83" s="134"/>
      <c r="F83" s="134"/>
      <c r="G83" s="104"/>
      <c r="H83" s="131">
        <f t="shared" si="3"/>
        <v>0</v>
      </c>
      <c r="I83" s="131">
        <f t="shared" si="2"/>
        <v>19</v>
      </c>
      <c r="J83" s="164"/>
    </row>
    <row r="84" spans="1:10" s="136" customFormat="1" ht="61.5" customHeight="1" x14ac:dyDescent="0.25">
      <c r="A84" s="103">
        <v>72</v>
      </c>
      <c r="B84" s="128" t="s">
        <v>228</v>
      </c>
      <c r="C84" s="162">
        <v>88</v>
      </c>
      <c r="D84" s="134">
        <v>179</v>
      </c>
      <c r="E84" s="134"/>
      <c r="F84" s="134"/>
      <c r="G84" s="104"/>
      <c r="H84" s="131">
        <f t="shared" si="3"/>
        <v>0</v>
      </c>
      <c r="I84" s="131">
        <f t="shared" si="2"/>
        <v>179</v>
      </c>
      <c r="J84" s="145"/>
    </row>
    <row r="85" spans="1:10" s="136" customFormat="1" ht="36" customHeight="1" x14ac:dyDescent="0.25">
      <c r="A85" s="106">
        <v>73</v>
      </c>
      <c r="B85" s="128" t="s">
        <v>229</v>
      </c>
      <c r="C85" s="162">
        <v>0</v>
      </c>
      <c r="D85" s="134">
        <v>0</v>
      </c>
      <c r="E85" s="134"/>
      <c r="F85" s="134"/>
      <c r="G85" s="104"/>
      <c r="H85" s="131">
        <f t="shared" si="3"/>
        <v>0</v>
      </c>
      <c r="I85" s="131">
        <f t="shared" si="2"/>
        <v>0</v>
      </c>
      <c r="J85" s="137"/>
    </row>
    <row r="86" spans="1:10" s="136" customFormat="1" ht="26.25" customHeight="1" x14ac:dyDescent="0.25">
      <c r="A86" s="103">
        <v>74</v>
      </c>
      <c r="B86" s="128" t="s">
        <v>230</v>
      </c>
      <c r="C86" s="162">
        <v>0</v>
      </c>
      <c r="D86" s="134">
        <v>0</v>
      </c>
      <c r="E86" s="134"/>
      <c r="F86" s="134"/>
      <c r="G86" s="104"/>
      <c r="H86" s="131">
        <f t="shared" si="3"/>
        <v>0</v>
      </c>
      <c r="I86" s="131">
        <f t="shared" si="2"/>
        <v>0</v>
      </c>
      <c r="J86" s="137"/>
    </row>
    <row r="87" spans="1:10" s="139" customFormat="1" ht="26.25" customHeight="1" x14ac:dyDescent="0.25">
      <c r="A87" s="106">
        <v>75</v>
      </c>
      <c r="B87" s="128" t="s">
        <v>231</v>
      </c>
      <c r="C87" s="162">
        <v>3</v>
      </c>
      <c r="D87" s="134">
        <v>8</v>
      </c>
      <c r="E87" s="134"/>
      <c r="F87" s="134"/>
      <c r="G87" s="104"/>
      <c r="H87" s="131">
        <f t="shared" si="3"/>
        <v>0</v>
      </c>
      <c r="I87" s="131">
        <f t="shared" si="2"/>
        <v>8</v>
      </c>
      <c r="J87" s="137"/>
    </row>
    <row r="88" spans="1:10" s="139" customFormat="1" ht="26.25" customHeight="1" x14ac:dyDescent="0.25">
      <c r="A88" s="103">
        <v>76</v>
      </c>
      <c r="B88" s="128" t="s">
        <v>232</v>
      </c>
      <c r="C88" s="162">
        <v>9</v>
      </c>
      <c r="D88" s="134">
        <v>26</v>
      </c>
      <c r="E88" s="134"/>
      <c r="F88" s="134"/>
      <c r="G88" s="104"/>
      <c r="H88" s="131">
        <f t="shared" si="3"/>
        <v>0</v>
      </c>
      <c r="I88" s="131">
        <f t="shared" si="2"/>
        <v>26</v>
      </c>
      <c r="J88" s="137"/>
    </row>
    <row r="89" spans="1:10" s="136" customFormat="1" ht="26.25" customHeight="1" x14ac:dyDescent="0.25">
      <c r="A89" s="106">
        <v>77</v>
      </c>
      <c r="B89" s="128" t="s">
        <v>233</v>
      </c>
      <c r="C89" s="162">
        <v>3</v>
      </c>
      <c r="D89" s="134">
        <v>53</v>
      </c>
      <c r="E89" s="134"/>
      <c r="F89" s="134"/>
      <c r="G89" s="104"/>
      <c r="H89" s="131">
        <f t="shared" si="3"/>
        <v>0</v>
      </c>
      <c r="I89" s="131">
        <f t="shared" si="2"/>
        <v>53</v>
      </c>
      <c r="J89" s="141"/>
    </row>
    <row r="90" spans="1:10" s="136" customFormat="1" ht="35.25" customHeight="1" x14ac:dyDescent="0.25">
      <c r="A90" s="103">
        <v>78</v>
      </c>
      <c r="B90" s="128" t="s">
        <v>234</v>
      </c>
      <c r="C90" s="100">
        <v>4</v>
      </c>
      <c r="D90" s="134">
        <v>150</v>
      </c>
      <c r="E90" s="134"/>
      <c r="F90" s="134"/>
      <c r="G90" s="104"/>
      <c r="H90" s="131">
        <f t="shared" si="3"/>
        <v>0</v>
      </c>
      <c r="I90" s="131">
        <f t="shared" si="2"/>
        <v>150</v>
      </c>
      <c r="J90" s="164"/>
    </row>
    <row r="91" spans="1:10" s="136" customFormat="1" ht="25.5" customHeight="1" x14ac:dyDescent="0.25">
      <c r="A91" s="106">
        <v>79</v>
      </c>
      <c r="B91" s="128" t="s">
        <v>235</v>
      </c>
      <c r="C91" s="162">
        <v>1</v>
      </c>
      <c r="D91" s="134">
        <v>3</v>
      </c>
      <c r="E91" s="134"/>
      <c r="F91" s="134"/>
      <c r="G91" s="104"/>
      <c r="H91" s="131">
        <f t="shared" si="3"/>
        <v>0</v>
      </c>
      <c r="I91" s="131">
        <f t="shared" si="2"/>
        <v>3</v>
      </c>
      <c r="J91" s="165"/>
    </row>
    <row r="92" spans="1:10" s="136" customFormat="1" ht="25.5" customHeight="1" x14ac:dyDescent="0.25">
      <c r="A92" s="103">
        <v>80</v>
      </c>
      <c r="B92" s="128" t="s">
        <v>236</v>
      </c>
      <c r="C92" s="162">
        <v>1</v>
      </c>
      <c r="D92" s="134">
        <v>2</v>
      </c>
      <c r="E92" s="134"/>
      <c r="F92" s="134"/>
      <c r="G92" s="104"/>
      <c r="H92" s="131">
        <f t="shared" si="3"/>
        <v>0</v>
      </c>
      <c r="I92" s="131">
        <f t="shared" si="2"/>
        <v>2</v>
      </c>
      <c r="J92" s="107"/>
    </row>
    <row r="93" spans="1:10" s="136" customFormat="1" ht="25.5" customHeight="1" x14ac:dyDescent="0.25">
      <c r="A93" s="106">
        <v>81</v>
      </c>
      <c r="B93" s="128" t="s">
        <v>237</v>
      </c>
      <c r="C93" s="162">
        <v>0</v>
      </c>
      <c r="D93" s="134">
        <v>2</v>
      </c>
      <c r="E93" s="134"/>
      <c r="F93" s="134"/>
      <c r="G93" s="104"/>
      <c r="H93" s="131">
        <f t="shared" si="3"/>
        <v>0</v>
      </c>
      <c r="I93" s="131">
        <f t="shared" si="2"/>
        <v>2</v>
      </c>
      <c r="J93" s="166"/>
    </row>
    <row r="94" spans="1:10" s="136" customFormat="1" ht="31.5" customHeight="1" x14ac:dyDescent="0.25">
      <c r="A94" s="103">
        <v>82</v>
      </c>
      <c r="B94" s="128" t="s">
        <v>238</v>
      </c>
      <c r="C94" s="162">
        <v>105</v>
      </c>
      <c r="D94" s="134">
        <v>99</v>
      </c>
      <c r="E94" s="134"/>
      <c r="F94" s="134"/>
      <c r="G94" s="104"/>
      <c r="H94" s="131">
        <f t="shared" si="3"/>
        <v>0</v>
      </c>
      <c r="I94" s="131">
        <f t="shared" si="2"/>
        <v>99</v>
      </c>
      <c r="J94" s="167"/>
    </row>
    <row r="95" spans="1:10" s="136" customFormat="1" ht="27" customHeight="1" x14ac:dyDescent="0.25">
      <c r="A95" s="106">
        <v>83</v>
      </c>
      <c r="B95" s="128" t="s">
        <v>239</v>
      </c>
      <c r="C95" s="162">
        <v>0</v>
      </c>
      <c r="D95" s="134">
        <v>0</v>
      </c>
      <c r="E95" s="134"/>
      <c r="F95" s="134"/>
      <c r="G95" s="104"/>
      <c r="H95" s="131">
        <f t="shared" si="3"/>
        <v>0</v>
      </c>
      <c r="I95" s="131">
        <f t="shared" si="2"/>
        <v>0</v>
      </c>
      <c r="J95" s="107"/>
    </row>
    <row r="96" spans="1:10" s="136" customFormat="1" ht="27" customHeight="1" x14ac:dyDescent="0.25">
      <c r="A96" s="103">
        <v>84</v>
      </c>
      <c r="B96" s="128" t="s">
        <v>240</v>
      </c>
      <c r="C96" s="162">
        <v>2</v>
      </c>
      <c r="D96" s="134">
        <v>11</v>
      </c>
      <c r="E96" s="134"/>
      <c r="F96" s="134"/>
      <c r="G96" s="104"/>
      <c r="H96" s="131">
        <f t="shared" si="3"/>
        <v>0</v>
      </c>
      <c r="I96" s="131">
        <f t="shared" si="2"/>
        <v>11</v>
      </c>
      <c r="J96" s="107"/>
    </row>
    <row r="97" spans="1:38" s="136" customFormat="1" ht="27" customHeight="1" x14ac:dyDescent="0.25">
      <c r="A97" s="283" t="s">
        <v>75</v>
      </c>
      <c r="B97" s="283"/>
      <c r="C97" s="168"/>
      <c r="D97" s="168"/>
      <c r="E97" s="168"/>
      <c r="F97" s="168"/>
      <c r="G97" s="168"/>
      <c r="H97" s="169"/>
      <c r="I97" s="169"/>
      <c r="J97" s="170"/>
    </row>
    <row r="98" spans="1:38" s="172" customFormat="1" ht="27" customHeight="1" x14ac:dyDescent="0.25">
      <c r="A98" s="106">
        <v>85</v>
      </c>
      <c r="B98" s="128" t="s">
        <v>241</v>
      </c>
      <c r="C98" s="100">
        <v>17</v>
      </c>
      <c r="D98" s="134">
        <v>14</v>
      </c>
      <c r="E98" s="134">
        <v>1</v>
      </c>
      <c r="F98" s="134"/>
      <c r="G98" s="104"/>
      <c r="H98" s="131">
        <f t="shared" si="3"/>
        <v>1</v>
      </c>
      <c r="I98" s="131">
        <f t="shared" si="2"/>
        <v>13</v>
      </c>
      <c r="J98" s="137" t="s">
        <v>76</v>
      </c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</row>
    <row r="99" spans="1:38" s="136" customFormat="1" ht="55.5" customHeight="1" x14ac:dyDescent="0.25">
      <c r="A99" s="106">
        <v>86</v>
      </c>
      <c r="B99" s="128" t="s">
        <v>242</v>
      </c>
      <c r="C99" s="101">
        <v>14</v>
      </c>
      <c r="D99" s="134">
        <v>6</v>
      </c>
      <c r="E99" s="134"/>
      <c r="F99" s="134"/>
      <c r="G99" s="104"/>
      <c r="H99" s="131">
        <f t="shared" si="3"/>
        <v>0</v>
      </c>
      <c r="I99" s="131">
        <f t="shared" si="2"/>
        <v>6</v>
      </c>
      <c r="J99" s="128"/>
    </row>
    <row r="100" spans="1:38" x14ac:dyDescent="0.25">
      <c r="A100" s="284" t="s">
        <v>77</v>
      </c>
      <c r="B100" s="285"/>
      <c r="C100" s="156"/>
      <c r="D100" s="156"/>
      <c r="E100" s="156"/>
      <c r="F100" s="156"/>
      <c r="G100" s="142"/>
      <c r="H100" s="126"/>
      <c r="I100" s="106"/>
      <c r="J100" s="143"/>
    </row>
    <row r="101" spans="1:38" s="136" customFormat="1" ht="28.5" customHeight="1" x14ac:dyDescent="0.25">
      <c r="A101" s="106">
        <v>87</v>
      </c>
      <c r="B101" s="128" t="s">
        <v>243</v>
      </c>
      <c r="C101" s="173">
        <v>1</v>
      </c>
      <c r="D101" s="174">
        <v>16</v>
      </c>
      <c r="E101" s="174">
        <v>0</v>
      </c>
      <c r="F101" s="174"/>
      <c r="G101" s="104"/>
      <c r="H101" s="131">
        <f t="shared" si="3"/>
        <v>0</v>
      </c>
      <c r="I101" s="131">
        <f t="shared" si="2"/>
        <v>16</v>
      </c>
      <c r="J101" s="107"/>
    </row>
    <row r="102" spans="1:38" s="136" customFormat="1" ht="28.5" customHeight="1" x14ac:dyDescent="0.25">
      <c r="A102" s="106">
        <v>88</v>
      </c>
      <c r="B102" s="128" t="s">
        <v>244</v>
      </c>
      <c r="C102" s="173">
        <v>10</v>
      </c>
      <c r="D102" s="174">
        <v>9</v>
      </c>
      <c r="E102" s="174">
        <v>0</v>
      </c>
      <c r="F102" s="174"/>
      <c r="G102" s="104"/>
      <c r="H102" s="131">
        <f t="shared" si="3"/>
        <v>0</v>
      </c>
      <c r="I102" s="131">
        <f t="shared" si="2"/>
        <v>9</v>
      </c>
      <c r="J102" s="107"/>
    </row>
    <row r="103" spans="1:38" s="136" customFormat="1" x14ac:dyDescent="0.25">
      <c r="A103" s="106">
        <v>89</v>
      </c>
      <c r="B103" s="128" t="s">
        <v>245</v>
      </c>
      <c r="C103" s="173">
        <v>6</v>
      </c>
      <c r="D103" s="174">
        <v>14</v>
      </c>
      <c r="E103" s="174">
        <v>1</v>
      </c>
      <c r="F103" s="174"/>
      <c r="G103" s="104"/>
      <c r="H103" s="131">
        <f t="shared" si="3"/>
        <v>1</v>
      </c>
      <c r="I103" s="131">
        <f t="shared" si="2"/>
        <v>13</v>
      </c>
      <c r="J103" s="175" t="s">
        <v>122</v>
      </c>
    </row>
    <row r="104" spans="1:38" s="136" customFormat="1" ht="39.75" customHeight="1" x14ac:dyDescent="0.25">
      <c r="A104" s="106">
        <v>90</v>
      </c>
      <c r="B104" s="128" t="s">
        <v>246</v>
      </c>
      <c r="C104" s="173">
        <v>2</v>
      </c>
      <c r="D104" s="134">
        <v>3</v>
      </c>
      <c r="E104" s="134">
        <v>1</v>
      </c>
      <c r="F104" s="134"/>
      <c r="G104" s="104"/>
      <c r="H104" s="131">
        <f t="shared" si="3"/>
        <v>1</v>
      </c>
      <c r="I104" s="131">
        <f t="shared" si="2"/>
        <v>2</v>
      </c>
      <c r="J104" s="107" t="s">
        <v>78</v>
      </c>
    </row>
    <row r="105" spans="1:38" s="136" customFormat="1" ht="28.5" customHeight="1" x14ac:dyDescent="0.25">
      <c r="A105" s="106">
        <v>91</v>
      </c>
      <c r="B105" s="128" t="s">
        <v>247</v>
      </c>
      <c r="C105" s="173">
        <v>1</v>
      </c>
      <c r="D105" s="134">
        <v>2</v>
      </c>
      <c r="E105" s="134"/>
      <c r="F105" s="134"/>
      <c r="G105" s="104"/>
      <c r="H105" s="131">
        <f t="shared" si="3"/>
        <v>0</v>
      </c>
      <c r="I105" s="131">
        <f t="shared" si="2"/>
        <v>2</v>
      </c>
      <c r="J105" s="107"/>
    </row>
    <row r="106" spans="1:38" s="136" customFormat="1" ht="28.5" customHeight="1" x14ac:dyDescent="0.25">
      <c r="A106" s="106">
        <v>92</v>
      </c>
      <c r="B106" s="128" t="s">
        <v>248</v>
      </c>
      <c r="C106" s="173">
        <v>39</v>
      </c>
      <c r="D106" s="134">
        <v>42</v>
      </c>
      <c r="E106" s="134"/>
      <c r="F106" s="134"/>
      <c r="G106" s="104">
        <v>2</v>
      </c>
      <c r="H106" s="131">
        <f t="shared" si="3"/>
        <v>2</v>
      </c>
      <c r="I106" s="131">
        <f t="shared" si="2"/>
        <v>40</v>
      </c>
      <c r="J106" s="107" t="s">
        <v>79</v>
      </c>
    </row>
    <row r="107" spans="1:38" s="136" customFormat="1" ht="39.75" customHeight="1" x14ac:dyDescent="0.25">
      <c r="A107" s="106">
        <v>93</v>
      </c>
      <c r="B107" s="128" t="s">
        <v>249</v>
      </c>
      <c r="C107" s="173">
        <v>0</v>
      </c>
      <c r="D107" s="134">
        <v>3</v>
      </c>
      <c r="E107" s="134"/>
      <c r="F107" s="134"/>
      <c r="G107" s="104"/>
      <c r="H107" s="131">
        <f t="shared" si="3"/>
        <v>0</v>
      </c>
      <c r="I107" s="131">
        <f t="shared" si="2"/>
        <v>3</v>
      </c>
      <c r="J107" s="107"/>
    </row>
    <row r="108" spans="1:38" s="136" customFormat="1" ht="28.5" customHeight="1" x14ac:dyDescent="0.25">
      <c r="A108" s="106">
        <v>94</v>
      </c>
      <c r="B108" s="128" t="s">
        <v>250</v>
      </c>
      <c r="C108" s="106"/>
      <c r="D108" s="176">
        <v>5</v>
      </c>
      <c r="E108" s="104"/>
      <c r="F108" s="104"/>
      <c r="G108" s="104"/>
      <c r="H108" s="131">
        <f t="shared" si="3"/>
        <v>0</v>
      </c>
      <c r="I108" s="131">
        <f t="shared" si="2"/>
        <v>5</v>
      </c>
      <c r="J108" s="128"/>
    </row>
    <row r="109" spans="1:38" s="136" customFormat="1" ht="28.5" customHeight="1" x14ac:dyDescent="0.25">
      <c r="A109" s="106">
        <v>95</v>
      </c>
      <c r="B109" s="128" t="s">
        <v>251</v>
      </c>
      <c r="C109" s="104"/>
      <c r="D109" s="104">
        <v>1</v>
      </c>
      <c r="E109" s="104"/>
      <c r="F109" s="104"/>
      <c r="G109" s="104"/>
      <c r="H109" s="131">
        <f t="shared" si="3"/>
        <v>0</v>
      </c>
      <c r="I109" s="131">
        <f t="shared" si="2"/>
        <v>1</v>
      </c>
      <c r="J109" s="107"/>
    </row>
    <row r="110" spans="1:38" s="136" customFormat="1" ht="28.5" customHeight="1" x14ac:dyDescent="0.25">
      <c r="A110" s="106">
        <v>96</v>
      </c>
      <c r="B110" s="128" t="s">
        <v>252</v>
      </c>
      <c r="C110" s="104"/>
      <c r="D110" s="104"/>
      <c r="E110" s="104"/>
      <c r="F110" s="104"/>
      <c r="G110" s="104"/>
      <c r="H110" s="131">
        <f t="shared" si="3"/>
        <v>0</v>
      </c>
      <c r="I110" s="131">
        <f t="shared" si="2"/>
        <v>0</v>
      </c>
      <c r="J110" s="107"/>
    </row>
    <row r="111" spans="1:38" s="136" customFormat="1" ht="28.5" customHeight="1" x14ac:dyDescent="0.25">
      <c r="A111" s="106">
        <v>97</v>
      </c>
      <c r="B111" s="128" t="s">
        <v>253</v>
      </c>
      <c r="C111" s="104"/>
      <c r="D111" s="104"/>
      <c r="E111" s="104"/>
      <c r="F111" s="104"/>
      <c r="G111" s="104"/>
      <c r="H111" s="131">
        <f t="shared" si="3"/>
        <v>0</v>
      </c>
      <c r="I111" s="131">
        <f t="shared" si="2"/>
        <v>0</v>
      </c>
      <c r="J111" s="107"/>
    </row>
    <row r="112" spans="1:38" s="136" customFormat="1" ht="28.5" customHeight="1" x14ac:dyDescent="0.25">
      <c r="A112" s="106">
        <v>98</v>
      </c>
      <c r="B112" s="128" t="s">
        <v>254</v>
      </c>
      <c r="C112" s="104"/>
      <c r="D112" s="104"/>
      <c r="E112" s="104"/>
      <c r="F112" s="104"/>
      <c r="G112" s="104"/>
      <c r="H112" s="131">
        <f t="shared" si="3"/>
        <v>0</v>
      </c>
      <c r="I112" s="131">
        <f t="shared" si="2"/>
        <v>0</v>
      </c>
      <c r="J112" s="165"/>
    </row>
    <row r="113" spans="1:13" s="147" customFormat="1" x14ac:dyDescent="0.25">
      <c r="A113" s="106">
        <v>99</v>
      </c>
      <c r="B113" s="128" t="s">
        <v>255</v>
      </c>
      <c r="C113" s="104"/>
      <c r="D113" s="104"/>
      <c r="E113" s="104"/>
      <c r="F113" s="104"/>
      <c r="G113" s="104"/>
      <c r="H113" s="131">
        <f t="shared" si="3"/>
        <v>0</v>
      </c>
      <c r="I113" s="131">
        <f t="shared" si="2"/>
        <v>0</v>
      </c>
      <c r="J113" s="141"/>
    </row>
    <row r="114" spans="1:13" s="147" customFormat="1" ht="28.5" customHeight="1" x14ac:dyDescent="0.25">
      <c r="A114" s="106">
        <v>100</v>
      </c>
      <c r="B114" s="128" t="s">
        <v>256</v>
      </c>
      <c r="C114" s="104"/>
      <c r="D114" s="104"/>
      <c r="E114" s="104"/>
      <c r="F114" s="104"/>
      <c r="G114" s="104"/>
      <c r="H114" s="131">
        <f t="shared" si="3"/>
        <v>0</v>
      </c>
      <c r="I114" s="131">
        <f t="shared" si="2"/>
        <v>0</v>
      </c>
      <c r="J114" s="137"/>
    </row>
    <row r="115" spans="1:13" s="147" customFormat="1" ht="39" customHeight="1" x14ac:dyDescent="0.25">
      <c r="A115" s="106">
        <v>101</v>
      </c>
      <c r="B115" s="128" t="s">
        <v>257</v>
      </c>
      <c r="C115" s="104"/>
      <c r="D115" s="104"/>
      <c r="E115" s="104"/>
      <c r="F115" s="104"/>
      <c r="G115" s="104"/>
      <c r="H115" s="131">
        <f t="shared" si="3"/>
        <v>0</v>
      </c>
      <c r="I115" s="131">
        <f t="shared" si="2"/>
        <v>0</v>
      </c>
      <c r="J115" s="163"/>
    </row>
    <row r="116" spans="1:13" s="136" customFormat="1" ht="25.5" customHeight="1" x14ac:dyDescent="0.25">
      <c r="A116" s="106">
        <v>102</v>
      </c>
      <c r="B116" s="128" t="s">
        <v>258</v>
      </c>
      <c r="C116" s="104"/>
      <c r="D116" s="104"/>
      <c r="E116" s="104"/>
      <c r="F116" s="104"/>
      <c r="G116" s="104"/>
      <c r="H116" s="131">
        <f t="shared" si="3"/>
        <v>0</v>
      </c>
      <c r="I116" s="131">
        <f t="shared" si="2"/>
        <v>0</v>
      </c>
      <c r="J116" s="107"/>
    </row>
    <row r="117" spans="1:13" s="136" customFormat="1" ht="25.5" customHeight="1" x14ac:dyDescent="0.25">
      <c r="A117" s="106">
        <v>103</v>
      </c>
      <c r="B117" s="128" t="s">
        <v>259</v>
      </c>
      <c r="C117" s="104"/>
      <c r="D117" s="104"/>
      <c r="E117" s="104"/>
      <c r="F117" s="104"/>
      <c r="G117" s="104"/>
      <c r="H117" s="131">
        <f t="shared" si="3"/>
        <v>0</v>
      </c>
      <c r="I117" s="131">
        <f t="shared" si="2"/>
        <v>0</v>
      </c>
      <c r="J117" s="137"/>
    </row>
    <row r="118" spans="1:13" s="136" customFormat="1" ht="25.5" customHeight="1" x14ac:dyDescent="0.25">
      <c r="A118" s="106">
        <v>104</v>
      </c>
      <c r="B118" s="128" t="s">
        <v>260</v>
      </c>
      <c r="C118" s="104"/>
      <c r="D118" s="104"/>
      <c r="E118" s="104"/>
      <c r="F118" s="104"/>
      <c r="G118" s="104"/>
      <c r="H118" s="131">
        <f t="shared" si="3"/>
        <v>0</v>
      </c>
      <c r="I118" s="131">
        <f t="shared" si="2"/>
        <v>0</v>
      </c>
      <c r="J118" s="107"/>
    </row>
    <row r="119" spans="1:13" s="136" customFormat="1" ht="25.5" customHeight="1" x14ac:dyDescent="0.25">
      <c r="A119" s="106">
        <v>105</v>
      </c>
      <c r="B119" s="128" t="s">
        <v>261</v>
      </c>
      <c r="C119" s="104"/>
      <c r="D119" s="104"/>
      <c r="E119" s="104"/>
      <c r="F119" s="104"/>
      <c r="G119" s="104"/>
      <c r="H119" s="131">
        <f t="shared" si="3"/>
        <v>0</v>
      </c>
      <c r="I119" s="131">
        <f t="shared" si="2"/>
        <v>0</v>
      </c>
      <c r="J119" s="137"/>
    </row>
    <row r="120" spans="1:13" s="136" customFormat="1" ht="25.5" customHeight="1" x14ac:dyDescent="0.25">
      <c r="A120" s="106">
        <v>106</v>
      </c>
      <c r="B120" s="128" t="s">
        <v>262</v>
      </c>
      <c r="C120" s="100"/>
      <c r="D120" s="151">
        <v>9</v>
      </c>
      <c r="E120" s="104"/>
      <c r="F120" s="104"/>
      <c r="G120" s="104">
        <v>2</v>
      </c>
      <c r="H120" s="131">
        <f t="shared" si="3"/>
        <v>2</v>
      </c>
      <c r="I120" s="131">
        <f t="shared" si="2"/>
        <v>7</v>
      </c>
      <c r="J120" s="145" t="s">
        <v>80</v>
      </c>
    </row>
    <row r="121" spans="1:13" s="178" customFormat="1" ht="24.95" customHeight="1" x14ac:dyDescent="0.25">
      <c r="A121" s="106">
        <v>107</v>
      </c>
      <c r="B121" s="128" t="s">
        <v>263</v>
      </c>
      <c r="C121" s="104"/>
      <c r="D121" s="104"/>
      <c r="E121" s="104"/>
      <c r="F121" s="104"/>
      <c r="G121" s="104"/>
      <c r="H121" s="131">
        <f t="shared" si="3"/>
        <v>0</v>
      </c>
      <c r="I121" s="131">
        <f t="shared" si="2"/>
        <v>0</v>
      </c>
      <c r="J121" s="177"/>
      <c r="M121" s="179"/>
    </row>
    <row r="122" spans="1:13" s="178" customFormat="1" ht="24.95" customHeight="1" x14ac:dyDescent="0.25">
      <c r="A122" s="104">
        <v>108</v>
      </c>
      <c r="B122" s="128" t="s">
        <v>264</v>
      </c>
      <c r="C122" s="104"/>
      <c r="D122" s="104"/>
      <c r="E122" s="104"/>
      <c r="F122" s="104"/>
      <c r="G122" s="104"/>
      <c r="H122" s="131">
        <f t="shared" si="3"/>
        <v>0</v>
      </c>
      <c r="I122" s="131">
        <f t="shared" si="2"/>
        <v>0</v>
      </c>
      <c r="J122" s="177"/>
      <c r="M122" s="179"/>
    </row>
    <row r="123" spans="1:13" s="178" customFormat="1" ht="24.95" customHeight="1" x14ac:dyDescent="0.25">
      <c r="A123" s="104">
        <v>109</v>
      </c>
      <c r="B123" s="128" t="s">
        <v>265</v>
      </c>
      <c r="C123" s="104"/>
      <c r="D123" s="104"/>
      <c r="E123" s="104"/>
      <c r="F123" s="104"/>
      <c r="G123" s="104"/>
      <c r="H123" s="131">
        <f t="shared" si="3"/>
        <v>0</v>
      </c>
      <c r="I123" s="131">
        <f t="shared" si="2"/>
        <v>0</v>
      </c>
      <c r="J123" s="177"/>
      <c r="M123" s="179"/>
    </row>
    <row r="124" spans="1:13" s="178" customFormat="1" ht="24.95" customHeight="1" x14ac:dyDescent="0.25">
      <c r="A124" s="104">
        <v>110</v>
      </c>
      <c r="B124" s="128" t="s">
        <v>266</v>
      </c>
      <c r="C124" s="104"/>
      <c r="D124" s="104"/>
      <c r="E124" s="104"/>
      <c r="F124" s="104"/>
      <c r="G124" s="104"/>
      <c r="H124" s="131">
        <f t="shared" si="3"/>
        <v>0</v>
      </c>
      <c r="I124" s="131">
        <f t="shared" si="2"/>
        <v>0</v>
      </c>
      <c r="J124" s="177"/>
      <c r="M124" s="179"/>
    </row>
    <row r="125" spans="1:13" s="178" customFormat="1" ht="24.95" customHeight="1" x14ac:dyDescent="0.25">
      <c r="A125" s="104">
        <v>111</v>
      </c>
      <c r="B125" s="128" t="s">
        <v>267</v>
      </c>
      <c r="C125" s="104"/>
      <c r="D125" s="104"/>
      <c r="E125" s="104"/>
      <c r="F125" s="104"/>
      <c r="G125" s="104"/>
      <c r="H125" s="131">
        <f t="shared" si="3"/>
        <v>0</v>
      </c>
      <c r="I125" s="131">
        <f t="shared" si="2"/>
        <v>0</v>
      </c>
      <c r="J125" s="177"/>
      <c r="M125" s="179"/>
    </row>
    <row r="126" spans="1:13" s="178" customFormat="1" ht="24.95" customHeight="1" x14ac:dyDescent="0.25">
      <c r="A126" s="104">
        <v>112</v>
      </c>
      <c r="B126" s="128" t="s">
        <v>268</v>
      </c>
      <c r="C126" s="104"/>
      <c r="D126" s="104"/>
      <c r="E126" s="104"/>
      <c r="F126" s="104"/>
      <c r="G126" s="104"/>
      <c r="H126" s="131">
        <f t="shared" si="3"/>
        <v>0</v>
      </c>
      <c r="I126" s="131">
        <f t="shared" si="2"/>
        <v>0</v>
      </c>
      <c r="J126" s="177"/>
      <c r="M126" s="179"/>
    </row>
    <row r="127" spans="1:13" s="178" customFormat="1" ht="24.95" customHeight="1" x14ac:dyDescent="0.25">
      <c r="A127" s="104">
        <v>113</v>
      </c>
      <c r="B127" s="128" t="s">
        <v>269</v>
      </c>
      <c r="C127" s="104"/>
      <c r="D127" s="104"/>
      <c r="E127" s="104"/>
      <c r="F127" s="104"/>
      <c r="G127" s="104"/>
      <c r="H127" s="131">
        <f t="shared" si="3"/>
        <v>0</v>
      </c>
      <c r="I127" s="131">
        <f t="shared" si="2"/>
        <v>0</v>
      </c>
      <c r="J127" s="177"/>
      <c r="M127" s="179"/>
    </row>
    <row r="128" spans="1:13" s="178" customFormat="1" ht="24.95" customHeight="1" x14ac:dyDescent="0.25">
      <c r="A128" s="104">
        <v>114</v>
      </c>
      <c r="B128" s="128" t="s">
        <v>270</v>
      </c>
      <c r="C128" s="104"/>
      <c r="D128" s="104"/>
      <c r="E128" s="104"/>
      <c r="F128" s="104"/>
      <c r="G128" s="104"/>
      <c r="H128" s="131">
        <f t="shared" si="3"/>
        <v>0</v>
      </c>
      <c r="I128" s="131">
        <f t="shared" si="2"/>
        <v>0</v>
      </c>
      <c r="J128" s="177"/>
      <c r="M128" s="179"/>
    </row>
    <row r="129" spans="1:13" s="178" customFormat="1" ht="24.95" customHeight="1" x14ac:dyDescent="0.25">
      <c r="A129" s="104">
        <v>115</v>
      </c>
      <c r="B129" s="128" t="s">
        <v>271</v>
      </c>
      <c r="C129" s="104"/>
      <c r="D129" s="104"/>
      <c r="E129" s="104"/>
      <c r="F129" s="104"/>
      <c r="G129" s="104"/>
      <c r="H129" s="131">
        <f t="shared" si="3"/>
        <v>0</v>
      </c>
      <c r="I129" s="131">
        <f t="shared" si="2"/>
        <v>0</v>
      </c>
      <c r="J129" s="177"/>
      <c r="M129" s="179"/>
    </row>
    <row r="130" spans="1:13" s="178" customFormat="1" ht="24.95" customHeight="1" x14ac:dyDescent="0.25">
      <c r="A130" s="104">
        <v>116</v>
      </c>
      <c r="B130" s="128" t="s">
        <v>272</v>
      </c>
      <c r="C130" s="104"/>
      <c r="D130" s="104"/>
      <c r="E130" s="104"/>
      <c r="F130" s="104"/>
      <c r="G130" s="104"/>
      <c r="H130" s="131">
        <f t="shared" si="3"/>
        <v>0</v>
      </c>
      <c r="I130" s="131">
        <f t="shared" si="2"/>
        <v>0</v>
      </c>
      <c r="J130" s="177"/>
      <c r="M130" s="179"/>
    </row>
    <row r="131" spans="1:13" s="178" customFormat="1" ht="24.95" customHeight="1" x14ac:dyDescent="0.25">
      <c r="A131" s="104">
        <v>117</v>
      </c>
      <c r="B131" s="128" t="s">
        <v>273</v>
      </c>
      <c r="C131" s="104"/>
      <c r="D131" s="104"/>
      <c r="E131" s="104"/>
      <c r="F131" s="104"/>
      <c r="G131" s="104"/>
      <c r="H131" s="131">
        <f t="shared" si="3"/>
        <v>0</v>
      </c>
      <c r="I131" s="131">
        <f t="shared" si="2"/>
        <v>0</v>
      </c>
      <c r="J131" s="177"/>
      <c r="M131" s="179"/>
    </row>
    <row r="132" spans="1:13" s="178" customFormat="1" ht="24.95" customHeight="1" x14ac:dyDescent="0.25">
      <c r="A132" s="104">
        <v>118</v>
      </c>
      <c r="B132" s="128" t="s">
        <v>274</v>
      </c>
      <c r="C132" s="104"/>
      <c r="D132" s="104"/>
      <c r="E132" s="104"/>
      <c r="F132" s="104"/>
      <c r="G132" s="104"/>
      <c r="H132" s="131">
        <f t="shared" si="3"/>
        <v>0</v>
      </c>
      <c r="I132" s="131">
        <f t="shared" si="2"/>
        <v>0</v>
      </c>
      <c r="J132" s="177"/>
      <c r="M132" s="179"/>
    </row>
    <row r="133" spans="1:13" s="178" customFormat="1" ht="24.95" customHeight="1" x14ac:dyDescent="0.25">
      <c r="A133" s="104">
        <v>119</v>
      </c>
      <c r="B133" s="128" t="s">
        <v>275</v>
      </c>
      <c r="C133" s="104"/>
      <c r="D133" s="104"/>
      <c r="E133" s="104"/>
      <c r="F133" s="104"/>
      <c r="G133" s="104"/>
      <c r="H133" s="131">
        <f t="shared" si="3"/>
        <v>0</v>
      </c>
      <c r="I133" s="131">
        <f t="shared" si="2"/>
        <v>0</v>
      </c>
      <c r="J133" s="177"/>
      <c r="M133" s="179"/>
    </row>
    <row r="134" spans="1:13" s="178" customFormat="1" ht="24.95" customHeight="1" x14ac:dyDescent="0.25">
      <c r="A134" s="104">
        <v>120</v>
      </c>
      <c r="B134" s="128" t="s">
        <v>276</v>
      </c>
      <c r="C134" s="104"/>
      <c r="D134" s="104"/>
      <c r="E134" s="104"/>
      <c r="F134" s="104"/>
      <c r="G134" s="104"/>
      <c r="H134" s="131">
        <f t="shared" si="3"/>
        <v>0</v>
      </c>
      <c r="I134" s="131">
        <f t="shared" si="2"/>
        <v>0</v>
      </c>
      <c r="J134" s="177"/>
      <c r="M134" s="179"/>
    </row>
    <row r="135" spans="1:13" s="178" customFormat="1" ht="24.95" customHeight="1" x14ac:dyDescent="0.25">
      <c r="A135" s="104">
        <v>121</v>
      </c>
      <c r="B135" s="128" t="s">
        <v>277</v>
      </c>
      <c r="C135" s="104"/>
      <c r="D135" s="104"/>
      <c r="E135" s="104"/>
      <c r="F135" s="104"/>
      <c r="G135" s="104"/>
      <c r="H135" s="131">
        <f t="shared" si="3"/>
        <v>0</v>
      </c>
      <c r="I135" s="131">
        <f t="shared" si="2"/>
        <v>0</v>
      </c>
      <c r="J135" s="177"/>
      <c r="M135" s="179"/>
    </row>
    <row r="136" spans="1:13" s="178" customFormat="1" ht="24.95" customHeight="1" x14ac:dyDescent="0.25">
      <c r="A136" s="104">
        <v>122</v>
      </c>
      <c r="B136" s="128" t="s">
        <v>278</v>
      </c>
      <c r="C136" s="104"/>
      <c r="D136" s="104"/>
      <c r="E136" s="104"/>
      <c r="F136" s="104"/>
      <c r="G136" s="104"/>
      <c r="H136" s="131">
        <f t="shared" si="3"/>
        <v>0</v>
      </c>
      <c r="I136" s="131">
        <f t="shared" si="2"/>
        <v>0</v>
      </c>
      <c r="J136" s="177"/>
      <c r="M136" s="179"/>
    </row>
    <row r="137" spans="1:13" s="178" customFormat="1" ht="24.95" customHeight="1" x14ac:dyDescent="0.25">
      <c r="A137" s="104">
        <v>123</v>
      </c>
      <c r="B137" s="128" t="s">
        <v>279</v>
      </c>
      <c r="C137" s="104"/>
      <c r="D137" s="104"/>
      <c r="E137" s="104"/>
      <c r="F137" s="104"/>
      <c r="G137" s="104"/>
      <c r="H137" s="131">
        <f t="shared" si="3"/>
        <v>0</v>
      </c>
      <c r="I137" s="131">
        <f t="shared" si="2"/>
        <v>0</v>
      </c>
      <c r="J137" s="177"/>
      <c r="M137" s="179"/>
    </row>
    <row r="138" spans="1:13" s="178" customFormat="1" ht="24.95" customHeight="1" x14ac:dyDescent="0.25">
      <c r="A138" s="104">
        <v>124</v>
      </c>
      <c r="B138" s="128" t="s">
        <v>280</v>
      </c>
      <c r="C138" s="104"/>
      <c r="D138" s="104"/>
      <c r="E138" s="104"/>
      <c r="F138" s="104"/>
      <c r="G138" s="104"/>
      <c r="H138" s="131">
        <f t="shared" si="3"/>
        <v>0</v>
      </c>
      <c r="I138" s="131">
        <f t="shared" ref="I138:I139" si="4">D138-H138</f>
        <v>0</v>
      </c>
      <c r="J138" s="177"/>
      <c r="M138" s="179"/>
    </row>
    <row r="139" spans="1:13" s="178" customFormat="1" ht="42" customHeight="1" x14ac:dyDescent="0.25">
      <c r="A139" s="104">
        <v>125</v>
      </c>
      <c r="B139" s="128" t="s">
        <v>281</v>
      </c>
      <c r="C139" s="104"/>
      <c r="D139" s="104"/>
      <c r="E139" s="104"/>
      <c r="F139" s="104"/>
      <c r="G139" s="104"/>
      <c r="H139" s="131">
        <f t="shared" si="3"/>
        <v>0</v>
      </c>
      <c r="I139" s="131">
        <f t="shared" si="4"/>
        <v>0</v>
      </c>
      <c r="J139" s="177"/>
      <c r="M139" s="179"/>
    </row>
  </sheetData>
  <mergeCells count="12">
    <mergeCell ref="A1:J2"/>
    <mergeCell ref="A3:J3"/>
    <mergeCell ref="C4:D4"/>
    <mergeCell ref="E4:H4"/>
    <mergeCell ref="A7:B7"/>
    <mergeCell ref="A97:B97"/>
    <mergeCell ref="A100:B100"/>
    <mergeCell ref="A18:B18"/>
    <mergeCell ref="A63:B63"/>
    <mergeCell ref="A71:B71"/>
    <mergeCell ref="A75:B75"/>
    <mergeCell ref="A78:B78"/>
  </mergeCells>
  <phoneticPr fontId="28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2.4803149606299213" right="0.70866141732283472" top="0.74803149606299213" bottom="0.74803149606299213" header="0.31496062992125984" footer="0.31496062992125984"/>
  <pageSetup paperSize="9" scale="22" fitToWidth="4" fitToHeight="2" orientation="landscape" r:id="rId1"/>
  <rowBreaks count="1" manualBreakCount="1">
    <brk id="7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236"/>
  <sheetViews>
    <sheetView view="pageBreakPreview" zoomScale="90" zoomScaleNormal="100" zoomScaleSheetLayoutView="90" workbookViewId="0">
      <pane ySplit="4" topLeftCell="A5" activePane="bottomLeft" state="frozen"/>
      <selection activeCell="F14" sqref="F14"/>
      <selection pane="bottomLeft" activeCell="B12" sqref="B12"/>
    </sheetView>
  </sheetViews>
  <sheetFormatPr defaultColWidth="9.140625" defaultRowHeight="15" x14ac:dyDescent="0.2"/>
  <cols>
    <col min="1" max="1" width="7.85546875" style="49" customWidth="1"/>
    <col min="2" max="2" width="54.140625" style="1" bestFit="1" customWidth="1"/>
    <col min="3" max="3" width="15.28515625" style="40" bestFit="1" customWidth="1"/>
    <col min="4" max="4" width="6.28515625" style="40" bestFit="1" customWidth="1"/>
    <col min="5" max="5" width="6.42578125" style="40" bestFit="1" customWidth="1"/>
    <col min="6" max="6" width="4.7109375" style="40" bestFit="1" customWidth="1"/>
    <col min="7" max="7" width="5.140625" style="40" bestFit="1" customWidth="1"/>
    <col min="8" max="8" width="7.140625" style="40" bestFit="1" customWidth="1"/>
    <col min="9" max="9" width="6.28515625" style="40" bestFit="1" customWidth="1"/>
    <col min="10" max="10" width="87.140625" style="40" bestFit="1" customWidth="1"/>
    <col min="11" max="27" width="9.140625" style="40" customWidth="1"/>
    <col min="28" max="16384" width="9.140625" style="40"/>
  </cols>
  <sheetData>
    <row r="1" spans="1:27" ht="24" customHeight="1" x14ac:dyDescent="0.2">
      <c r="A1" s="38" t="s">
        <v>115</v>
      </c>
      <c r="B1" s="38"/>
      <c r="C1" s="38"/>
      <c r="D1" s="38"/>
      <c r="E1" s="38"/>
      <c r="F1" s="38"/>
      <c r="G1" s="38"/>
      <c r="H1" s="38"/>
      <c r="I1" s="38"/>
      <c r="J1" s="39" t="s">
        <v>114</v>
      </c>
    </row>
    <row r="2" spans="1:27" ht="36.75" customHeight="1" x14ac:dyDescent="0.2">
      <c r="A2" s="291" t="s">
        <v>113</v>
      </c>
      <c r="B2" s="291"/>
      <c r="C2" s="291"/>
      <c r="D2" s="291"/>
      <c r="E2" s="291"/>
      <c r="F2" s="291"/>
      <c r="G2" s="291"/>
      <c r="H2" s="291"/>
      <c r="I2" s="291"/>
      <c r="J2" s="291"/>
    </row>
    <row r="3" spans="1:27" s="8" customFormat="1" ht="47.25" x14ac:dyDescent="0.2">
      <c r="A3" s="41" t="s">
        <v>58</v>
      </c>
      <c r="B3" s="41" t="s">
        <v>17</v>
      </c>
      <c r="C3" s="42" t="s">
        <v>2</v>
      </c>
      <c r="D3" s="42"/>
      <c r="E3" s="292"/>
      <c r="F3" s="292"/>
      <c r="G3" s="292"/>
      <c r="H3" s="41" t="s">
        <v>4</v>
      </c>
      <c r="I3" s="78" t="s">
        <v>40</v>
      </c>
      <c r="J3" s="82" t="s">
        <v>112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s="8" customFormat="1" ht="69.75" customHeight="1" x14ac:dyDescent="0.2">
      <c r="A4" s="41"/>
      <c r="B4" s="41"/>
      <c r="C4" s="82" t="s">
        <v>10</v>
      </c>
      <c r="D4" s="82" t="s">
        <v>11</v>
      </c>
      <c r="E4" s="78" t="s">
        <v>12</v>
      </c>
      <c r="F4" s="78" t="s">
        <v>19</v>
      </c>
      <c r="G4" s="82" t="s">
        <v>111</v>
      </c>
      <c r="H4" s="5"/>
      <c r="I4" s="42"/>
      <c r="J4" s="42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 ht="26.25" customHeight="1" x14ac:dyDescent="0.2">
      <c r="A5" s="23" t="s">
        <v>22</v>
      </c>
      <c r="B5" s="21" t="s">
        <v>23</v>
      </c>
      <c r="C5" s="23" t="s">
        <v>24</v>
      </c>
      <c r="D5" s="23" t="s">
        <v>25</v>
      </c>
      <c r="E5" s="23" t="s">
        <v>26</v>
      </c>
      <c r="F5" s="23" t="s">
        <v>27</v>
      </c>
      <c r="G5" s="23" t="s">
        <v>28</v>
      </c>
      <c r="H5" s="23" t="s">
        <v>29</v>
      </c>
      <c r="I5" s="23" t="s">
        <v>30</v>
      </c>
      <c r="J5" s="23" t="s">
        <v>31</v>
      </c>
    </row>
    <row r="6" spans="1:27" ht="24" customHeight="1" x14ac:dyDescent="0.2">
      <c r="A6" s="293" t="s">
        <v>110</v>
      </c>
      <c r="B6" s="294"/>
      <c r="C6" s="294"/>
      <c r="D6" s="294"/>
      <c r="E6" s="294"/>
      <c r="F6" s="294"/>
      <c r="G6" s="294"/>
      <c r="H6" s="294"/>
      <c r="I6" s="294"/>
      <c r="J6" s="295"/>
    </row>
    <row r="7" spans="1:27" ht="24" customHeight="1" x14ac:dyDescent="0.2">
      <c r="A7" s="79" t="s">
        <v>109</v>
      </c>
      <c r="B7" s="80"/>
      <c r="C7" s="80"/>
      <c r="D7" s="80"/>
      <c r="E7" s="80"/>
      <c r="F7" s="80"/>
      <c r="G7" s="80"/>
      <c r="H7" s="80"/>
      <c r="I7" s="80"/>
      <c r="J7" s="81"/>
    </row>
    <row r="8" spans="1:27" ht="21" customHeight="1" x14ac:dyDescent="0.2">
      <c r="A8" s="21">
        <v>1</v>
      </c>
      <c r="B8" s="18" t="s">
        <v>284</v>
      </c>
      <c r="C8" s="75">
        <v>14</v>
      </c>
      <c r="D8" s="76">
        <v>3</v>
      </c>
      <c r="E8" s="76">
        <v>0</v>
      </c>
      <c r="F8" s="4">
        <v>0</v>
      </c>
      <c r="G8" s="4">
        <v>0</v>
      </c>
      <c r="H8" s="23">
        <f>E8+F8+G8</f>
        <v>0</v>
      </c>
      <c r="I8" s="23">
        <f t="shared" ref="I8:I13" si="0">D8-H8</f>
        <v>3</v>
      </c>
      <c r="J8" s="14"/>
    </row>
    <row r="9" spans="1:27" ht="50.25" customHeight="1" x14ac:dyDescent="0.2">
      <c r="A9" s="23">
        <v>2</v>
      </c>
      <c r="B9" s="18" t="s">
        <v>285</v>
      </c>
      <c r="C9" s="77">
        <v>10</v>
      </c>
      <c r="D9" s="76">
        <v>18</v>
      </c>
      <c r="E9" s="76">
        <v>2</v>
      </c>
      <c r="F9" s="4">
        <v>0</v>
      </c>
      <c r="G9" s="4">
        <v>0</v>
      </c>
      <c r="H9" s="23">
        <f>E9+F9+G9</f>
        <v>2</v>
      </c>
      <c r="I9" s="23">
        <f t="shared" si="0"/>
        <v>16</v>
      </c>
      <c r="J9" s="14" t="s">
        <v>125</v>
      </c>
    </row>
    <row r="10" spans="1:27" ht="20.25" customHeight="1" x14ac:dyDescent="0.2">
      <c r="A10" s="21">
        <v>3</v>
      </c>
      <c r="B10" s="18" t="s">
        <v>286</v>
      </c>
      <c r="C10" s="77">
        <v>1</v>
      </c>
      <c r="D10" s="4">
        <v>1</v>
      </c>
      <c r="E10" s="4">
        <v>0</v>
      </c>
      <c r="F10" s="4">
        <v>0</v>
      </c>
      <c r="G10" s="4">
        <v>0</v>
      </c>
      <c r="H10" s="23">
        <f>E10+F10+G10</f>
        <v>0</v>
      </c>
      <c r="I10" s="23">
        <f t="shared" si="0"/>
        <v>1</v>
      </c>
      <c r="J10" s="14"/>
    </row>
    <row r="11" spans="1:27" x14ac:dyDescent="0.2">
      <c r="A11" s="23">
        <v>4</v>
      </c>
      <c r="B11" s="18" t="s">
        <v>287</v>
      </c>
      <c r="C11" s="77">
        <v>3</v>
      </c>
      <c r="D11" s="4">
        <v>3</v>
      </c>
      <c r="E11" s="4">
        <v>0</v>
      </c>
      <c r="F11" s="4">
        <v>0</v>
      </c>
      <c r="G11" s="4">
        <v>0</v>
      </c>
      <c r="H11" s="23"/>
      <c r="I11" s="23">
        <f t="shared" si="0"/>
        <v>3</v>
      </c>
      <c r="J11" s="34"/>
    </row>
    <row r="12" spans="1:27" ht="20.25" customHeight="1" x14ac:dyDescent="0.2">
      <c r="A12" s="21">
        <v>5</v>
      </c>
      <c r="B12" s="18" t="s">
        <v>288</v>
      </c>
      <c r="C12" s="77">
        <v>23</v>
      </c>
      <c r="D12" s="4">
        <v>20</v>
      </c>
      <c r="E12" s="76">
        <v>0</v>
      </c>
      <c r="F12" s="4">
        <v>0</v>
      </c>
      <c r="G12" s="76">
        <v>1</v>
      </c>
      <c r="H12" s="23">
        <f>E12+F12+G12</f>
        <v>1</v>
      </c>
      <c r="I12" s="23">
        <f t="shared" si="0"/>
        <v>19</v>
      </c>
      <c r="J12" s="6" t="s">
        <v>108</v>
      </c>
    </row>
    <row r="13" spans="1:27" ht="26.25" customHeight="1" x14ac:dyDescent="0.2">
      <c r="A13" s="23">
        <v>6</v>
      </c>
      <c r="B13" s="18" t="s">
        <v>289</v>
      </c>
      <c r="C13" s="77">
        <v>3</v>
      </c>
      <c r="D13" s="4">
        <v>16</v>
      </c>
      <c r="E13" s="4">
        <v>0</v>
      </c>
      <c r="F13" s="4">
        <v>0</v>
      </c>
      <c r="G13" s="4">
        <v>0</v>
      </c>
      <c r="H13" s="23">
        <f>E13+F13+G13</f>
        <v>0</v>
      </c>
      <c r="I13" s="23">
        <f t="shared" si="0"/>
        <v>16</v>
      </c>
      <c r="J13" s="15"/>
    </row>
    <row r="14" spans="1:27" ht="26.25" customHeight="1" x14ac:dyDescent="0.2">
      <c r="A14" s="43" t="s">
        <v>107</v>
      </c>
      <c r="B14" s="44"/>
      <c r="C14" s="45"/>
      <c r="D14" s="45"/>
      <c r="E14" s="45"/>
      <c r="F14" s="45"/>
      <c r="G14" s="45"/>
      <c r="H14" s="44"/>
      <c r="I14" s="44"/>
      <c r="J14" s="46"/>
    </row>
    <row r="15" spans="1:27" ht="23.25" customHeight="1" x14ac:dyDescent="0.2">
      <c r="A15" s="21">
        <v>7</v>
      </c>
      <c r="B15" s="18" t="s">
        <v>290</v>
      </c>
      <c r="C15" s="77">
        <v>0</v>
      </c>
      <c r="D15" s="4">
        <v>1</v>
      </c>
      <c r="E15" s="4">
        <v>0</v>
      </c>
      <c r="F15" s="4">
        <v>0</v>
      </c>
      <c r="G15" s="4">
        <v>0</v>
      </c>
      <c r="H15" s="23">
        <f>E15+F15+G15</f>
        <v>0</v>
      </c>
      <c r="I15" s="23">
        <f>D15-H15</f>
        <v>1</v>
      </c>
      <c r="J15" s="7"/>
    </row>
    <row r="16" spans="1:27" ht="23.25" customHeight="1" x14ac:dyDescent="0.2">
      <c r="A16" s="21">
        <v>8</v>
      </c>
      <c r="B16" s="18" t="s">
        <v>291</v>
      </c>
      <c r="C16" s="77">
        <v>0</v>
      </c>
      <c r="D16" s="76">
        <v>0</v>
      </c>
      <c r="E16" s="4">
        <v>0</v>
      </c>
      <c r="F16" s="4">
        <v>0</v>
      </c>
      <c r="G16" s="4">
        <v>0</v>
      </c>
      <c r="H16" s="23">
        <f>E16+F16+G16</f>
        <v>0</v>
      </c>
      <c r="I16" s="23">
        <f>D16-H16</f>
        <v>0</v>
      </c>
      <c r="J16" s="47"/>
    </row>
    <row r="17" spans="1:10" ht="26.25" customHeight="1" x14ac:dyDescent="0.2">
      <c r="A17" s="43" t="s">
        <v>106</v>
      </c>
      <c r="B17" s="44"/>
      <c r="C17" s="45"/>
      <c r="D17" s="45"/>
      <c r="E17" s="45"/>
      <c r="F17" s="45"/>
      <c r="G17" s="45"/>
      <c r="H17" s="44"/>
      <c r="I17" s="44"/>
      <c r="J17" s="46"/>
    </row>
    <row r="18" spans="1:10" s="49" customFormat="1" ht="26.25" customHeight="1" x14ac:dyDescent="0.25">
      <c r="A18" s="23">
        <v>9</v>
      </c>
      <c r="B18" s="18" t="s">
        <v>292</v>
      </c>
      <c r="C18" s="77">
        <v>25</v>
      </c>
      <c r="D18" s="76">
        <v>23</v>
      </c>
      <c r="E18" s="76">
        <v>3</v>
      </c>
      <c r="F18" s="4">
        <v>0</v>
      </c>
      <c r="G18" s="4">
        <v>0</v>
      </c>
      <c r="H18" s="23">
        <f t="shared" ref="H18:H26" si="1">E18+F18+G18</f>
        <v>3</v>
      </c>
      <c r="I18" s="23">
        <f t="shared" ref="I18:I26" si="2">D18-H18</f>
        <v>20</v>
      </c>
      <c r="J18" s="48" t="s">
        <v>126</v>
      </c>
    </row>
    <row r="19" spans="1:10" ht="15.75" x14ac:dyDescent="0.2">
      <c r="A19" s="23">
        <v>10</v>
      </c>
      <c r="B19" s="18" t="s">
        <v>293</v>
      </c>
      <c r="C19" s="77">
        <v>28</v>
      </c>
      <c r="D19" s="4">
        <v>29</v>
      </c>
      <c r="E19" s="76">
        <v>0</v>
      </c>
      <c r="F19" s="4">
        <v>0</v>
      </c>
      <c r="G19" s="4">
        <v>0</v>
      </c>
      <c r="H19" s="23">
        <f t="shared" si="1"/>
        <v>0</v>
      </c>
      <c r="I19" s="23">
        <f t="shared" si="2"/>
        <v>29</v>
      </c>
      <c r="J19" s="13"/>
    </row>
    <row r="20" spans="1:10" ht="26.25" customHeight="1" x14ac:dyDescent="0.2">
      <c r="A20" s="23">
        <v>11</v>
      </c>
      <c r="B20" s="18" t="s">
        <v>294</v>
      </c>
      <c r="C20" s="77">
        <v>0</v>
      </c>
      <c r="D20" s="4">
        <v>0</v>
      </c>
      <c r="E20" s="4">
        <v>0</v>
      </c>
      <c r="F20" s="4">
        <v>0</v>
      </c>
      <c r="G20" s="4">
        <v>0</v>
      </c>
      <c r="H20" s="23">
        <f t="shared" si="1"/>
        <v>0</v>
      </c>
      <c r="I20" s="23">
        <f t="shared" si="2"/>
        <v>0</v>
      </c>
      <c r="J20" s="15"/>
    </row>
    <row r="21" spans="1:10" ht="34.5" customHeight="1" x14ac:dyDescent="0.2">
      <c r="A21" s="23">
        <v>12</v>
      </c>
      <c r="B21" s="18" t="s">
        <v>295</v>
      </c>
      <c r="C21" s="77">
        <v>7</v>
      </c>
      <c r="D21" s="4">
        <v>2</v>
      </c>
      <c r="E21" s="4">
        <v>0</v>
      </c>
      <c r="F21" s="4">
        <v>0</v>
      </c>
      <c r="G21" s="4">
        <v>0</v>
      </c>
      <c r="H21" s="23">
        <f t="shared" si="1"/>
        <v>0</v>
      </c>
      <c r="I21" s="23">
        <f t="shared" si="2"/>
        <v>2</v>
      </c>
      <c r="J21" s="6"/>
    </row>
    <row r="22" spans="1:10" x14ac:dyDescent="0.2">
      <c r="A22" s="23">
        <v>13</v>
      </c>
      <c r="B22" s="18" t="s">
        <v>296</v>
      </c>
      <c r="C22" s="77">
        <v>5</v>
      </c>
      <c r="D22" s="4">
        <v>7</v>
      </c>
      <c r="E22" s="4">
        <v>0</v>
      </c>
      <c r="F22" s="4">
        <v>0</v>
      </c>
      <c r="G22" s="4">
        <v>0</v>
      </c>
      <c r="H22" s="23">
        <f t="shared" si="1"/>
        <v>0</v>
      </c>
      <c r="I22" s="23">
        <f t="shared" si="2"/>
        <v>7</v>
      </c>
      <c r="J22" s="6"/>
    </row>
    <row r="23" spans="1:10" ht="23.25" customHeight="1" x14ac:dyDescent="0.2">
      <c r="A23" s="23">
        <v>14</v>
      </c>
      <c r="B23" s="18" t="s">
        <v>297</v>
      </c>
      <c r="C23" s="77">
        <v>0</v>
      </c>
      <c r="D23" s="4">
        <v>0</v>
      </c>
      <c r="E23" s="4">
        <v>0</v>
      </c>
      <c r="F23" s="4">
        <v>0</v>
      </c>
      <c r="G23" s="4">
        <v>0</v>
      </c>
      <c r="H23" s="23">
        <f t="shared" si="1"/>
        <v>0</v>
      </c>
      <c r="I23" s="23">
        <f t="shared" si="2"/>
        <v>0</v>
      </c>
      <c r="J23" s="19"/>
    </row>
    <row r="24" spans="1:10" s="50" customFormat="1" ht="37.5" customHeight="1" x14ac:dyDescent="0.25">
      <c r="A24" s="23">
        <v>15</v>
      </c>
      <c r="B24" s="18" t="s">
        <v>298</v>
      </c>
      <c r="C24" s="77">
        <v>6</v>
      </c>
      <c r="D24" s="4">
        <v>11</v>
      </c>
      <c r="E24" s="76">
        <v>3</v>
      </c>
      <c r="F24" s="4">
        <v>0</v>
      </c>
      <c r="G24" s="4">
        <v>0</v>
      </c>
      <c r="H24" s="23">
        <f t="shared" si="1"/>
        <v>3</v>
      </c>
      <c r="I24" s="23">
        <f t="shared" si="2"/>
        <v>8</v>
      </c>
      <c r="J24" s="3" t="s">
        <v>504</v>
      </c>
    </row>
    <row r="25" spans="1:10" s="50" customFormat="1" ht="25.5" customHeight="1" x14ac:dyDescent="0.25">
      <c r="A25" s="23">
        <v>16</v>
      </c>
      <c r="B25" s="18" t="s">
        <v>299</v>
      </c>
      <c r="C25" s="77">
        <v>0</v>
      </c>
      <c r="D25" s="4">
        <v>1</v>
      </c>
      <c r="E25" s="4">
        <v>0</v>
      </c>
      <c r="F25" s="4">
        <v>0</v>
      </c>
      <c r="G25" s="4">
        <v>0</v>
      </c>
      <c r="H25" s="23">
        <f t="shared" si="1"/>
        <v>0</v>
      </c>
      <c r="I25" s="23">
        <f t="shared" si="2"/>
        <v>1</v>
      </c>
      <c r="J25" s="6"/>
    </row>
    <row r="26" spans="1:10" ht="25.5" customHeight="1" x14ac:dyDescent="0.2">
      <c r="A26" s="23">
        <v>17</v>
      </c>
      <c r="B26" s="18" t="s">
        <v>300</v>
      </c>
      <c r="C26" s="77">
        <v>0</v>
      </c>
      <c r="D26" s="76">
        <v>0</v>
      </c>
      <c r="E26" s="4">
        <v>0</v>
      </c>
      <c r="F26" s="4">
        <v>0</v>
      </c>
      <c r="G26" s="4">
        <v>0</v>
      </c>
      <c r="H26" s="23">
        <f t="shared" si="1"/>
        <v>0</v>
      </c>
      <c r="I26" s="23">
        <f t="shared" si="2"/>
        <v>0</v>
      </c>
      <c r="J26" s="51"/>
    </row>
    <row r="27" spans="1:10" ht="15.75" customHeight="1" x14ac:dyDescent="0.2">
      <c r="A27" s="43" t="s">
        <v>105</v>
      </c>
      <c r="B27" s="44"/>
      <c r="C27" s="45"/>
      <c r="D27" s="45"/>
      <c r="E27" s="45"/>
      <c r="F27" s="45"/>
      <c r="G27" s="45"/>
      <c r="H27" s="44"/>
      <c r="I27" s="44"/>
      <c r="J27" s="46"/>
    </row>
    <row r="28" spans="1:10" ht="21.75" customHeight="1" x14ac:dyDescent="0.2">
      <c r="A28" s="21">
        <v>18</v>
      </c>
      <c r="B28" s="3" t="s">
        <v>301</v>
      </c>
      <c r="C28" s="77">
        <v>0</v>
      </c>
      <c r="D28" s="4">
        <v>2</v>
      </c>
      <c r="E28" s="4">
        <v>0</v>
      </c>
      <c r="F28" s="4">
        <v>0</v>
      </c>
      <c r="G28" s="4">
        <v>1</v>
      </c>
      <c r="H28" s="23">
        <f t="shared" ref="H28:H37" si="3">E28+F28+G28</f>
        <v>1</v>
      </c>
      <c r="I28" s="23">
        <f t="shared" ref="I28:I37" si="4">D28-H28</f>
        <v>1</v>
      </c>
      <c r="J28" s="13" t="s">
        <v>104</v>
      </c>
    </row>
    <row r="29" spans="1:10" ht="15.75" x14ac:dyDescent="0.2">
      <c r="A29" s="23">
        <v>19</v>
      </c>
      <c r="B29" s="3" t="s">
        <v>302</v>
      </c>
      <c r="C29" s="77">
        <v>10</v>
      </c>
      <c r="D29" s="4">
        <v>12</v>
      </c>
      <c r="E29" s="76">
        <v>1</v>
      </c>
      <c r="F29" s="4">
        <v>0</v>
      </c>
      <c r="G29" s="4">
        <v>0</v>
      </c>
      <c r="H29" s="23">
        <f t="shared" si="3"/>
        <v>1</v>
      </c>
      <c r="I29" s="23">
        <f t="shared" si="4"/>
        <v>11</v>
      </c>
      <c r="J29" s="6" t="s">
        <v>103</v>
      </c>
    </row>
    <row r="30" spans="1:10" ht="30" x14ac:dyDescent="0.2">
      <c r="A30" s="21">
        <v>20</v>
      </c>
      <c r="B30" s="3" t="s">
        <v>303</v>
      </c>
      <c r="C30" s="77">
        <v>1</v>
      </c>
      <c r="D30" s="4">
        <v>1</v>
      </c>
      <c r="E30" s="76"/>
      <c r="F30" s="4"/>
      <c r="G30" s="4"/>
      <c r="H30" s="23">
        <f t="shared" si="3"/>
        <v>0</v>
      </c>
      <c r="I30" s="23">
        <f t="shared" si="4"/>
        <v>1</v>
      </c>
      <c r="J30" s="6" t="s">
        <v>503</v>
      </c>
    </row>
    <row r="31" spans="1:10" s="2" customFormat="1" ht="51.75" customHeight="1" x14ac:dyDescent="0.25">
      <c r="A31" s="23">
        <v>21</v>
      </c>
      <c r="B31" s="3" t="s">
        <v>304</v>
      </c>
      <c r="C31" s="75">
        <v>24</v>
      </c>
      <c r="D31" s="76">
        <v>13</v>
      </c>
      <c r="E31" s="4">
        <v>0</v>
      </c>
      <c r="F31" s="4">
        <v>0</v>
      </c>
      <c r="G31" s="4">
        <v>0</v>
      </c>
      <c r="H31" s="23">
        <f t="shared" si="3"/>
        <v>0</v>
      </c>
      <c r="I31" s="23">
        <f t="shared" si="4"/>
        <v>13</v>
      </c>
      <c r="J31" s="52"/>
    </row>
    <row r="32" spans="1:10" ht="15.75" x14ac:dyDescent="0.2">
      <c r="A32" s="21">
        <v>22</v>
      </c>
      <c r="B32" s="3" t="s">
        <v>305</v>
      </c>
      <c r="C32" s="75">
        <v>18</v>
      </c>
      <c r="D32" s="76">
        <v>40</v>
      </c>
      <c r="E32" s="4">
        <v>0</v>
      </c>
      <c r="F32" s="4">
        <v>0</v>
      </c>
      <c r="G32" s="4">
        <v>0</v>
      </c>
      <c r="H32" s="23">
        <f t="shared" si="3"/>
        <v>0</v>
      </c>
      <c r="I32" s="23">
        <f t="shared" si="4"/>
        <v>40</v>
      </c>
      <c r="J32" s="32"/>
    </row>
    <row r="33" spans="1:10" ht="21" customHeight="1" x14ac:dyDescent="0.2">
      <c r="A33" s="23">
        <v>23</v>
      </c>
      <c r="B33" s="3" t="s">
        <v>306</v>
      </c>
      <c r="C33" s="77">
        <v>2</v>
      </c>
      <c r="D33" s="4">
        <v>1</v>
      </c>
      <c r="E33" s="4">
        <v>0</v>
      </c>
      <c r="F33" s="4">
        <v>0</v>
      </c>
      <c r="G33" s="4">
        <v>0</v>
      </c>
      <c r="H33" s="23">
        <f t="shared" si="3"/>
        <v>0</v>
      </c>
      <c r="I33" s="23">
        <f t="shared" si="4"/>
        <v>1</v>
      </c>
      <c r="J33" s="17"/>
    </row>
    <row r="34" spans="1:10" ht="21" customHeight="1" x14ac:dyDescent="0.2">
      <c r="A34" s="21">
        <v>24</v>
      </c>
      <c r="B34" s="3" t="s">
        <v>307</v>
      </c>
      <c r="C34" s="77">
        <v>24</v>
      </c>
      <c r="D34" s="76">
        <v>18</v>
      </c>
      <c r="E34" s="4">
        <v>0</v>
      </c>
      <c r="F34" s="4">
        <v>0</v>
      </c>
      <c r="G34" s="4">
        <v>0</v>
      </c>
      <c r="H34" s="23">
        <f t="shared" si="3"/>
        <v>0</v>
      </c>
      <c r="I34" s="23">
        <f t="shared" si="4"/>
        <v>18</v>
      </c>
      <c r="J34" s="17"/>
    </row>
    <row r="35" spans="1:10" ht="21" customHeight="1" x14ac:dyDescent="0.2">
      <c r="A35" s="23">
        <v>25</v>
      </c>
      <c r="B35" s="3" t="s">
        <v>308</v>
      </c>
      <c r="C35" s="77">
        <v>0</v>
      </c>
      <c r="D35" s="76">
        <v>6</v>
      </c>
      <c r="E35" s="4">
        <v>0</v>
      </c>
      <c r="F35" s="4">
        <v>0</v>
      </c>
      <c r="G35" s="4">
        <v>0</v>
      </c>
      <c r="H35" s="23">
        <f t="shared" si="3"/>
        <v>0</v>
      </c>
      <c r="I35" s="23">
        <f t="shared" si="4"/>
        <v>6</v>
      </c>
      <c r="J35" s="53"/>
    </row>
    <row r="36" spans="1:10" s="50" customFormat="1" ht="15.75" x14ac:dyDescent="0.25">
      <c r="A36" s="21">
        <v>26</v>
      </c>
      <c r="B36" s="3" t="s">
        <v>309</v>
      </c>
      <c r="C36" s="77">
        <v>3</v>
      </c>
      <c r="D36" s="76">
        <v>11</v>
      </c>
      <c r="E36" s="4">
        <v>0</v>
      </c>
      <c r="F36" s="4">
        <v>0</v>
      </c>
      <c r="G36" s="4">
        <v>0</v>
      </c>
      <c r="H36" s="23">
        <f t="shared" si="3"/>
        <v>0</v>
      </c>
      <c r="I36" s="23">
        <f t="shared" si="4"/>
        <v>11</v>
      </c>
      <c r="J36" s="6"/>
    </row>
    <row r="37" spans="1:10" ht="25.5" customHeight="1" x14ac:dyDescent="0.2">
      <c r="A37" s="23">
        <v>27</v>
      </c>
      <c r="B37" s="3" t="s">
        <v>310</v>
      </c>
      <c r="C37" s="77">
        <v>9</v>
      </c>
      <c r="D37" s="4">
        <v>30</v>
      </c>
      <c r="E37" s="4">
        <v>0</v>
      </c>
      <c r="F37" s="4">
        <v>0</v>
      </c>
      <c r="G37" s="76">
        <v>0</v>
      </c>
      <c r="H37" s="23">
        <f t="shared" si="3"/>
        <v>0</v>
      </c>
      <c r="I37" s="23">
        <f t="shared" si="4"/>
        <v>30</v>
      </c>
      <c r="J37" s="52"/>
    </row>
    <row r="38" spans="1:10" ht="15.75" customHeight="1" x14ac:dyDescent="0.2">
      <c r="A38" s="43" t="s">
        <v>102</v>
      </c>
      <c r="B38" s="44"/>
      <c r="C38" s="45"/>
      <c r="D38" s="45"/>
      <c r="E38" s="45"/>
      <c r="F38" s="45"/>
      <c r="G38" s="45"/>
      <c r="H38" s="44"/>
      <c r="I38" s="44"/>
      <c r="J38" s="46"/>
    </row>
    <row r="39" spans="1:10" x14ac:dyDescent="0.2">
      <c r="A39" s="21">
        <v>28</v>
      </c>
      <c r="B39" s="18" t="s">
        <v>311</v>
      </c>
      <c r="C39" s="77">
        <v>12</v>
      </c>
      <c r="D39" s="4">
        <v>12</v>
      </c>
      <c r="E39" s="4">
        <v>0</v>
      </c>
      <c r="F39" s="4">
        <v>0</v>
      </c>
      <c r="G39" s="4">
        <v>0</v>
      </c>
      <c r="H39" s="23">
        <f>E39+F39+G39</f>
        <v>0</v>
      </c>
      <c r="I39" s="23">
        <f>D39-H39</f>
        <v>12</v>
      </c>
      <c r="J39" s="6"/>
    </row>
    <row r="40" spans="1:10" ht="15.75" x14ac:dyDescent="0.2">
      <c r="A40" s="21">
        <v>29</v>
      </c>
      <c r="B40" s="18" t="s">
        <v>312</v>
      </c>
      <c r="C40" s="77">
        <v>4</v>
      </c>
      <c r="D40" s="4">
        <v>4</v>
      </c>
      <c r="E40" s="4">
        <v>0</v>
      </c>
      <c r="F40" s="4">
        <v>0</v>
      </c>
      <c r="G40" s="4">
        <v>0</v>
      </c>
      <c r="H40" s="23">
        <f>E40+F40+G40</f>
        <v>0</v>
      </c>
      <c r="I40" s="23">
        <f>D40-H40</f>
        <v>4</v>
      </c>
      <c r="J40" s="19"/>
    </row>
    <row r="41" spans="1:10" ht="24.75" customHeight="1" x14ac:dyDescent="0.2">
      <c r="A41" s="21">
        <v>30</v>
      </c>
      <c r="B41" s="18" t="s">
        <v>313</v>
      </c>
      <c r="C41" s="77">
        <v>2</v>
      </c>
      <c r="D41" s="4">
        <v>2</v>
      </c>
      <c r="E41" s="4">
        <v>0</v>
      </c>
      <c r="F41" s="4">
        <v>0</v>
      </c>
      <c r="G41" s="4">
        <v>0</v>
      </c>
      <c r="H41" s="23">
        <f>E41+F41+G41</f>
        <v>0</v>
      </c>
      <c r="I41" s="23">
        <f>D41-H41</f>
        <v>2</v>
      </c>
      <c r="J41" s="15"/>
    </row>
    <row r="42" spans="1:10" ht="15.75" x14ac:dyDescent="0.2">
      <c r="A42" s="43" t="s">
        <v>101</v>
      </c>
      <c r="B42" s="44"/>
      <c r="C42" s="45"/>
      <c r="D42" s="45"/>
      <c r="E42" s="45"/>
      <c r="F42" s="45"/>
      <c r="G42" s="45"/>
      <c r="H42" s="44"/>
      <c r="I42" s="44"/>
      <c r="J42" s="46"/>
    </row>
    <row r="43" spans="1:10" ht="15.75" x14ac:dyDescent="0.2">
      <c r="A43" s="23">
        <v>31</v>
      </c>
      <c r="B43" s="18" t="s">
        <v>314</v>
      </c>
      <c r="C43" s="77">
        <v>4</v>
      </c>
      <c r="D43" s="76">
        <v>16</v>
      </c>
      <c r="E43" s="4">
        <v>0</v>
      </c>
      <c r="F43" s="4">
        <v>0</v>
      </c>
      <c r="G43" s="4">
        <v>0</v>
      </c>
      <c r="H43" s="23">
        <f t="shared" ref="H43:H52" si="5">E43+F43+G43</f>
        <v>0</v>
      </c>
      <c r="I43" s="23">
        <f t="shared" ref="I43:I52" si="6">D43-H43</f>
        <v>16</v>
      </c>
      <c r="J43" s="15"/>
    </row>
    <row r="44" spans="1:10" ht="15.75" x14ac:dyDescent="0.2">
      <c r="A44" s="23">
        <v>32</v>
      </c>
      <c r="B44" s="18" t="s">
        <v>315</v>
      </c>
      <c r="C44" s="77">
        <v>9</v>
      </c>
      <c r="D44" s="76">
        <v>0</v>
      </c>
      <c r="E44" s="4">
        <v>0</v>
      </c>
      <c r="F44" s="4">
        <v>0</v>
      </c>
      <c r="G44" s="4">
        <v>0</v>
      </c>
      <c r="H44" s="23">
        <f t="shared" si="5"/>
        <v>0</v>
      </c>
      <c r="I44" s="23">
        <f t="shared" si="6"/>
        <v>0</v>
      </c>
      <c r="J44" s="19"/>
    </row>
    <row r="45" spans="1:10" ht="15.75" x14ac:dyDescent="0.2">
      <c r="A45" s="23">
        <v>33</v>
      </c>
      <c r="B45" s="18" t="s">
        <v>316</v>
      </c>
      <c r="C45" s="77">
        <v>15</v>
      </c>
      <c r="D45" s="76">
        <v>0</v>
      </c>
      <c r="E45" s="4">
        <v>0</v>
      </c>
      <c r="F45" s="4">
        <v>0</v>
      </c>
      <c r="G45" s="4">
        <v>0</v>
      </c>
      <c r="H45" s="23">
        <f t="shared" si="5"/>
        <v>0</v>
      </c>
      <c r="I45" s="23">
        <f t="shared" si="6"/>
        <v>0</v>
      </c>
      <c r="J45" s="19"/>
    </row>
    <row r="46" spans="1:10" x14ac:dyDescent="0.2">
      <c r="A46" s="23">
        <v>34</v>
      </c>
      <c r="B46" s="18" t="s">
        <v>317</v>
      </c>
      <c r="C46" s="77">
        <v>40</v>
      </c>
      <c r="D46" s="4">
        <v>27</v>
      </c>
      <c r="E46" s="4">
        <v>0</v>
      </c>
      <c r="F46" s="4">
        <v>0</v>
      </c>
      <c r="G46" s="4">
        <v>0</v>
      </c>
      <c r="H46" s="23">
        <f t="shared" si="5"/>
        <v>0</v>
      </c>
      <c r="I46" s="23">
        <f t="shared" si="6"/>
        <v>27</v>
      </c>
      <c r="J46" s="52"/>
    </row>
    <row r="47" spans="1:10" ht="20.25" customHeight="1" x14ac:dyDescent="0.2">
      <c r="A47" s="23">
        <v>35</v>
      </c>
      <c r="B47" s="18" t="s">
        <v>318</v>
      </c>
      <c r="C47" s="77">
        <v>36</v>
      </c>
      <c r="D47" s="4">
        <v>80</v>
      </c>
      <c r="E47" s="4">
        <v>0</v>
      </c>
      <c r="F47" s="4">
        <v>0</v>
      </c>
      <c r="G47" s="54">
        <v>0</v>
      </c>
      <c r="H47" s="23">
        <f t="shared" si="5"/>
        <v>0</v>
      </c>
      <c r="I47" s="23">
        <f t="shared" si="6"/>
        <v>80</v>
      </c>
      <c r="J47" s="3"/>
    </row>
    <row r="48" spans="1:10" ht="15.75" x14ac:dyDescent="0.2">
      <c r="A48" s="23">
        <v>36</v>
      </c>
      <c r="B48" s="18" t="s">
        <v>319</v>
      </c>
      <c r="C48" s="77">
        <v>0</v>
      </c>
      <c r="D48" s="76">
        <v>11</v>
      </c>
      <c r="E48" s="4">
        <v>0</v>
      </c>
      <c r="F48" s="4">
        <v>0</v>
      </c>
      <c r="G48" s="54">
        <v>0</v>
      </c>
      <c r="H48" s="23">
        <f t="shared" si="5"/>
        <v>0</v>
      </c>
      <c r="I48" s="23">
        <f t="shared" si="6"/>
        <v>11</v>
      </c>
      <c r="J48" s="19"/>
    </row>
    <row r="49" spans="1:10" x14ac:dyDescent="0.2">
      <c r="A49" s="23">
        <v>37</v>
      </c>
      <c r="B49" s="18" t="s">
        <v>320</v>
      </c>
      <c r="C49" s="77">
        <v>40</v>
      </c>
      <c r="D49" s="4">
        <v>2</v>
      </c>
      <c r="E49" s="4">
        <v>0</v>
      </c>
      <c r="F49" s="4">
        <v>0</v>
      </c>
      <c r="G49" s="54">
        <v>0</v>
      </c>
      <c r="H49" s="23">
        <f t="shared" si="5"/>
        <v>0</v>
      </c>
      <c r="I49" s="23">
        <f t="shared" si="6"/>
        <v>2</v>
      </c>
      <c r="J49" s="15"/>
    </row>
    <row r="50" spans="1:10" ht="15.75" x14ac:dyDescent="0.2">
      <c r="A50" s="23">
        <v>38</v>
      </c>
      <c r="B50" s="18" t="s">
        <v>321</v>
      </c>
      <c r="C50" s="77">
        <v>7</v>
      </c>
      <c r="D50" s="76">
        <v>4</v>
      </c>
      <c r="E50" s="4">
        <v>0</v>
      </c>
      <c r="F50" s="4">
        <v>0</v>
      </c>
      <c r="G50" s="54">
        <v>0</v>
      </c>
      <c r="H50" s="23">
        <f t="shared" si="5"/>
        <v>0</v>
      </c>
      <c r="I50" s="23">
        <f t="shared" si="6"/>
        <v>4</v>
      </c>
      <c r="J50" s="15"/>
    </row>
    <row r="51" spans="1:10" x14ac:dyDescent="0.2">
      <c r="A51" s="23">
        <v>39</v>
      </c>
      <c r="B51" s="18" t="s">
        <v>322</v>
      </c>
      <c r="C51" s="77">
        <v>0</v>
      </c>
      <c r="D51" s="4">
        <v>0</v>
      </c>
      <c r="E51" s="4">
        <v>0</v>
      </c>
      <c r="F51" s="4">
        <v>0</v>
      </c>
      <c r="G51" s="54">
        <v>0</v>
      </c>
      <c r="H51" s="23">
        <f t="shared" si="5"/>
        <v>0</v>
      </c>
      <c r="I51" s="23">
        <f t="shared" si="6"/>
        <v>0</v>
      </c>
      <c r="J51" s="15"/>
    </row>
    <row r="52" spans="1:10" ht="15.75" x14ac:dyDescent="0.2">
      <c r="A52" s="23">
        <v>40</v>
      </c>
      <c r="B52" s="18" t="s">
        <v>323</v>
      </c>
      <c r="C52" s="77">
        <v>0</v>
      </c>
      <c r="D52" s="4">
        <v>0</v>
      </c>
      <c r="E52" s="4">
        <v>0</v>
      </c>
      <c r="F52" s="4">
        <v>0</v>
      </c>
      <c r="G52" s="54">
        <v>0</v>
      </c>
      <c r="H52" s="23">
        <f t="shared" si="5"/>
        <v>0</v>
      </c>
      <c r="I52" s="23">
        <f t="shared" si="6"/>
        <v>0</v>
      </c>
      <c r="J52" s="19"/>
    </row>
    <row r="53" spans="1:10" ht="15.75" x14ac:dyDescent="0.2">
      <c r="A53" s="44" t="s">
        <v>100</v>
      </c>
      <c r="B53" s="44"/>
      <c r="C53" s="45"/>
      <c r="D53" s="45"/>
      <c r="E53" s="45"/>
      <c r="F53" s="45"/>
      <c r="G53" s="45"/>
      <c r="H53" s="44"/>
      <c r="I53" s="44"/>
      <c r="J53" s="45"/>
    </row>
    <row r="54" spans="1:10" ht="30" x14ac:dyDescent="0.2">
      <c r="A54" s="23">
        <v>41</v>
      </c>
      <c r="B54" s="18" t="s">
        <v>324</v>
      </c>
      <c r="C54" s="75">
        <v>6</v>
      </c>
      <c r="D54" s="76">
        <v>12</v>
      </c>
      <c r="E54" s="4">
        <v>0</v>
      </c>
      <c r="F54" s="4">
        <v>0</v>
      </c>
      <c r="G54" s="4">
        <v>6</v>
      </c>
      <c r="H54" s="23">
        <f>E54+F54+G54</f>
        <v>6</v>
      </c>
      <c r="I54" s="23">
        <f>D54-H54</f>
        <v>6</v>
      </c>
      <c r="J54" s="6" t="s">
        <v>502</v>
      </c>
    </row>
    <row r="55" spans="1:10" x14ac:dyDescent="0.2">
      <c r="A55" s="23">
        <v>42</v>
      </c>
      <c r="B55" s="18" t="s">
        <v>325</v>
      </c>
      <c r="C55" s="77">
        <v>0</v>
      </c>
      <c r="D55" s="4">
        <v>0</v>
      </c>
      <c r="E55" s="4">
        <v>0</v>
      </c>
      <c r="F55" s="4">
        <v>0</v>
      </c>
      <c r="G55" s="4">
        <v>0</v>
      </c>
      <c r="H55" s="23">
        <f>E55+F55+G55</f>
        <v>0</v>
      </c>
      <c r="I55" s="23">
        <f>D55-H55</f>
        <v>0</v>
      </c>
      <c r="J55" s="15"/>
    </row>
    <row r="56" spans="1:10" ht="15.75" x14ac:dyDescent="0.2">
      <c r="A56" s="44" t="s">
        <v>99</v>
      </c>
      <c r="B56" s="44"/>
      <c r="C56" s="45"/>
      <c r="D56" s="45"/>
      <c r="E56" s="45"/>
      <c r="F56" s="45"/>
      <c r="G56" s="45"/>
      <c r="H56" s="44"/>
      <c r="I56" s="44"/>
      <c r="J56" s="45"/>
    </row>
    <row r="57" spans="1:10" ht="15.75" x14ac:dyDescent="0.2">
      <c r="A57" s="23">
        <v>43</v>
      </c>
      <c r="B57" s="55" t="s">
        <v>326</v>
      </c>
      <c r="C57" s="75">
        <v>7</v>
      </c>
      <c r="D57" s="76">
        <v>10</v>
      </c>
      <c r="E57" s="4">
        <v>0</v>
      </c>
      <c r="F57" s="4">
        <v>0</v>
      </c>
      <c r="G57" s="4">
        <v>0</v>
      </c>
      <c r="H57" s="23">
        <f t="shared" ref="H57:H66" si="7">E57+F57+G57</f>
        <v>0</v>
      </c>
      <c r="I57" s="23">
        <f t="shared" ref="I57:I66" si="8">D57-H57</f>
        <v>10</v>
      </c>
      <c r="J57" s="56"/>
    </row>
    <row r="58" spans="1:10" ht="15.75" x14ac:dyDescent="0.2">
      <c r="A58" s="23">
        <v>44</v>
      </c>
      <c r="B58" s="55" t="s">
        <v>327</v>
      </c>
      <c r="C58" s="75">
        <v>43</v>
      </c>
      <c r="D58" s="76">
        <v>37</v>
      </c>
      <c r="E58" s="4">
        <v>0</v>
      </c>
      <c r="F58" s="4">
        <v>0</v>
      </c>
      <c r="G58" s="4">
        <v>0</v>
      </c>
      <c r="H58" s="23">
        <f t="shared" si="7"/>
        <v>0</v>
      </c>
      <c r="I58" s="23">
        <f t="shared" si="8"/>
        <v>37</v>
      </c>
      <c r="J58" s="6"/>
    </row>
    <row r="59" spans="1:10" ht="15.75" x14ac:dyDescent="0.2">
      <c r="A59" s="23">
        <v>45</v>
      </c>
      <c r="B59" s="55" t="s">
        <v>328</v>
      </c>
      <c r="C59" s="75">
        <v>15</v>
      </c>
      <c r="D59" s="76">
        <v>11</v>
      </c>
      <c r="E59" s="4">
        <v>0</v>
      </c>
      <c r="F59" s="4">
        <v>0</v>
      </c>
      <c r="G59" s="4">
        <v>0</v>
      </c>
      <c r="H59" s="23">
        <f t="shared" si="7"/>
        <v>0</v>
      </c>
      <c r="I59" s="23">
        <f t="shared" si="8"/>
        <v>11</v>
      </c>
      <c r="J59" s="19"/>
    </row>
    <row r="60" spans="1:10" ht="15.75" x14ac:dyDescent="0.2">
      <c r="A60" s="23">
        <v>46</v>
      </c>
      <c r="B60" s="55" t="s">
        <v>329</v>
      </c>
      <c r="C60" s="75">
        <v>5</v>
      </c>
      <c r="D60" s="76">
        <v>2</v>
      </c>
      <c r="E60" s="4">
        <v>0</v>
      </c>
      <c r="F60" s="4">
        <v>0</v>
      </c>
      <c r="G60" s="4">
        <v>0</v>
      </c>
      <c r="H60" s="23">
        <f t="shared" si="7"/>
        <v>0</v>
      </c>
      <c r="I60" s="23">
        <f t="shared" si="8"/>
        <v>2</v>
      </c>
      <c r="J60" s="17"/>
    </row>
    <row r="61" spans="1:10" ht="15.75" x14ac:dyDescent="0.2">
      <c r="A61" s="23">
        <v>47</v>
      </c>
      <c r="B61" s="55" t="s">
        <v>330</v>
      </c>
      <c r="C61" s="77">
        <v>0</v>
      </c>
      <c r="D61" s="4">
        <v>0</v>
      </c>
      <c r="E61" s="4">
        <v>0</v>
      </c>
      <c r="F61" s="4">
        <v>0</v>
      </c>
      <c r="G61" s="4">
        <v>0</v>
      </c>
      <c r="H61" s="23">
        <f t="shared" si="7"/>
        <v>0</v>
      </c>
      <c r="I61" s="23">
        <f t="shared" si="8"/>
        <v>0</v>
      </c>
      <c r="J61" s="19"/>
    </row>
    <row r="62" spans="1:10" ht="15.75" x14ac:dyDescent="0.2">
      <c r="A62" s="23">
        <v>48</v>
      </c>
      <c r="B62" s="55" t="s">
        <v>331</v>
      </c>
      <c r="C62" s="77">
        <v>0</v>
      </c>
      <c r="D62" s="4">
        <v>0</v>
      </c>
      <c r="E62" s="4">
        <v>0</v>
      </c>
      <c r="F62" s="4">
        <v>0</v>
      </c>
      <c r="G62" s="4">
        <v>0</v>
      </c>
      <c r="H62" s="23">
        <f t="shared" si="7"/>
        <v>0</v>
      </c>
      <c r="I62" s="23">
        <f t="shared" si="8"/>
        <v>0</v>
      </c>
      <c r="J62" s="19"/>
    </row>
    <row r="63" spans="1:10" x14ac:dyDescent="0.2">
      <c r="A63" s="23">
        <v>49</v>
      </c>
      <c r="B63" s="55" t="s">
        <v>332</v>
      </c>
      <c r="C63" s="77">
        <v>0</v>
      </c>
      <c r="D63" s="4">
        <v>1</v>
      </c>
      <c r="E63" s="4">
        <v>0</v>
      </c>
      <c r="F63" s="4">
        <v>0</v>
      </c>
      <c r="G63" s="4">
        <v>0</v>
      </c>
      <c r="H63" s="23">
        <f t="shared" si="7"/>
        <v>0</v>
      </c>
      <c r="I63" s="23">
        <f t="shared" si="8"/>
        <v>1</v>
      </c>
      <c r="J63" s="15"/>
    </row>
    <row r="64" spans="1:10" ht="25.5" customHeight="1" x14ac:dyDescent="0.2">
      <c r="A64" s="23">
        <v>50</v>
      </c>
      <c r="B64" s="55" t="s">
        <v>333</v>
      </c>
      <c r="C64" s="77">
        <v>0</v>
      </c>
      <c r="D64" s="4">
        <v>3</v>
      </c>
      <c r="E64" s="4">
        <v>0</v>
      </c>
      <c r="F64" s="4">
        <v>0</v>
      </c>
      <c r="G64" s="4">
        <v>0</v>
      </c>
      <c r="H64" s="23">
        <f t="shared" si="7"/>
        <v>0</v>
      </c>
      <c r="I64" s="23">
        <f t="shared" si="8"/>
        <v>3</v>
      </c>
      <c r="J64" s="15"/>
    </row>
    <row r="65" spans="1:10" ht="15.75" x14ac:dyDescent="0.2">
      <c r="A65" s="23">
        <v>51</v>
      </c>
      <c r="B65" s="55" t="s">
        <v>334</v>
      </c>
      <c r="C65" s="77">
        <v>0</v>
      </c>
      <c r="D65" s="76">
        <v>1</v>
      </c>
      <c r="E65" s="4">
        <v>0</v>
      </c>
      <c r="F65" s="4">
        <v>0</v>
      </c>
      <c r="G65" s="4">
        <v>0</v>
      </c>
      <c r="H65" s="23">
        <f t="shared" si="7"/>
        <v>0</v>
      </c>
      <c r="I65" s="23">
        <f t="shared" si="8"/>
        <v>1</v>
      </c>
      <c r="J65" s="19"/>
    </row>
    <row r="66" spans="1:10" ht="15.75" x14ac:dyDescent="0.2">
      <c r="A66" s="23">
        <v>52</v>
      </c>
      <c r="B66" s="55" t="s">
        <v>335</v>
      </c>
      <c r="C66" s="75">
        <v>37</v>
      </c>
      <c r="D66" s="76">
        <v>43</v>
      </c>
      <c r="E66" s="4">
        <v>0</v>
      </c>
      <c r="F66" s="4">
        <v>0</v>
      </c>
      <c r="G66" s="4">
        <v>0</v>
      </c>
      <c r="H66" s="23">
        <f t="shared" si="7"/>
        <v>0</v>
      </c>
      <c r="I66" s="23">
        <f t="shared" si="8"/>
        <v>43</v>
      </c>
      <c r="J66" s="47"/>
    </row>
    <row r="67" spans="1:10" ht="15.75" customHeight="1" x14ac:dyDescent="0.2">
      <c r="A67" s="43" t="s">
        <v>98</v>
      </c>
      <c r="B67" s="44"/>
      <c r="C67" s="45"/>
      <c r="D67" s="45"/>
      <c r="E67" s="45"/>
      <c r="F67" s="45"/>
      <c r="G67" s="45"/>
      <c r="H67" s="44"/>
      <c r="I67" s="44"/>
      <c r="J67" s="46"/>
    </row>
    <row r="68" spans="1:10" ht="15.75" customHeight="1" x14ac:dyDescent="0.2">
      <c r="A68" s="43" t="s">
        <v>97</v>
      </c>
      <c r="B68" s="44"/>
      <c r="C68" s="45"/>
      <c r="D68" s="45"/>
      <c r="E68" s="45"/>
      <c r="F68" s="45"/>
      <c r="G68" s="45"/>
      <c r="H68" s="44"/>
      <c r="I68" s="44"/>
      <c r="J68" s="46"/>
    </row>
    <row r="69" spans="1:10" ht="15.75" x14ac:dyDescent="0.2">
      <c r="A69" s="23">
        <v>53</v>
      </c>
      <c r="B69" s="18" t="s">
        <v>336</v>
      </c>
      <c r="C69" s="75">
        <v>3</v>
      </c>
      <c r="D69" s="75">
        <v>6</v>
      </c>
      <c r="E69" s="75">
        <v>2</v>
      </c>
      <c r="F69" s="77">
        <v>0</v>
      </c>
      <c r="G69" s="77">
        <v>0</v>
      </c>
      <c r="H69" s="23">
        <f>E69+F69+G69</f>
        <v>2</v>
      </c>
      <c r="I69" s="23">
        <f>D69-H69</f>
        <v>4</v>
      </c>
      <c r="J69" s="6" t="s">
        <v>96</v>
      </c>
    </row>
    <row r="70" spans="1:10" ht="15.75" x14ac:dyDescent="0.2">
      <c r="A70" s="23">
        <v>54</v>
      </c>
      <c r="B70" s="18" t="s">
        <v>337</v>
      </c>
      <c r="C70" s="75">
        <v>15</v>
      </c>
      <c r="D70" s="76">
        <v>12</v>
      </c>
      <c r="E70" s="77">
        <v>0</v>
      </c>
      <c r="F70" s="77">
        <v>0</v>
      </c>
      <c r="G70" s="77">
        <v>0</v>
      </c>
      <c r="H70" s="23">
        <f>E70+F70+G70</f>
        <v>0</v>
      </c>
      <c r="I70" s="23">
        <f>D70-H70</f>
        <v>12</v>
      </c>
      <c r="J70" s="6"/>
    </row>
    <row r="71" spans="1:10" ht="15.75" x14ac:dyDescent="0.2">
      <c r="A71" s="43" t="s">
        <v>95</v>
      </c>
      <c r="B71" s="44"/>
      <c r="C71" s="45"/>
      <c r="D71" s="45"/>
      <c r="E71" s="45"/>
      <c r="F71" s="45"/>
      <c r="G71" s="45"/>
      <c r="H71" s="44"/>
      <c r="I71" s="44"/>
      <c r="J71" s="46"/>
    </row>
    <row r="72" spans="1:10" x14ac:dyDescent="0.2">
      <c r="A72" s="23">
        <v>55</v>
      </c>
      <c r="B72" s="18" t="s">
        <v>338</v>
      </c>
      <c r="C72" s="77">
        <v>0</v>
      </c>
      <c r="D72" s="4">
        <v>0</v>
      </c>
      <c r="E72" s="4">
        <v>0</v>
      </c>
      <c r="F72" s="4">
        <v>0</v>
      </c>
      <c r="G72" s="4">
        <v>0</v>
      </c>
      <c r="H72" s="23"/>
      <c r="I72" s="23"/>
      <c r="J72" s="6"/>
    </row>
    <row r="73" spans="1:10" x14ac:dyDescent="0.2">
      <c r="A73" s="23">
        <v>56</v>
      </c>
      <c r="B73" s="18" t="s">
        <v>339</v>
      </c>
      <c r="C73" s="77">
        <v>0</v>
      </c>
      <c r="D73" s="4">
        <v>0</v>
      </c>
      <c r="E73" s="4">
        <v>0</v>
      </c>
      <c r="F73" s="4">
        <v>0</v>
      </c>
      <c r="G73" s="4">
        <v>0</v>
      </c>
      <c r="H73" s="23"/>
      <c r="I73" s="23"/>
      <c r="J73" s="6"/>
    </row>
    <row r="74" spans="1:10" x14ac:dyDescent="0.2">
      <c r="A74" s="23">
        <v>57</v>
      </c>
      <c r="B74" s="18" t="s">
        <v>340</v>
      </c>
      <c r="C74" s="77">
        <v>0</v>
      </c>
      <c r="D74" s="4">
        <v>0</v>
      </c>
      <c r="E74" s="4">
        <v>0</v>
      </c>
      <c r="F74" s="4">
        <v>0</v>
      </c>
      <c r="G74" s="4">
        <v>0</v>
      </c>
      <c r="H74" s="23"/>
      <c r="I74" s="23"/>
      <c r="J74" s="15"/>
    </row>
    <row r="75" spans="1:10" x14ac:dyDescent="0.2">
      <c r="A75" s="23">
        <v>58</v>
      </c>
      <c r="B75" s="18" t="s">
        <v>341</v>
      </c>
      <c r="C75" s="77">
        <v>0</v>
      </c>
      <c r="D75" s="4">
        <v>0</v>
      </c>
      <c r="E75" s="4">
        <v>0</v>
      </c>
      <c r="F75" s="4">
        <v>0</v>
      </c>
      <c r="G75" s="4">
        <v>0</v>
      </c>
      <c r="H75" s="23"/>
      <c r="I75" s="23"/>
      <c r="J75" s="15"/>
    </row>
    <row r="76" spans="1:10" x14ac:dyDescent="0.2">
      <c r="A76" s="23">
        <v>59</v>
      </c>
      <c r="B76" s="18" t="s">
        <v>342</v>
      </c>
      <c r="C76" s="77">
        <v>0</v>
      </c>
      <c r="D76" s="4">
        <v>0</v>
      </c>
      <c r="E76" s="4">
        <v>0</v>
      </c>
      <c r="F76" s="4">
        <v>0</v>
      </c>
      <c r="G76" s="4">
        <v>0</v>
      </c>
      <c r="H76" s="23"/>
      <c r="I76" s="23"/>
      <c r="J76" s="15"/>
    </row>
    <row r="77" spans="1:10" x14ac:dyDescent="0.2">
      <c r="A77" s="23">
        <v>60</v>
      </c>
      <c r="B77" s="18" t="s">
        <v>343</v>
      </c>
      <c r="C77" s="77">
        <v>0</v>
      </c>
      <c r="D77" s="4">
        <v>0</v>
      </c>
      <c r="E77" s="4">
        <v>0</v>
      </c>
      <c r="F77" s="4">
        <v>0</v>
      </c>
      <c r="G77" s="4">
        <v>0</v>
      </c>
      <c r="H77" s="23"/>
      <c r="I77" s="23"/>
      <c r="J77" s="15"/>
    </row>
    <row r="78" spans="1:10" x14ac:dyDescent="0.2">
      <c r="A78" s="23">
        <v>61</v>
      </c>
      <c r="B78" s="18" t="s">
        <v>344</v>
      </c>
      <c r="C78" s="77">
        <v>0</v>
      </c>
      <c r="D78" s="4">
        <v>0</v>
      </c>
      <c r="E78" s="4">
        <v>0</v>
      </c>
      <c r="F78" s="4">
        <v>0</v>
      </c>
      <c r="G78" s="4">
        <v>0</v>
      </c>
      <c r="H78" s="23"/>
      <c r="I78" s="23"/>
      <c r="J78" s="15"/>
    </row>
    <row r="79" spans="1:10" x14ac:dyDescent="0.2">
      <c r="A79" s="23">
        <v>62</v>
      </c>
      <c r="B79" s="18" t="s">
        <v>345</v>
      </c>
      <c r="C79" s="77">
        <v>0</v>
      </c>
      <c r="D79" s="4">
        <v>0</v>
      </c>
      <c r="E79" s="4">
        <v>0</v>
      </c>
      <c r="F79" s="4">
        <v>0</v>
      </c>
      <c r="G79" s="4">
        <v>0</v>
      </c>
      <c r="H79" s="23"/>
      <c r="I79" s="23"/>
      <c r="J79" s="15"/>
    </row>
    <row r="80" spans="1:10" ht="15.75" x14ac:dyDescent="0.2">
      <c r="A80" s="43" t="s">
        <v>94</v>
      </c>
      <c r="B80" s="44"/>
      <c r="C80" s="45"/>
      <c r="D80" s="45"/>
      <c r="E80" s="45"/>
      <c r="F80" s="45"/>
      <c r="G80" s="45"/>
      <c r="H80" s="44"/>
      <c r="I80" s="44"/>
      <c r="J80" s="46"/>
    </row>
    <row r="81" spans="1:10" ht="15.75" x14ac:dyDescent="0.2">
      <c r="A81" s="23">
        <v>63</v>
      </c>
      <c r="B81" s="18" t="s">
        <v>346</v>
      </c>
      <c r="C81" s="77">
        <v>31</v>
      </c>
      <c r="D81" s="4">
        <v>38</v>
      </c>
      <c r="E81" s="4">
        <v>0</v>
      </c>
      <c r="F81" s="4">
        <v>0</v>
      </c>
      <c r="G81" s="76">
        <v>1</v>
      </c>
      <c r="H81" s="23">
        <f t="shared" ref="H81:H112" si="9">E81+F81+G81</f>
        <v>1</v>
      </c>
      <c r="I81" s="23">
        <f t="shared" ref="I81:I112" si="10">D81-H81</f>
        <v>37</v>
      </c>
      <c r="J81" s="17" t="s">
        <v>93</v>
      </c>
    </row>
    <row r="82" spans="1:10" ht="15.75" x14ac:dyDescent="0.2">
      <c r="A82" s="23">
        <v>64</v>
      </c>
      <c r="B82" s="18" t="s">
        <v>347</v>
      </c>
      <c r="C82" s="77">
        <v>53</v>
      </c>
      <c r="D82" s="4">
        <v>65</v>
      </c>
      <c r="E82" s="4">
        <v>0</v>
      </c>
      <c r="F82" s="4">
        <v>0</v>
      </c>
      <c r="G82" s="76">
        <v>2</v>
      </c>
      <c r="H82" s="23">
        <f t="shared" si="9"/>
        <v>2</v>
      </c>
      <c r="I82" s="23">
        <f t="shared" si="10"/>
        <v>63</v>
      </c>
      <c r="J82" s="57" t="s">
        <v>92</v>
      </c>
    </row>
    <row r="83" spans="1:10" x14ac:dyDescent="0.2">
      <c r="A83" s="23">
        <v>65</v>
      </c>
      <c r="B83" s="18" t="s">
        <v>348</v>
      </c>
      <c r="C83" s="77">
        <v>14</v>
      </c>
      <c r="D83" s="4">
        <v>5</v>
      </c>
      <c r="E83" s="4">
        <v>0</v>
      </c>
      <c r="F83" s="4">
        <v>0</v>
      </c>
      <c r="G83" s="4">
        <v>0</v>
      </c>
      <c r="H83" s="23">
        <f t="shared" si="9"/>
        <v>0</v>
      </c>
      <c r="I83" s="23">
        <f t="shared" si="10"/>
        <v>5</v>
      </c>
      <c r="J83" s="57"/>
    </row>
    <row r="84" spans="1:10" ht="30.75" customHeight="1" x14ac:dyDescent="0.2">
      <c r="A84" s="23">
        <v>66</v>
      </c>
      <c r="B84" s="18" t="s">
        <v>349</v>
      </c>
      <c r="C84" s="77">
        <v>5</v>
      </c>
      <c r="D84" s="4">
        <v>33</v>
      </c>
      <c r="E84" s="4">
        <v>0</v>
      </c>
      <c r="F84" s="4">
        <v>0</v>
      </c>
      <c r="G84" s="4">
        <v>0</v>
      </c>
      <c r="H84" s="23">
        <f t="shared" si="9"/>
        <v>0</v>
      </c>
      <c r="I84" s="23">
        <f t="shared" si="10"/>
        <v>33</v>
      </c>
      <c r="J84" s="33" t="s">
        <v>87</v>
      </c>
    </row>
    <row r="85" spans="1:10" ht="26.25" customHeight="1" x14ac:dyDescent="0.2">
      <c r="A85" s="23">
        <v>67</v>
      </c>
      <c r="B85" s="18" t="s">
        <v>350</v>
      </c>
      <c r="C85" s="77">
        <v>22</v>
      </c>
      <c r="D85" s="4">
        <v>23</v>
      </c>
      <c r="E85" s="4">
        <v>0</v>
      </c>
      <c r="F85" s="4">
        <v>0</v>
      </c>
      <c r="G85" s="4">
        <v>0</v>
      </c>
      <c r="H85" s="23">
        <f t="shared" si="9"/>
        <v>0</v>
      </c>
      <c r="I85" s="23">
        <f t="shared" si="10"/>
        <v>23</v>
      </c>
      <c r="J85" s="57"/>
    </row>
    <row r="86" spans="1:10" ht="23.25" customHeight="1" x14ac:dyDescent="0.2">
      <c r="A86" s="23">
        <v>68</v>
      </c>
      <c r="B86" s="18" t="s">
        <v>351</v>
      </c>
      <c r="C86" s="77">
        <v>52</v>
      </c>
      <c r="D86" s="4">
        <v>36</v>
      </c>
      <c r="E86" s="4">
        <v>0</v>
      </c>
      <c r="F86" s="4">
        <v>0</v>
      </c>
      <c r="G86" s="4">
        <v>0</v>
      </c>
      <c r="H86" s="23">
        <f t="shared" si="9"/>
        <v>0</v>
      </c>
      <c r="I86" s="23">
        <f t="shared" si="10"/>
        <v>36</v>
      </c>
      <c r="J86" s="58" t="s">
        <v>91</v>
      </c>
    </row>
    <row r="87" spans="1:10" x14ac:dyDescent="0.2">
      <c r="A87" s="23">
        <v>69</v>
      </c>
      <c r="B87" s="18" t="s">
        <v>352</v>
      </c>
      <c r="C87" s="77">
        <v>0</v>
      </c>
      <c r="D87" s="4">
        <v>0</v>
      </c>
      <c r="E87" s="4">
        <v>0</v>
      </c>
      <c r="F87" s="4">
        <v>0</v>
      </c>
      <c r="G87" s="4">
        <v>0</v>
      </c>
      <c r="H87" s="23">
        <f t="shared" si="9"/>
        <v>0</v>
      </c>
      <c r="I87" s="23">
        <f t="shared" si="10"/>
        <v>0</v>
      </c>
      <c r="J87" s="57"/>
    </row>
    <row r="88" spans="1:10" ht="30" x14ac:dyDescent="0.2">
      <c r="A88" s="23">
        <v>70</v>
      </c>
      <c r="B88" s="18" t="s">
        <v>353</v>
      </c>
      <c r="C88" s="77">
        <v>19</v>
      </c>
      <c r="D88" s="4">
        <v>61</v>
      </c>
      <c r="E88" s="4">
        <v>0</v>
      </c>
      <c r="F88" s="4">
        <v>0</v>
      </c>
      <c r="G88" s="4">
        <v>5</v>
      </c>
      <c r="H88" s="23">
        <f t="shared" si="9"/>
        <v>5</v>
      </c>
      <c r="I88" s="23">
        <f t="shared" si="10"/>
        <v>56</v>
      </c>
      <c r="J88" s="59" t="s">
        <v>90</v>
      </c>
    </row>
    <row r="89" spans="1:10" x14ac:dyDescent="0.2">
      <c r="A89" s="23">
        <v>71</v>
      </c>
      <c r="B89" s="18" t="s">
        <v>354</v>
      </c>
      <c r="C89" s="77">
        <v>0</v>
      </c>
      <c r="D89" s="4">
        <v>19</v>
      </c>
      <c r="E89" s="4">
        <v>0</v>
      </c>
      <c r="F89" s="4">
        <v>0</v>
      </c>
      <c r="G89" s="4">
        <v>0</v>
      </c>
      <c r="H89" s="23">
        <f t="shared" si="9"/>
        <v>0</v>
      </c>
      <c r="I89" s="23">
        <f t="shared" si="10"/>
        <v>19</v>
      </c>
      <c r="J89" s="57"/>
    </row>
    <row r="90" spans="1:10" ht="30" x14ac:dyDescent="0.2">
      <c r="A90" s="23">
        <v>72</v>
      </c>
      <c r="B90" s="18" t="s">
        <v>355</v>
      </c>
      <c r="C90" s="77">
        <v>52</v>
      </c>
      <c r="D90" s="4">
        <v>68</v>
      </c>
      <c r="E90" s="4">
        <v>0</v>
      </c>
      <c r="F90" s="4">
        <v>0</v>
      </c>
      <c r="G90" s="76">
        <v>12</v>
      </c>
      <c r="H90" s="23">
        <f t="shared" si="9"/>
        <v>12</v>
      </c>
      <c r="I90" s="23">
        <f t="shared" si="10"/>
        <v>56</v>
      </c>
      <c r="J90" s="59" t="s">
        <v>89</v>
      </c>
    </row>
    <row r="91" spans="1:10" x14ac:dyDescent="0.2">
      <c r="A91" s="23">
        <v>73</v>
      </c>
      <c r="B91" s="18" t="s">
        <v>356</v>
      </c>
      <c r="C91" s="77">
        <v>4</v>
      </c>
      <c r="D91" s="4">
        <v>4</v>
      </c>
      <c r="E91" s="4">
        <v>0</v>
      </c>
      <c r="F91" s="4">
        <v>0</v>
      </c>
      <c r="G91" s="4">
        <v>0</v>
      </c>
      <c r="H91" s="23">
        <f t="shared" si="9"/>
        <v>0</v>
      </c>
      <c r="I91" s="23">
        <f t="shared" si="10"/>
        <v>4</v>
      </c>
      <c r="J91" s="57"/>
    </row>
    <row r="92" spans="1:10" x14ac:dyDescent="0.2">
      <c r="A92" s="23">
        <v>74</v>
      </c>
      <c r="B92" s="18" t="s">
        <v>357</v>
      </c>
      <c r="C92" s="77">
        <v>4</v>
      </c>
      <c r="D92" s="4">
        <v>4</v>
      </c>
      <c r="E92" s="4">
        <v>0</v>
      </c>
      <c r="F92" s="4">
        <v>0</v>
      </c>
      <c r="G92" s="4">
        <v>0</v>
      </c>
      <c r="H92" s="23">
        <f t="shared" si="9"/>
        <v>0</v>
      </c>
      <c r="I92" s="23">
        <f t="shared" si="10"/>
        <v>4</v>
      </c>
      <c r="J92" s="57"/>
    </row>
    <row r="93" spans="1:10" ht="30" x14ac:dyDescent="0.2">
      <c r="A93" s="23">
        <v>75</v>
      </c>
      <c r="B93" s="18" t="s">
        <v>358</v>
      </c>
      <c r="C93" s="77">
        <v>19</v>
      </c>
      <c r="D93" s="4">
        <v>75</v>
      </c>
      <c r="E93" s="4">
        <v>0</v>
      </c>
      <c r="F93" s="4">
        <v>0</v>
      </c>
      <c r="G93" s="4">
        <v>1</v>
      </c>
      <c r="H93" s="23">
        <f t="shared" si="9"/>
        <v>1</v>
      </c>
      <c r="I93" s="23">
        <f t="shared" si="10"/>
        <v>74</v>
      </c>
      <c r="J93" s="59" t="s">
        <v>88</v>
      </c>
    </row>
    <row r="94" spans="1:10" x14ac:dyDescent="0.2">
      <c r="A94" s="23">
        <v>76</v>
      </c>
      <c r="B94" s="18" t="s">
        <v>359</v>
      </c>
      <c r="C94" s="77">
        <v>5</v>
      </c>
      <c r="D94" s="4">
        <v>35</v>
      </c>
      <c r="E94" s="4">
        <v>0</v>
      </c>
      <c r="F94" s="4">
        <v>0</v>
      </c>
      <c r="G94" s="4">
        <v>0</v>
      </c>
      <c r="H94" s="23">
        <f t="shared" si="9"/>
        <v>0</v>
      </c>
      <c r="I94" s="23">
        <f t="shared" si="10"/>
        <v>35</v>
      </c>
      <c r="J94" s="57"/>
    </row>
    <row r="95" spans="1:10" x14ac:dyDescent="0.2">
      <c r="A95" s="23">
        <v>77</v>
      </c>
      <c r="B95" s="18" t="s">
        <v>360</v>
      </c>
      <c r="C95" s="77">
        <v>3</v>
      </c>
      <c r="D95" s="4">
        <v>3</v>
      </c>
      <c r="E95" s="4">
        <v>0</v>
      </c>
      <c r="F95" s="4">
        <v>0</v>
      </c>
      <c r="G95" s="4">
        <v>0</v>
      </c>
      <c r="H95" s="23">
        <f t="shared" si="9"/>
        <v>0</v>
      </c>
      <c r="I95" s="23">
        <f t="shared" si="10"/>
        <v>3</v>
      </c>
      <c r="J95" s="57"/>
    </row>
    <row r="96" spans="1:10" ht="24.75" customHeight="1" x14ac:dyDescent="0.2">
      <c r="A96" s="23">
        <v>78</v>
      </c>
      <c r="B96" s="18" t="s">
        <v>361</v>
      </c>
      <c r="C96" s="77">
        <v>1</v>
      </c>
      <c r="D96" s="4">
        <v>5</v>
      </c>
      <c r="E96" s="4">
        <v>0</v>
      </c>
      <c r="F96" s="4">
        <v>0</v>
      </c>
      <c r="G96" s="4">
        <v>0</v>
      </c>
      <c r="H96" s="23">
        <f t="shared" si="9"/>
        <v>0</v>
      </c>
      <c r="I96" s="23">
        <f t="shared" si="10"/>
        <v>5</v>
      </c>
      <c r="J96" s="57"/>
    </row>
    <row r="97" spans="1:10" ht="23.25" customHeight="1" x14ac:dyDescent="0.2">
      <c r="A97" s="23">
        <v>79</v>
      </c>
      <c r="B97" s="18" t="s">
        <v>362</v>
      </c>
      <c r="C97" s="77">
        <v>11</v>
      </c>
      <c r="D97" s="4">
        <v>14</v>
      </c>
      <c r="E97" s="4">
        <v>0</v>
      </c>
      <c r="F97" s="4">
        <v>0</v>
      </c>
      <c r="G97" s="4">
        <v>0</v>
      </c>
      <c r="H97" s="23">
        <f t="shared" si="9"/>
        <v>0</v>
      </c>
      <c r="I97" s="23">
        <f t="shared" si="10"/>
        <v>14</v>
      </c>
      <c r="J97" s="59" t="s">
        <v>87</v>
      </c>
    </row>
    <row r="98" spans="1:10" ht="37.5" customHeight="1" x14ac:dyDescent="0.2">
      <c r="A98" s="23">
        <v>80</v>
      </c>
      <c r="B98" s="18" t="s">
        <v>363</v>
      </c>
      <c r="C98" s="77">
        <v>39</v>
      </c>
      <c r="D98" s="4">
        <v>18</v>
      </c>
      <c r="E98" s="4">
        <v>0</v>
      </c>
      <c r="F98" s="4">
        <v>0</v>
      </c>
      <c r="G98" s="76">
        <v>2</v>
      </c>
      <c r="H98" s="23">
        <f t="shared" si="9"/>
        <v>2</v>
      </c>
      <c r="I98" s="23">
        <f t="shared" si="10"/>
        <v>16</v>
      </c>
      <c r="J98" s="59" t="s">
        <v>86</v>
      </c>
    </row>
    <row r="99" spans="1:10" ht="30" x14ac:dyDescent="0.2">
      <c r="A99" s="23">
        <v>81</v>
      </c>
      <c r="B99" s="18" t="s">
        <v>364</v>
      </c>
      <c r="C99" s="77">
        <v>36</v>
      </c>
      <c r="D99" s="4">
        <v>95</v>
      </c>
      <c r="E99" s="4">
        <v>0</v>
      </c>
      <c r="F99" s="4">
        <v>0</v>
      </c>
      <c r="G99" s="4">
        <v>3</v>
      </c>
      <c r="H99" s="23">
        <f t="shared" si="9"/>
        <v>3</v>
      </c>
      <c r="I99" s="23">
        <f t="shared" si="10"/>
        <v>92</v>
      </c>
      <c r="J99" s="59" t="s">
        <v>85</v>
      </c>
    </row>
    <row r="100" spans="1:10" x14ac:dyDescent="0.2">
      <c r="A100" s="23">
        <v>82</v>
      </c>
      <c r="B100" s="18" t="s">
        <v>365</v>
      </c>
      <c r="C100" s="77">
        <v>0</v>
      </c>
      <c r="D100" s="4">
        <v>0</v>
      </c>
      <c r="E100" s="4">
        <v>0</v>
      </c>
      <c r="F100" s="4">
        <v>0</v>
      </c>
      <c r="G100" s="4">
        <v>0</v>
      </c>
      <c r="H100" s="23">
        <f t="shared" si="9"/>
        <v>0</v>
      </c>
      <c r="I100" s="23">
        <f t="shared" si="10"/>
        <v>0</v>
      </c>
      <c r="J100" s="57"/>
    </row>
    <row r="101" spans="1:10" x14ac:dyDescent="0.2">
      <c r="A101" s="23">
        <v>83</v>
      </c>
      <c r="B101" s="18" t="s">
        <v>366</v>
      </c>
      <c r="C101" s="77">
        <v>9</v>
      </c>
      <c r="D101" s="4">
        <v>10</v>
      </c>
      <c r="E101" s="4">
        <v>0</v>
      </c>
      <c r="F101" s="4">
        <v>0</v>
      </c>
      <c r="G101" s="4">
        <v>0</v>
      </c>
      <c r="H101" s="23">
        <f t="shared" si="9"/>
        <v>0</v>
      </c>
      <c r="I101" s="23">
        <f t="shared" si="10"/>
        <v>10</v>
      </c>
      <c r="J101" s="57"/>
    </row>
    <row r="102" spans="1:10" x14ac:dyDescent="0.2">
      <c r="A102" s="23">
        <v>84</v>
      </c>
      <c r="B102" s="18" t="s">
        <v>367</v>
      </c>
      <c r="C102" s="77">
        <v>1</v>
      </c>
      <c r="D102" s="4">
        <v>1</v>
      </c>
      <c r="E102" s="4">
        <v>0</v>
      </c>
      <c r="F102" s="4">
        <v>0</v>
      </c>
      <c r="G102" s="4">
        <v>0</v>
      </c>
      <c r="H102" s="23">
        <f t="shared" si="9"/>
        <v>0</v>
      </c>
      <c r="I102" s="23">
        <f t="shared" si="10"/>
        <v>1</v>
      </c>
      <c r="J102" s="57"/>
    </row>
    <row r="103" spans="1:10" x14ac:dyDescent="0.2">
      <c r="A103" s="23">
        <v>85</v>
      </c>
      <c r="B103" s="18" t="s">
        <v>368</v>
      </c>
      <c r="C103" s="77">
        <v>0</v>
      </c>
      <c r="D103" s="4">
        <v>15</v>
      </c>
      <c r="E103" s="4">
        <v>0</v>
      </c>
      <c r="F103" s="4">
        <v>0</v>
      </c>
      <c r="G103" s="4">
        <v>0</v>
      </c>
      <c r="H103" s="23">
        <f t="shared" si="9"/>
        <v>0</v>
      </c>
      <c r="I103" s="23">
        <f t="shared" si="10"/>
        <v>15</v>
      </c>
      <c r="J103" s="57"/>
    </row>
    <row r="104" spans="1:10" x14ac:dyDescent="0.2">
      <c r="A104" s="23">
        <v>86</v>
      </c>
      <c r="B104" s="18" t="s">
        <v>369</v>
      </c>
      <c r="C104" s="77">
        <v>0</v>
      </c>
      <c r="D104" s="4">
        <v>0</v>
      </c>
      <c r="E104" s="4">
        <v>0</v>
      </c>
      <c r="F104" s="4">
        <v>0</v>
      </c>
      <c r="G104" s="4">
        <v>0</v>
      </c>
      <c r="H104" s="23">
        <f t="shared" si="9"/>
        <v>0</v>
      </c>
      <c r="I104" s="23">
        <f t="shared" si="10"/>
        <v>0</v>
      </c>
      <c r="J104" s="57"/>
    </row>
    <row r="105" spans="1:10" ht="28.5" customHeight="1" x14ac:dyDescent="0.2">
      <c r="A105" s="23">
        <v>87</v>
      </c>
      <c r="B105" s="18" t="s">
        <v>370</v>
      </c>
      <c r="C105" s="77">
        <v>50</v>
      </c>
      <c r="D105" s="4">
        <v>95</v>
      </c>
      <c r="E105" s="4">
        <v>0</v>
      </c>
      <c r="F105" s="4">
        <v>0</v>
      </c>
      <c r="G105" s="4">
        <v>0</v>
      </c>
      <c r="H105" s="23">
        <f t="shared" si="9"/>
        <v>0</v>
      </c>
      <c r="I105" s="23">
        <f t="shared" si="10"/>
        <v>95</v>
      </c>
      <c r="J105" s="57"/>
    </row>
    <row r="106" spans="1:10" ht="38.25" customHeight="1" x14ac:dyDescent="0.2">
      <c r="A106" s="23">
        <v>88</v>
      </c>
      <c r="B106" s="18" t="s">
        <v>371</v>
      </c>
      <c r="C106" s="77">
        <v>2</v>
      </c>
      <c r="D106" s="4">
        <v>4</v>
      </c>
      <c r="E106" s="4">
        <v>0</v>
      </c>
      <c r="F106" s="4">
        <v>0</v>
      </c>
      <c r="G106" s="4">
        <v>0</v>
      </c>
      <c r="H106" s="23">
        <f t="shared" si="9"/>
        <v>0</v>
      </c>
      <c r="I106" s="23">
        <f t="shared" si="10"/>
        <v>4</v>
      </c>
      <c r="J106" s="57"/>
    </row>
    <row r="107" spans="1:10" x14ac:dyDescent="0.2">
      <c r="A107" s="23">
        <v>89</v>
      </c>
      <c r="B107" s="18" t="s">
        <v>372</v>
      </c>
      <c r="C107" s="77">
        <v>0</v>
      </c>
      <c r="D107" s="4">
        <v>0</v>
      </c>
      <c r="E107" s="4">
        <v>0</v>
      </c>
      <c r="F107" s="4">
        <v>0</v>
      </c>
      <c r="G107" s="4">
        <v>0</v>
      </c>
      <c r="H107" s="23">
        <f t="shared" si="9"/>
        <v>0</v>
      </c>
      <c r="I107" s="23">
        <f t="shared" si="10"/>
        <v>0</v>
      </c>
      <c r="J107" s="57"/>
    </row>
    <row r="108" spans="1:10" x14ac:dyDescent="0.2">
      <c r="A108" s="23">
        <v>90</v>
      </c>
      <c r="B108" s="18" t="s">
        <v>373</v>
      </c>
      <c r="C108" s="77">
        <v>0</v>
      </c>
      <c r="D108" s="4">
        <v>0</v>
      </c>
      <c r="E108" s="4">
        <v>0</v>
      </c>
      <c r="F108" s="4">
        <v>0</v>
      </c>
      <c r="G108" s="4">
        <v>0</v>
      </c>
      <c r="H108" s="23">
        <f t="shared" si="9"/>
        <v>0</v>
      </c>
      <c r="I108" s="23">
        <f t="shared" si="10"/>
        <v>0</v>
      </c>
      <c r="J108" s="57"/>
    </row>
    <row r="109" spans="1:10" ht="28.5" customHeight="1" x14ac:dyDescent="0.2">
      <c r="A109" s="23">
        <v>91</v>
      </c>
      <c r="B109" s="18" t="s">
        <v>374</v>
      </c>
      <c r="C109" s="77">
        <v>9</v>
      </c>
      <c r="D109" s="4">
        <v>10</v>
      </c>
      <c r="E109" s="4">
        <v>0</v>
      </c>
      <c r="F109" s="4">
        <v>0</v>
      </c>
      <c r="G109" s="4">
        <v>1</v>
      </c>
      <c r="H109" s="23">
        <f t="shared" si="9"/>
        <v>1</v>
      </c>
      <c r="I109" s="23">
        <f t="shared" si="10"/>
        <v>9</v>
      </c>
      <c r="J109" s="60"/>
    </row>
    <row r="110" spans="1:10" ht="36.75" customHeight="1" x14ac:dyDescent="0.2">
      <c r="A110" s="23">
        <v>92</v>
      </c>
      <c r="B110" s="18" t="s">
        <v>375</v>
      </c>
      <c r="C110" s="77">
        <v>0</v>
      </c>
      <c r="D110" s="4">
        <v>0</v>
      </c>
      <c r="E110" s="4">
        <v>0</v>
      </c>
      <c r="F110" s="4">
        <v>0</v>
      </c>
      <c r="G110" s="4">
        <v>0</v>
      </c>
      <c r="H110" s="23">
        <f t="shared" si="9"/>
        <v>0</v>
      </c>
      <c r="I110" s="23">
        <f t="shared" si="10"/>
        <v>0</v>
      </c>
      <c r="J110" s="57"/>
    </row>
    <row r="111" spans="1:10" ht="15.75" x14ac:dyDescent="0.2">
      <c r="A111" s="23">
        <v>93</v>
      </c>
      <c r="B111" s="18" t="s">
        <v>376</v>
      </c>
      <c r="C111" s="77">
        <v>4</v>
      </c>
      <c r="D111" s="4">
        <v>43</v>
      </c>
      <c r="E111" s="4">
        <v>0</v>
      </c>
      <c r="F111" s="4">
        <v>0</v>
      </c>
      <c r="G111" s="76">
        <v>4</v>
      </c>
      <c r="H111" s="23">
        <f t="shared" si="9"/>
        <v>4</v>
      </c>
      <c r="I111" s="23">
        <f t="shared" si="10"/>
        <v>39</v>
      </c>
      <c r="J111" s="59" t="s">
        <v>84</v>
      </c>
    </row>
    <row r="112" spans="1:10" x14ac:dyDescent="0.2">
      <c r="A112" s="23">
        <v>94</v>
      </c>
      <c r="B112" s="18" t="s">
        <v>377</v>
      </c>
      <c r="C112" s="77">
        <v>0</v>
      </c>
      <c r="D112" s="4">
        <v>11</v>
      </c>
      <c r="E112" s="4">
        <v>0</v>
      </c>
      <c r="F112" s="4">
        <v>0</v>
      </c>
      <c r="G112" s="4">
        <v>0</v>
      </c>
      <c r="H112" s="23">
        <f t="shared" si="9"/>
        <v>0</v>
      </c>
      <c r="I112" s="23">
        <f t="shared" si="10"/>
        <v>11</v>
      </c>
      <c r="J112" s="57"/>
    </row>
    <row r="113" spans="1:10" ht="36" customHeight="1" x14ac:dyDescent="0.2">
      <c r="A113" s="23">
        <v>95</v>
      </c>
      <c r="B113" s="18" t="s">
        <v>378</v>
      </c>
      <c r="C113" s="77">
        <v>4</v>
      </c>
      <c r="D113" s="4">
        <v>2</v>
      </c>
      <c r="E113" s="4">
        <v>0</v>
      </c>
      <c r="F113" s="4">
        <v>0</v>
      </c>
      <c r="G113" s="4">
        <v>1</v>
      </c>
      <c r="H113" s="23">
        <f t="shared" ref="H113:H130" si="11">E113+F113+G113</f>
        <v>1</v>
      </c>
      <c r="I113" s="23">
        <f t="shared" ref="I113:I130" si="12">D113-H113</f>
        <v>1</v>
      </c>
      <c r="J113" s="33" t="s">
        <v>83</v>
      </c>
    </row>
    <row r="114" spans="1:10" x14ac:dyDescent="0.2">
      <c r="A114" s="23">
        <v>96</v>
      </c>
      <c r="B114" s="18" t="s">
        <v>379</v>
      </c>
      <c r="C114" s="77">
        <v>0</v>
      </c>
      <c r="D114" s="4">
        <v>2</v>
      </c>
      <c r="E114" s="4">
        <v>0</v>
      </c>
      <c r="F114" s="4">
        <v>0</v>
      </c>
      <c r="G114" s="4">
        <v>0</v>
      </c>
      <c r="H114" s="23">
        <f t="shared" si="11"/>
        <v>0</v>
      </c>
      <c r="I114" s="23">
        <f t="shared" si="12"/>
        <v>2</v>
      </c>
      <c r="J114" s="57"/>
    </row>
    <row r="115" spans="1:10" x14ac:dyDescent="0.2">
      <c r="A115" s="23">
        <v>97</v>
      </c>
      <c r="B115" s="18" t="s">
        <v>380</v>
      </c>
      <c r="C115" s="77">
        <v>0</v>
      </c>
      <c r="D115" s="4">
        <v>0</v>
      </c>
      <c r="E115" s="4">
        <v>0</v>
      </c>
      <c r="F115" s="4">
        <v>0</v>
      </c>
      <c r="G115" s="4">
        <v>0</v>
      </c>
      <c r="H115" s="23">
        <f t="shared" si="11"/>
        <v>0</v>
      </c>
      <c r="I115" s="23">
        <f t="shared" si="12"/>
        <v>0</v>
      </c>
      <c r="J115" s="57"/>
    </row>
    <row r="116" spans="1:10" x14ac:dyDescent="0.2">
      <c r="A116" s="23">
        <v>98</v>
      </c>
      <c r="B116" s="18" t="s">
        <v>381</v>
      </c>
      <c r="C116" s="77">
        <v>0</v>
      </c>
      <c r="D116" s="4">
        <v>0</v>
      </c>
      <c r="E116" s="4">
        <v>0</v>
      </c>
      <c r="F116" s="4">
        <v>0</v>
      </c>
      <c r="G116" s="4">
        <v>0</v>
      </c>
      <c r="H116" s="23">
        <f t="shared" si="11"/>
        <v>0</v>
      </c>
      <c r="I116" s="23">
        <f t="shared" si="12"/>
        <v>0</v>
      </c>
      <c r="J116" s="57"/>
    </row>
    <row r="117" spans="1:10" ht="15.75" x14ac:dyDescent="0.2">
      <c r="A117" s="23">
        <v>99</v>
      </c>
      <c r="B117" s="18" t="s">
        <v>382</v>
      </c>
      <c r="C117" s="77">
        <v>0</v>
      </c>
      <c r="D117" s="76">
        <v>6</v>
      </c>
      <c r="E117" s="4">
        <v>0</v>
      </c>
      <c r="F117" s="4">
        <v>0</v>
      </c>
      <c r="G117" s="4">
        <v>0</v>
      </c>
      <c r="H117" s="23">
        <f t="shared" si="11"/>
        <v>0</v>
      </c>
      <c r="I117" s="23">
        <f t="shared" si="12"/>
        <v>6</v>
      </c>
      <c r="J117" s="57"/>
    </row>
    <row r="118" spans="1:10" ht="30" x14ac:dyDescent="0.2">
      <c r="A118" s="23">
        <v>100</v>
      </c>
      <c r="B118" s="18" t="s">
        <v>383</v>
      </c>
      <c r="C118" s="77">
        <v>33</v>
      </c>
      <c r="D118" s="4">
        <v>81</v>
      </c>
      <c r="E118" s="4">
        <v>0</v>
      </c>
      <c r="F118" s="4">
        <v>0</v>
      </c>
      <c r="G118" s="76">
        <v>4</v>
      </c>
      <c r="H118" s="23">
        <f t="shared" si="11"/>
        <v>4</v>
      </c>
      <c r="I118" s="23">
        <f t="shared" si="12"/>
        <v>77</v>
      </c>
      <c r="J118" s="59" t="s">
        <v>82</v>
      </c>
    </row>
    <row r="119" spans="1:10" x14ac:dyDescent="0.2">
      <c r="A119" s="23">
        <v>101</v>
      </c>
      <c r="B119" s="18" t="s">
        <v>384</v>
      </c>
      <c r="C119" s="77">
        <v>0</v>
      </c>
      <c r="D119" s="4">
        <v>10</v>
      </c>
      <c r="E119" s="4">
        <v>0</v>
      </c>
      <c r="F119" s="4">
        <v>0</v>
      </c>
      <c r="G119" s="4">
        <v>0</v>
      </c>
      <c r="H119" s="23">
        <f t="shared" si="11"/>
        <v>0</v>
      </c>
      <c r="I119" s="23">
        <f t="shared" si="12"/>
        <v>10</v>
      </c>
      <c r="J119" s="57"/>
    </row>
    <row r="120" spans="1:10" x14ac:dyDescent="0.2">
      <c r="A120" s="23">
        <v>102</v>
      </c>
      <c r="B120" s="18" t="s">
        <v>385</v>
      </c>
      <c r="C120" s="77">
        <v>0</v>
      </c>
      <c r="D120" s="4">
        <v>0</v>
      </c>
      <c r="E120" s="4">
        <v>0</v>
      </c>
      <c r="F120" s="4">
        <v>0</v>
      </c>
      <c r="G120" s="4">
        <v>0</v>
      </c>
      <c r="H120" s="23">
        <f t="shared" si="11"/>
        <v>0</v>
      </c>
      <c r="I120" s="23">
        <f t="shared" si="12"/>
        <v>0</v>
      </c>
      <c r="J120" s="57"/>
    </row>
    <row r="121" spans="1:10" x14ac:dyDescent="0.2">
      <c r="A121" s="23">
        <v>103</v>
      </c>
      <c r="B121" s="18" t="s">
        <v>386</v>
      </c>
      <c r="C121" s="77">
        <v>3</v>
      </c>
      <c r="D121" s="4">
        <v>26</v>
      </c>
      <c r="E121" s="4">
        <v>0</v>
      </c>
      <c r="F121" s="4">
        <v>0</v>
      </c>
      <c r="G121" s="4">
        <v>0</v>
      </c>
      <c r="H121" s="23">
        <f t="shared" si="11"/>
        <v>0</v>
      </c>
      <c r="I121" s="23">
        <f t="shared" si="12"/>
        <v>26</v>
      </c>
      <c r="J121" s="59"/>
    </row>
    <row r="122" spans="1:10" ht="28.5" customHeight="1" x14ac:dyDescent="0.2">
      <c r="A122" s="23">
        <v>104</v>
      </c>
      <c r="B122" s="18" t="s">
        <v>387</v>
      </c>
      <c r="C122" s="77">
        <v>0</v>
      </c>
      <c r="D122" s="4">
        <v>3</v>
      </c>
      <c r="E122" s="4">
        <v>0</v>
      </c>
      <c r="F122" s="4">
        <v>0</v>
      </c>
      <c r="G122" s="4">
        <v>0</v>
      </c>
      <c r="H122" s="23">
        <f t="shared" si="11"/>
        <v>0</v>
      </c>
      <c r="I122" s="23">
        <f t="shared" si="12"/>
        <v>3</v>
      </c>
      <c r="J122" s="57"/>
    </row>
    <row r="123" spans="1:10" x14ac:dyDescent="0.2">
      <c r="A123" s="23">
        <v>105</v>
      </c>
      <c r="B123" s="18" t="s">
        <v>388</v>
      </c>
      <c r="C123" s="77">
        <v>0</v>
      </c>
      <c r="D123" s="4">
        <v>0</v>
      </c>
      <c r="E123" s="4">
        <v>0</v>
      </c>
      <c r="F123" s="4">
        <v>0</v>
      </c>
      <c r="G123" s="4">
        <v>0</v>
      </c>
      <c r="H123" s="23">
        <f t="shared" si="11"/>
        <v>0</v>
      </c>
      <c r="I123" s="23">
        <f t="shared" si="12"/>
        <v>0</v>
      </c>
      <c r="J123" s="57"/>
    </row>
    <row r="124" spans="1:10" x14ac:dyDescent="0.2">
      <c r="A124" s="23">
        <v>106</v>
      </c>
      <c r="B124" s="18" t="s">
        <v>389</v>
      </c>
      <c r="C124" s="77">
        <v>0</v>
      </c>
      <c r="D124" s="4">
        <v>0</v>
      </c>
      <c r="E124" s="4">
        <v>0</v>
      </c>
      <c r="F124" s="4">
        <v>0</v>
      </c>
      <c r="G124" s="4">
        <v>0</v>
      </c>
      <c r="H124" s="23">
        <f t="shared" si="11"/>
        <v>0</v>
      </c>
      <c r="I124" s="23">
        <f t="shared" si="12"/>
        <v>0</v>
      </c>
      <c r="J124" s="57"/>
    </row>
    <row r="125" spans="1:10" x14ac:dyDescent="0.2">
      <c r="A125" s="23">
        <v>107</v>
      </c>
      <c r="B125" s="18" t="s">
        <v>390</v>
      </c>
      <c r="C125" s="77">
        <v>0</v>
      </c>
      <c r="D125" s="4">
        <v>0</v>
      </c>
      <c r="E125" s="4">
        <v>0</v>
      </c>
      <c r="F125" s="4">
        <v>0</v>
      </c>
      <c r="G125" s="4">
        <v>0</v>
      </c>
      <c r="H125" s="23">
        <f t="shared" si="11"/>
        <v>0</v>
      </c>
      <c r="I125" s="23">
        <f t="shared" si="12"/>
        <v>0</v>
      </c>
      <c r="J125" s="57"/>
    </row>
    <row r="126" spans="1:10" x14ac:dyDescent="0.2">
      <c r="A126" s="23">
        <v>108</v>
      </c>
      <c r="B126" s="18" t="s">
        <v>391</v>
      </c>
      <c r="C126" s="77">
        <v>2</v>
      </c>
      <c r="D126" s="4">
        <v>2</v>
      </c>
      <c r="E126" s="4">
        <v>0</v>
      </c>
      <c r="F126" s="4">
        <v>0</v>
      </c>
      <c r="G126" s="4">
        <v>0</v>
      </c>
      <c r="H126" s="23">
        <f t="shared" si="11"/>
        <v>0</v>
      </c>
      <c r="I126" s="23">
        <f t="shared" si="12"/>
        <v>2</v>
      </c>
      <c r="J126" s="57"/>
    </row>
    <row r="127" spans="1:10" x14ac:dyDescent="0.2">
      <c r="A127" s="23">
        <v>109</v>
      </c>
      <c r="B127" s="18" t="s">
        <v>392</v>
      </c>
      <c r="C127" s="77">
        <v>0</v>
      </c>
      <c r="D127" s="4">
        <v>2</v>
      </c>
      <c r="E127" s="4">
        <v>0</v>
      </c>
      <c r="F127" s="4">
        <v>0</v>
      </c>
      <c r="G127" s="4">
        <v>0</v>
      </c>
      <c r="H127" s="23">
        <f t="shared" si="11"/>
        <v>0</v>
      </c>
      <c r="I127" s="23">
        <f t="shared" si="12"/>
        <v>2</v>
      </c>
      <c r="J127" s="57"/>
    </row>
    <row r="128" spans="1:10" x14ac:dyDescent="0.2">
      <c r="A128" s="23">
        <v>110</v>
      </c>
      <c r="B128" s="18" t="s">
        <v>393</v>
      </c>
      <c r="C128" s="4"/>
      <c r="D128" s="21">
        <v>61</v>
      </c>
      <c r="E128" s="4"/>
      <c r="F128" s="61"/>
      <c r="G128" s="61"/>
      <c r="H128" s="23">
        <f t="shared" si="11"/>
        <v>0</v>
      </c>
      <c r="I128" s="23">
        <f t="shared" si="12"/>
        <v>61</v>
      </c>
      <c r="J128" s="62"/>
    </row>
    <row r="129" spans="1:10" x14ac:dyDescent="0.2">
      <c r="A129" s="23">
        <v>111</v>
      </c>
      <c r="B129" s="18" t="s">
        <v>394</v>
      </c>
      <c r="C129" s="4"/>
      <c r="D129" s="21">
        <v>48</v>
      </c>
      <c r="E129" s="4"/>
      <c r="F129" s="61"/>
      <c r="G129" s="61"/>
      <c r="H129" s="23">
        <f t="shared" si="11"/>
        <v>0</v>
      </c>
      <c r="I129" s="23">
        <f t="shared" si="12"/>
        <v>48</v>
      </c>
      <c r="J129" s="62"/>
    </row>
    <row r="130" spans="1:10" x14ac:dyDescent="0.2">
      <c r="A130" s="23">
        <v>112</v>
      </c>
      <c r="B130" s="18" t="s">
        <v>395</v>
      </c>
      <c r="C130" s="4"/>
      <c r="D130" s="4">
        <v>1</v>
      </c>
      <c r="E130" s="4"/>
      <c r="F130" s="61"/>
      <c r="G130" s="61"/>
      <c r="H130" s="23">
        <f t="shared" si="11"/>
        <v>0</v>
      </c>
      <c r="I130" s="23">
        <f t="shared" si="12"/>
        <v>1</v>
      </c>
      <c r="J130" s="62"/>
    </row>
    <row r="131" spans="1:10" ht="15.75" x14ac:dyDescent="0.2">
      <c r="A131" s="43" t="s">
        <v>81</v>
      </c>
      <c r="B131" s="44"/>
      <c r="C131" s="44"/>
      <c r="D131" s="44"/>
      <c r="E131" s="44"/>
      <c r="F131" s="44"/>
      <c r="G131" s="44"/>
      <c r="H131" s="44"/>
      <c r="I131" s="44"/>
      <c r="J131" s="63"/>
    </row>
    <row r="132" spans="1:10" s="2" customFormat="1" ht="22.5" customHeight="1" x14ac:dyDescent="0.25">
      <c r="A132" s="21">
        <v>113</v>
      </c>
      <c r="B132" s="3" t="s">
        <v>396</v>
      </c>
      <c r="C132" s="15"/>
      <c r="D132" s="15"/>
      <c r="E132" s="15"/>
      <c r="F132" s="15"/>
      <c r="G132" s="15"/>
      <c r="H132" s="23"/>
      <c r="I132" s="23"/>
      <c r="J132" s="6"/>
    </row>
    <row r="133" spans="1:10" s="2" customFormat="1" ht="33" customHeight="1" x14ac:dyDescent="0.25">
      <c r="A133" s="21">
        <v>114</v>
      </c>
      <c r="B133" s="3" t="s">
        <v>397</v>
      </c>
      <c r="C133" s="15"/>
      <c r="D133" s="15"/>
      <c r="E133" s="15"/>
      <c r="F133" s="15"/>
      <c r="G133" s="15"/>
      <c r="H133" s="23"/>
      <c r="I133" s="23"/>
      <c r="J133" s="6"/>
    </row>
    <row r="134" spans="1:10" x14ac:dyDescent="0.2">
      <c r="A134" s="21">
        <v>115</v>
      </c>
      <c r="B134" s="3" t="s">
        <v>398</v>
      </c>
      <c r="C134" s="15"/>
      <c r="D134" s="15"/>
      <c r="E134" s="15"/>
      <c r="F134" s="15"/>
      <c r="G134" s="15"/>
      <c r="H134" s="23"/>
      <c r="I134" s="23"/>
      <c r="J134" s="17"/>
    </row>
    <row r="135" spans="1:10" ht="25.5" customHeight="1" x14ac:dyDescent="0.2">
      <c r="A135" s="21">
        <v>116</v>
      </c>
      <c r="B135" s="3" t="s">
        <v>399</v>
      </c>
      <c r="C135" s="15"/>
      <c r="D135" s="15"/>
      <c r="E135" s="15"/>
      <c r="F135" s="15"/>
      <c r="G135" s="15"/>
      <c r="H135" s="23"/>
      <c r="I135" s="23"/>
      <c r="J135" s="64"/>
    </row>
    <row r="136" spans="1:10" s="65" customFormat="1" ht="15.75" x14ac:dyDescent="0.25">
      <c r="A136" s="21">
        <v>117</v>
      </c>
      <c r="B136" s="3" t="s">
        <v>400</v>
      </c>
      <c r="C136" s="15"/>
      <c r="D136" s="15"/>
      <c r="E136" s="15"/>
      <c r="F136" s="15"/>
      <c r="G136" s="15"/>
      <c r="H136" s="23"/>
      <c r="I136" s="23"/>
      <c r="J136" s="3"/>
    </row>
    <row r="137" spans="1:10" x14ac:dyDescent="0.2">
      <c r="A137" s="21">
        <v>118</v>
      </c>
      <c r="B137" s="3" t="s">
        <v>401</v>
      </c>
      <c r="C137" s="15"/>
      <c r="D137" s="15"/>
      <c r="E137" s="15"/>
      <c r="F137" s="15"/>
      <c r="G137" s="15"/>
      <c r="H137" s="23"/>
      <c r="I137" s="23"/>
    </row>
    <row r="138" spans="1:10" x14ac:dyDescent="0.2">
      <c r="A138" s="21">
        <v>119</v>
      </c>
      <c r="B138" s="3" t="s">
        <v>402</v>
      </c>
      <c r="C138" s="15"/>
      <c r="D138" s="15"/>
      <c r="E138" s="15"/>
      <c r="F138" s="15"/>
      <c r="G138" s="15"/>
      <c r="H138" s="23"/>
      <c r="I138" s="23"/>
      <c r="J138" s="3"/>
    </row>
    <row r="139" spans="1:10" s="50" customFormat="1" ht="22.5" customHeight="1" x14ac:dyDescent="0.25">
      <c r="A139" s="21">
        <v>120</v>
      </c>
      <c r="B139" s="3" t="s">
        <v>403</v>
      </c>
      <c r="C139" s="15"/>
      <c r="D139" s="15"/>
      <c r="E139" s="15"/>
      <c r="F139" s="15"/>
      <c r="G139" s="15"/>
      <c r="H139" s="23"/>
      <c r="I139" s="23"/>
      <c r="J139" s="3"/>
    </row>
    <row r="140" spans="1:10" x14ac:dyDescent="0.2">
      <c r="A140" s="21">
        <v>121</v>
      </c>
      <c r="B140" s="3" t="s">
        <v>404</v>
      </c>
      <c r="C140" s="15"/>
      <c r="D140" s="15"/>
      <c r="E140" s="15"/>
      <c r="F140" s="15"/>
      <c r="G140" s="15"/>
      <c r="H140" s="23"/>
      <c r="I140" s="23"/>
      <c r="J140" s="15"/>
    </row>
    <row r="141" spans="1:10" ht="21" customHeight="1" x14ac:dyDescent="0.2">
      <c r="A141" s="21">
        <v>122</v>
      </c>
      <c r="B141" s="3" t="s">
        <v>405</v>
      </c>
      <c r="C141" s="15"/>
      <c r="D141" s="15"/>
      <c r="E141" s="15"/>
      <c r="F141" s="15"/>
      <c r="G141" s="15"/>
      <c r="H141" s="23"/>
      <c r="I141" s="23"/>
      <c r="J141" s="13"/>
    </row>
    <row r="142" spans="1:10" x14ac:dyDescent="0.2">
      <c r="A142" s="21">
        <v>123</v>
      </c>
      <c r="B142" s="3" t="s">
        <v>406</v>
      </c>
      <c r="C142" s="15"/>
      <c r="D142" s="15"/>
      <c r="E142" s="15"/>
      <c r="F142" s="15"/>
      <c r="G142" s="15"/>
      <c r="H142" s="23"/>
      <c r="I142" s="23"/>
      <c r="J142" s="13"/>
    </row>
    <row r="143" spans="1:10" ht="20.25" customHeight="1" x14ac:dyDescent="0.2">
      <c r="A143" s="21">
        <v>124</v>
      </c>
      <c r="B143" s="3" t="s">
        <v>407</v>
      </c>
      <c r="C143" s="15"/>
      <c r="D143" s="15"/>
      <c r="E143" s="15"/>
      <c r="F143" s="15"/>
      <c r="G143" s="15"/>
      <c r="H143" s="23"/>
      <c r="I143" s="23"/>
      <c r="J143" s="14"/>
    </row>
    <row r="144" spans="1:10" ht="33" customHeight="1" x14ac:dyDescent="0.2">
      <c r="A144" s="21">
        <v>125</v>
      </c>
      <c r="B144" s="3" t="s">
        <v>408</v>
      </c>
      <c r="C144" s="15"/>
      <c r="D144" s="15"/>
      <c r="E144" s="15"/>
      <c r="F144" s="15"/>
      <c r="G144" s="15"/>
      <c r="H144" s="23"/>
      <c r="I144" s="23"/>
      <c r="J144" s="6"/>
    </row>
    <row r="145" spans="1:10" x14ac:dyDescent="0.2">
      <c r="A145" s="21">
        <v>126</v>
      </c>
      <c r="B145" s="3" t="s">
        <v>409</v>
      </c>
      <c r="C145" s="15"/>
      <c r="D145" s="15"/>
      <c r="E145" s="15"/>
      <c r="F145" s="15"/>
      <c r="G145" s="15"/>
      <c r="H145" s="23"/>
      <c r="I145" s="23"/>
      <c r="J145" s="66"/>
    </row>
    <row r="146" spans="1:10" ht="19.5" customHeight="1" x14ac:dyDescent="0.2">
      <c r="A146" s="21">
        <v>127</v>
      </c>
      <c r="B146" s="3" t="s">
        <v>410</v>
      </c>
      <c r="C146" s="15"/>
      <c r="D146" s="15"/>
      <c r="E146" s="15"/>
      <c r="F146" s="15"/>
      <c r="G146" s="15"/>
      <c r="H146" s="23"/>
      <c r="I146" s="23"/>
      <c r="J146" s="14"/>
    </row>
    <row r="147" spans="1:10" ht="19.5" customHeight="1" x14ac:dyDescent="0.2">
      <c r="A147" s="21">
        <v>128</v>
      </c>
      <c r="B147" s="3" t="s">
        <v>411</v>
      </c>
      <c r="C147" s="15"/>
      <c r="D147" s="15"/>
      <c r="E147" s="15"/>
      <c r="F147" s="15"/>
      <c r="G147" s="15"/>
      <c r="H147" s="23"/>
      <c r="I147" s="23"/>
      <c r="J147" s="14"/>
    </row>
    <row r="148" spans="1:10" s="68" customFormat="1" ht="24" customHeight="1" x14ac:dyDescent="0.2">
      <c r="A148" s="21">
        <v>129</v>
      </c>
      <c r="B148" s="3" t="s">
        <v>412</v>
      </c>
      <c r="C148" s="15"/>
      <c r="D148" s="15"/>
      <c r="E148" s="15"/>
      <c r="F148" s="15"/>
      <c r="G148" s="15"/>
      <c r="H148" s="23"/>
      <c r="I148" s="23"/>
      <c r="J148" s="67"/>
    </row>
    <row r="149" spans="1:10" x14ac:dyDescent="0.2">
      <c r="A149" s="21">
        <v>130</v>
      </c>
      <c r="B149" s="3" t="s">
        <v>413</v>
      </c>
      <c r="C149" s="15"/>
      <c r="D149" s="15"/>
      <c r="E149" s="15"/>
      <c r="F149" s="15"/>
      <c r="G149" s="15"/>
      <c r="H149" s="23"/>
      <c r="I149" s="23"/>
      <c r="J149" s="6"/>
    </row>
    <row r="150" spans="1:10" x14ac:dyDescent="0.2">
      <c r="A150" s="21">
        <v>131</v>
      </c>
      <c r="B150" s="3" t="s">
        <v>414</v>
      </c>
      <c r="C150" s="15"/>
      <c r="D150" s="15"/>
      <c r="E150" s="15"/>
      <c r="F150" s="15"/>
      <c r="G150" s="15"/>
      <c r="H150" s="23"/>
      <c r="I150" s="23"/>
      <c r="J150" s="69"/>
    </row>
    <row r="151" spans="1:10" s="50" customFormat="1" ht="15.75" x14ac:dyDescent="0.25">
      <c r="A151" s="21">
        <v>132</v>
      </c>
      <c r="B151" s="3" t="s">
        <v>415</v>
      </c>
      <c r="C151" s="15"/>
      <c r="D151" s="15"/>
      <c r="E151" s="15"/>
      <c r="F151" s="15"/>
      <c r="G151" s="15"/>
      <c r="H151" s="23"/>
      <c r="I151" s="23"/>
      <c r="J151" s="69"/>
    </row>
    <row r="152" spans="1:10" ht="15.75" x14ac:dyDescent="0.2">
      <c r="A152" s="21">
        <v>133</v>
      </c>
      <c r="B152" s="3" t="s">
        <v>416</v>
      </c>
      <c r="C152" s="15"/>
      <c r="D152" s="15"/>
      <c r="E152" s="15"/>
      <c r="F152" s="15"/>
      <c r="G152" s="15"/>
      <c r="H152" s="23"/>
      <c r="I152" s="23"/>
      <c r="J152" s="20"/>
    </row>
    <row r="153" spans="1:10" ht="24.95" customHeight="1" x14ac:dyDescent="0.2">
      <c r="A153" s="21">
        <v>134</v>
      </c>
      <c r="B153" s="3" t="s">
        <v>417</v>
      </c>
      <c r="C153" s="15"/>
      <c r="D153" s="15"/>
      <c r="E153" s="15"/>
      <c r="F153" s="15"/>
      <c r="G153" s="15"/>
      <c r="H153" s="23"/>
      <c r="I153" s="23"/>
      <c r="J153" s="17"/>
    </row>
    <row r="154" spans="1:10" ht="25.5" customHeight="1" x14ac:dyDescent="0.2">
      <c r="A154" s="21">
        <v>135</v>
      </c>
      <c r="B154" s="3" t="s">
        <v>418</v>
      </c>
      <c r="C154" s="15"/>
      <c r="D154" s="15"/>
      <c r="E154" s="15"/>
      <c r="F154" s="15"/>
      <c r="G154" s="15"/>
      <c r="H154" s="23"/>
      <c r="I154" s="23"/>
      <c r="J154" s="7"/>
    </row>
    <row r="155" spans="1:10" x14ac:dyDescent="0.2">
      <c r="A155" s="21">
        <v>136</v>
      </c>
      <c r="B155" s="3" t="s">
        <v>419</v>
      </c>
      <c r="C155" s="15"/>
      <c r="D155" s="15"/>
      <c r="E155" s="15"/>
      <c r="F155" s="15"/>
      <c r="G155" s="15"/>
      <c r="H155" s="23"/>
      <c r="I155" s="23"/>
      <c r="J155" s="6"/>
    </row>
    <row r="156" spans="1:10" ht="15.75" x14ac:dyDescent="0.25">
      <c r="A156" s="21">
        <v>137</v>
      </c>
      <c r="B156" s="3" t="s">
        <v>420</v>
      </c>
      <c r="C156" s="15"/>
      <c r="D156" s="15"/>
      <c r="E156" s="15"/>
      <c r="F156" s="15"/>
      <c r="G156" s="15"/>
      <c r="H156" s="23"/>
      <c r="I156" s="23"/>
      <c r="J156" s="70"/>
    </row>
    <row r="157" spans="1:10" x14ac:dyDescent="0.2">
      <c r="A157" s="21">
        <v>138</v>
      </c>
      <c r="B157" s="3" t="s">
        <v>421</v>
      </c>
      <c r="C157" s="15"/>
      <c r="D157" s="15"/>
      <c r="E157" s="15"/>
      <c r="F157" s="15"/>
      <c r="G157" s="15"/>
      <c r="H157" s="23"/>
      <c r="I157" s="23"/>
      <c r="J157" s="15"/>
    </row>
    <row r="158" spans="1:10" x14ac:dyDescent="0.2">
      <c r="A158" s="21">
        <v>139</v>
      </c>
      <c r="B158" s="3" t="s">
        <v>422</v>
      </c>
      <c r="C158" s="15"/>
      <c r="D158" s="15"/>
      <c r="E158" s="15"/>
      <c r="F158" s="15"/>
      <c r="G158" s="15"/>
      <c r="H158" s="23"/>
      <c r="I158" s="23"/>
      <c r="J158" s="15"/>
    </row>
    <row r="159" spans="1:10" ht="15.75" x14ac:dyDescent="0.2">
      <c r="A159" s="21">
        <v>140</v>
      </c>
      <c r="B159" s="3" t="s">
        <v>423</v>
      </c>
      <c r="C159" s="15"/>
      <c r="D159" s="15"/>
      <c r="E159" s="15"/>
      <c r="F159" s="15"/>
      <c r="G159" s="15"/>
      <c r="H159" s="23"/>
      <c r="I159" s="23"/>
      <c r="J159" s="56"/>
    </row>
    <row r="160" spans="1:10" ht="20.25" customHeight="1" x14ac:dyDescent="0.2">
      <c r="A160" s="21">
        <v>141</v>
      </c>
      <c r="B160" s="3" t="s">
        <v>424</v>
      </c>
      <c r="C160" s="15"/>
      <c r="D160" s="15"/>
      <c r="E160" s="15"/>
      <c r="F160" s="15"/>
      <c r="G160" s="15"/>
      <c r="H160" s="23"/>
      <c r="I160" s="23"/>
      <c r="J160" s="6"/>
    </row>
    <row r="161" spans="1:10" ht="15.75" x14ac:dyDescent="0.2">
      <c r="A161" s="21">
        <v>142</v>
      </c>
      <c r="B161" s="3" t="s">
        <v>425</v>
      </c>
      <c r="C161" s="15"/>
      <c r="D161" s="15"/>
      <c r="E161" s="15"/>
      <c r="F161" s="15"/>
      <c r="G161" s="15"/>
      <c r="H161" s="23"/>
      <c r="I161" s="23"/>
      <c r="J161" s="19"/>
    </row>
    <row r="162" spans="1:10" x14ac:dyDescent="0.2">
      <c r="A162" s="21">
        <v>143</v>
      </c>
      <c r="B162" s="3" t="s">
        <v>426</v>
      </c>
      <c r="C162" s="15"/>
      <c r="D162" s="15"/>
      <c r="E162" s="15"/>
      <c r="F162" s="15"/>
      <c r="G162" s="15"/>
      <c r="H162" s="23"/>
      <c r="I162" s="23"/>
      <c r="J162" s="6"/>
    </row>
    <row r="163" spans="1:10" ht="15.75" x14ac:dyDescent="0.2">
      <c r="A163" s="21">
        <v>144</v>
      </c>
      <c r="B163" s="3" t="s">
        <v>427</v>
      </c>
      <c r="C163" s="15"/>
      <c r="D163" s="15"/>
      <c r="E163" s="15"/>
      <c r="F163" s="15"/>
      <c r="G163" s="15"/>
      <c r="H163" s="23"/>
      <c r="I163" s="23"/>
      <c r="J163" s="19"/>
    </row>
    <row r="164" spans="1:10" s="50" customFormat="1" ht="15.75" x14ac:dyDescent="0.25">
      <c r="A164" s="21">
        <v>145</v>
      </c>
      <c r="B164" s="3" t="s">
        <v>428</v>
      </c>
      <c r="C164" s="15"/>
      <c r="D164" s="15"/>
      <c r="E164" s="15"/>
      <c r="F164" s="15"/>
      <c r="G164" s="15"/>
      <c r="H164" s="23"/>
      <c r="I164" s="23"/>
      <c r="J164" s="71"/>
    </row>
    <row r="165" spans="1:10" x14ac:dyDescent="0.2">
      <c r="A165" s="21">
        <v>146</v>
      </c>
      <c r="B165" s="3" t="s">
        <v>429</v>
      </c>
      <c r="C165" s="15"/>
      <c r="D165" s="15"/>
      <c r="E165" s="15"/>
      <c r="F165" s="15"/>
      <c r="G165" s="15"/>
      <c r="H165" s="23"/>
      <c r="I165" s="23"/>
      <c r="J165" s="6"/>
    </row>
    <row r="166" spans="1:10" x14ac:dyDescent="0.2">
      <c r="A166" s="21">
        <v>147</v>
      </c>
      <c r="B166" s="3" t="s">
        <v>430</v>
      </c>
      <c r="C166" s="15"/>
      <c r="D166" s="15"/>
      <c r="E166" s="15"/>
      <c r="F166" s="15"/>
      <c r="G166" s="15"/>
      <c r="H166" s="23"/>
      <c r="I166" s="23"/>
      <c r="J166" s="6"/>
    </row>
    <row r="167" spans="1:10" x14ac:dyDescent="0.2">
      <c r="A167" s="21">
        <v>148</v>
      </c>
      <c r="B167" s="3" t="s">
        <v>431</v>
      </c>
      <c r="C167" s="15"/>
      <c r="D167" s="15"/>
      <c r="E167" s="15"/>
      <c r="F167" s="15"/>
      <c r="G167" s="15"/>
      <c r="H167" s="23"/>
      <c r="I167" s="23"/>
      <c r="J167" s="17"/>
    </row>
    <row r="168" spans="1:10" ht="15.75" x14ac:dyDescent="0.2">
      <c r="A168" s="21">
        <v>149</v>
      </c>
      <c r="B168" s="3" t="s">
        <v>432</v>
      </c>
      <c r="C168" s="15"/>
      <c r="D168" s="15"/>
      <c r="E168" s="15"/>
      <c r="F168" s="15"/>
      <c r="G168" s="15"/>
      <c r="H168" s="23"/>
      <c r="I168" s="23"/>
      <c r="J168" s="19"/>
    </row>
    <row r="169" spans="1:10" x14ac:dyDescent="0.2">
      <c r="A169" s="21">
        <v>150</v>
      </c>
      <c r="B169" s="3" t="s">
        <v>433</v>
      </c>
      <c r="C169" s="15"/>
      <c r="D169" s="15"/>
      <c r="E169" s="15"/>
      <c r="F169" s="15"/>
      <c r="G169" s="15"/>
      <c r="H169" s="23"/>
      <c r="I169" s="23"/>
      <c r="J169" s="15"/>
    </row>
    <row r="170" spans="1:10" x14ac:dyDescent="0.2">
      <c r="A170" s="21">
        <v>151</v>
      </c>
      <c r="B170" s="3" t="s">
        <v>434</v>
      </c>
      <c r="C170" s="15"/>
      <c r="D170" s="15"/>
      <c r="E170" s="15"/>
      <c r="F170" s="15"/>
      <c r="G170" s="15"/>
      <c r="H170" s="23"/>
      <c r="I170" s="23"/>
      <c r="J170" s="15"/>
    </row>
    <row r="171" spans="1:10" x14ac:dyDescent="0.2">
      <c r="A171" s="21">
        <v>152</v>
      </c>
      <c r="B171" s="3" t="s">
        <v>435</v>
      </c>
      <c r="C171" s="15"/>
      <c r="D171" s="15"/>
      <c r="E171" s="15"/>
      <c r="F171" s="15"/>
      <c r="G171" s="15"/>
      <c r="H171" s="23"/>
      <c r="I171" s="23"/>
      <c r="J171" s="15"/>
    </row>
    <row r="172" spans="1:10" s="50" customFormat="1" ht="15.75" x14ac:dyDescent="0.25">
      <c r="A172" s="21">
        <v>153</v>
      </c>
      <c r="B172" s="3" t="s">
        <v>436</v>
      </c>
      <c r="C172" s="15"/>
      <c r="D172" s="15"/>
      <c r="E172" s="15"/>
      <c r="F172" s="15"/>
      <c r="G172" s="15"/>
      <c r="H172" s="23"/>
      <c r="I172" s="23"/>
      <c r="J172" s="71"/>
    </row>
    <row r="173" spans="1:10" x14ac:dyDescent="0.2">
      <c r="A173" s="21">
        <v>154</v>
      </c>
      <c r="B173" s="3" t="s">
        <v>437</v>
      </c>
      <c r="C173" s="15"/>
      <c r="D173" s="15"/>
      <c r="E173" s="15"/>
      <c r="F173" s="15"/>
      <c r="G173" s="15"/>
      <c r="H173" s="23"/>
      <c r="I173" s="23"/>
      <c r="J173" s="6"/>
    </row>
    <row r="174" spans="1:10" x14ac:dyDescent="0.2">
      <c r="A174" s="21">
        <v>155</v>
      </c>
      <c r="B174" s="3" t="s">
        <v>438</v>
      </c>
      <c r="C174" s="15"/>
      <c r="D174" s="15"/>
      <c r="E174" s="15"/>
      <c r="F174" s="15"/>
      <c r="G174" s="15"/>
      <c r="H174" s="23"/>
      <c r="I174" s="23"/>
      <c r="J174" s="6"/>
    </row>
    <row r="175" spans="1:10" s="9" customFormat="1" ht="22.5" customHeight="1" x14ac:dyDescent="0.2">
      <c r="A175" s="21">
        <v>156</v>
      </c>
      <c r="B175" s="3" t="s">
        <v>439</v>
      </c>
      <c r="C175" s="15"/>
      <c r="D175" s="15"/>
      <c r="E175" s="15"/>
      <c r="F175" s="15"/>
      <c r="G175" s="15"/>
      <c r="H175" s="23"/>
      <c r="I175" s="23"/>
      <c r="J175" s="19"/>
    </row>
    <row r="176" spans="1:10" x14ac:dyDescent="0.2">
      <c r="A176" s="21">
        <v>157</v>
      </c>
      <c r="B176" s="3" t="s">
        <v>440</v>
      </c>
      <c r="C176" s="15"/>
      <c r="D176" s="15"/>
      <c r="E176" s="15"/>
      <c r="F176" s="15"/>
      <c r="G176" s="15"/>
      <c r="H176" s="23"/>
      <c r="I176" s="23"/>
      <c r="J176" s="15"/>
    </row>
    <row r="177" spans="1:10" s="72" customFormat="1" ht="15.75" x14ac:dyDescent="0.25">
      <c r="A177" s="21">
        <v>158</v>
      </c>
      <c r="B177" s="3" t="s">
        <v>441</v>
      </c>
      <c r="C177" s="15"/>
      <c r="D177" s="15"/>
      <c r="E177" s="15"/>
      <c r="F177" s="15"/>
      <c r="G177" s="15"/>
      <c r="H177" s="23"/>
      <c r="I177" s="23"/>
      <c r="J177" s="17"/>
    </row>
    <row r="178" spans="1:10" s="50" customFormat="1" ht="15.75" x14ac:dyDescent="0.25">
      <c r="A178" s="21">
        <v>159</v>
      </c>
      <c r="B178" s="3" t="s">
        <v>442</v>
      </c>
      <c r="C178" s="15"/>
      <c r="D178" s="15"/>
      <c r="E178" s="15"/>
      <c r="F178" s="15"/>
      <c r="G178" s="15"/>
      <c r="H178" s="23"/>
      <c r="I178" s="23"/>
      <c r="J178" s="71"/>
    </row>
    <row r="179" spans="1:10" s="50" customFormat="1" ht="15.75" x14ac:dyDescent="0.25">
      <c r="A179" s="21">
        <v>160</v>
      </c>
      <c r="B179" s="3" t="s">
        <v>443</v>
      </c>
      <c r="C179" s="15"/>
      <c r="D179" s="15"/>
      <c r="E179" s="15"/>
      <c r="F179" s="15"/>
      <c r="G179" s="15"/>
      <c r="H179" s="23"/>
      <c r="I179" s="23"/>
      <c r="J179" s="71"/>
    </row>
    <row r="180" spans="1:10" x14ac:dyDescent="0.2">
      <c r="A180" s="21">
        <v>161</v>
      </c>
      <c r="B180" s="3" t="s">
        <v>444</v>
      </c>
      <c r="C180" s="15"/>
      <c r="D180" s="15"/>
      <c r="E180" s="15"/>
      <c r="F180" s="15"/>
      <c r="G180" s="15"/>
      <c r="H180" s="23"/>
      <c r="I180" s="23"/>
      <c r="J180" s="15"/>
    </row>
    <row r="181" spans="1:10" x14ac:dyDescent="0.2">
      <c r="A181" s="21">
        <v>162</v>
      </c>
      <c r="B181" s="3" t="s">
        <v>445</v>
      </c>
      <c r="C181" s="15"/>
      <c r="D181" s="15"/>
      <c r="E181" s="15"/>
      <c r="F181" s="15"/>
      <c r="G181" s="15"/>
      <c r="H181" s="23"/>
      <c r="I181" s="23"/>
      <c r="J181" s="15"/>
    </row>
    <row r="182" spans="1:10" x14ac:dyDescent="0.2">
      <c r="A182" s="21">
        <v>163</v>
      </c>
      <c r="B182" s="3" t="s">
        <v>446</v>
      </c>
      <c r="C182" s="15"/>
      <c r="D182" s="15"/>
      <c r="E182" s="15"/>
      <c r="F182" s="15"/>
      <c r="G182" s="15"/>
      <c r="H182" s="23"/>
      <c r="I182" s="23"/>
      <c r="J182" s="15"/>
    </row>
    <row r="183" spans="1:10" x14ac:dyDescent="0.2">
      <c r="A183" s="21">
        <v>164</v>
      </c>
      <c r="B183" s="3" t="s">
        <v>447</v>
      </c>
      <c r="C183" s="15"/>
      <c r="D183" s="15"/>
      <c r="E183" s="15"/>
      <c r="F183" s="15"/>
      <c r="G183" s="15"/>
      <c r="H183" s="23"/>
      <c r="I183" s="23"/>
      <c r="J183" s="15"/>
    </row>
    <row r="184" spans="1:10" s="50" customFormat="1" ht="15.75" x14ac:dyDescent="0.25">
      <c r="A184" s="21">
        <v>165</v>
      </c>
      <c r="B184" s="3" t="s">
        <v>448</v>
      </c>
      <c r="C184" s="15"/>
      <c r="D184" s="15"/>
      <c r="E184" s="15"/>
      <c r="F184" s="15"/>
      <c r="G184" s="15"/>
      <c r="H184" s="23"/>
      <c r="I184" s="23"/>
      <c r="J184" s="71"/>
    </row>
    <row r="185" spans="1:10" s="50" customFormat="1" ht="30.75" customHeight="1" x14ac:dyDescent="0.25">
      <c r="A185" s="21">
        <v>166</v>
      </c>
      <c r="B185" s="3" t="s">
        <v>449</v>
      </c>
      <c r="C185" s="15"/>
      <c r="D185" s="15"/>
      <c r="E185" s="15"/>
      <c r="F185" s="15"/>
      <c r="G185" s="15"/>
      <c r="H185" s="23"/>
      <c r="I185" s="23"/>
      <c r="J185" s="3"/>
    </row>
    <row r="186" spans="1:10" s="50" customFormat="1" ht="15.75" x14ac:dyDescent="0.25">
      <c r="A186" s="21">
        <v>167</v>
      </c>
      <c r="B186" s="3" t="s">
        <v>450</v>
      </c>
      <c r="C186" s="15"/>
      <c r="D186" s="15"/>
      <c r="E186" s="15"/>
      <c r="F186" s="15"/>
      <c r="G186" s="15"/>
      <c r="H186" s="23"/>
      <c r="I186" s="23"/>
      <c r="J186" s="73"/>
    </row>
    <row r="187" spans="1:10" s="50" customFormat="1" ht="15.75" x14ac:dyDescent="0.25">
      <c r="A187" s="21">
        <v>168</v>
      </c>
      <c r="B187" s="3" t="s">
        <v>451</v>
      </c>
      <c r="C187" s="15"/>
      <c r="D187" s="15"/>
      <c r="E187" s="15"/>
      <c r="F187" s="15"/>
      <c r="G187" s="15"/>
      <c r="H187" s="23"/>
      <c r="I187" s="23"/>
      <c r="J187" s="71"/>
    </row>
    <row r="188" spans="1:10" s="50" customFormat="1" ht="15.75" x14ac:dyDescent="0.25">
      <c r="A188" s="21">
        <v>169</v>
      </c>
      <c r="B188" s="3" t="s">
        <v>452</v>
      </c>
      <c r="C188" s="15"/>
      <c r="D188" s="15"/>
      <c r="E188" s="15"/>
      <c r="F188" s="15"/>
      <c r="G188" s="15"/>
      <c r="H188" s="23"/>
      <c r="I188" s="23"/>
      <c r="J188" s="73"/>
    </row>
    <row r="189" spans="1:10" s="50" customFormat="1" ht="15.75" x14ac:dyDescent="0.25">
      <c r="A189" s="21">
        <v>170</v>
      </c>
      <c r="B189" s="3" t="s">
        <v>453</v>
      </c>
      <c r="C189" s="15"/>
      <c r="D189" s="15"/>
      <c r="E189" s="15"/>
      <c r="F189" s="15"/>
      <c r="G189" s="15"/>
      <c r="H189" s="23"/>
      <c r="I189" s="23"/>
      <c r="J189" s="71"/>
    </row>
    <row r="190" spans="1:10" s="50" customFormat="1" ht="15.75" x14ac:dyDescent="0.25">
      <c r="A190" s="21">
        <v>171</v>
      </c>
      <c r="B190" s="3" t="s">
        <v>454</v>
      </c>
      <c r="C190" s="15"/>
      <c r="D190" s="15"/>
      <c r="E190" s="15"/>
      <c r="F190" s="15"/>
      <c r="G190" s="15"/>
      <c r="H190" s="23"/>
      <c r="I190" s="23"/>
      <c r="J190" s="71"/>
    </row>
    <row r="191" spans="1:10" s="50" customFormat="1" ht="15.75" x14ac:dyDescent="0.25">
      <c r="A191" s="21">
        <v>172</v>
      </c>
      <c r="B191" s="3" t="s">
        <v>455</v>
      </c>
      <c r="C191" s="15"/>
      <c r="D191" s="15"/>
      <c r="E191" s="15"/>
      <c r="F191" s="15"/>
      <c r="G191" s="15"/>
      <c r="H191" s="23"/>
      <c r="I191" s="23"/>
      <c r="J191" s="73"/>
    </row>
    <row r="192" spans="1:10" s="50" customFormat="1" ht="15.75" x14ac:dyDescent="0.25">
      <c r="A192" s="21">
        <v>173</v>
      </c>
      <c r="B192" s="3" t="s">
        <v>456</v>
      </c>
      <c r="C192" s="15"/>
      <c r="D192" s="15"/>
      <c r="E192" s="15"/>
      <c r="F192" s="15"/>
      <c r="G192" s="15"/>
      <c r="H192" s="23"/>
      <c r="I192" s="23"/>
      <c r="J192" s="71"/>
    </row>
    <row r="193" spans="1:10" s="50" customFormat="1" ht="15.75" x14ac:dyDescent="0.25">
      <c r="A193" s="21">
        <v>174</v>
      </c>
      <c r="B193" s="3" t="s">
        <v>457</v>
      </c>
      <c r="C193" s="15"/>
      <c r="D193" s="15"/>
      <c r="E193" s="15"/>
      <c r="F193" s="15"/>
      <c r="G193" s="15"/>
      <c r="H193" s="23"/>
      <c r="I193" s="23"/>
      <c r="J193" s="71"/>
    </row>
    <row r="194" spans="1:10" s="50" customFormat="1" ht="15.75" x14ac:dyDescent="0.25">
      <c r="A194" s="21">
        <v>175</v>
      </c>
      <c r="B194" s="3" t="s">
        <v>458</v>
      </c>
      <c r="C194" s="15"/>
      <c r="D194" s="15"/>
      <c r="E194" s="15"/>
      <c r="F194" s="15"/>
      <c r="G194" s="15"/>
      <c r="H194" s="23"/>
      <c r="I194" s="23"/>
      <c r="J194" s="71"/>
    </row>
    <row r="195" spans="1:10" s="50" customFormat="1" ht="15.75" x14ac:dyDescent="0.25">
      <c r="A195" s="21">
        <v>176</v>
      </c>
      <c r="B195" s="3" t="s">
        <v>459</v>
      </c>
      <c r="C195" s="15"/>
      <c r="D195" s="15"/>
      <c r="E195" s="15"/>
      <c r="F195" s="15"/>
      <c r="G195" s="15"/>
      <c r="H195" s="23"/>
      <c r="I195" s="23"/>
      <c r="J195" s="73"/>
    </row>
    <row r="196" spans="1:10" s="50" customFormat="1" ht="15.75" x14ac:dyDescent="0.25">
      <c r="A196" s="21">
        <v>177</v>
      </c>
      <c r="B196" s="3" t="s">
        <v>460</v>
      </c>
      <c r="C196" s="15"/>
      <c r="D196" s="15"/>
      <c r="E196" s="15"/>
      <c r="F196" s="15"/>
      <c r="G196" s="15"/>
      <c r="H196" s="23"/>
      <c r="I196" s="23"/>
      <c r="J196" s="71"/>
    </row>
    <row r="197" spans="1:10" s="50" customFormat="1" ht="15.75" x14ac:dyDescent="0.25">
      <c r="A197" s="21">
        <v>178</v>
      </c>
      <c r="B197" s="3" t="s">
        <v>461</v>
      </c>
      <c r="C197" s="15"/>
      <c r="D197" s="15"/>
      <c r="E197" s="15"/>
      <c r="F197" s="15"/>
      <c r="G197" s="15"/>
      <c r="H197" s="23"/>
      <c r="I197" s="23"/>
      <c r="J197" s="71"/>
    </row>
    <row r="198" spans="1:10" s="50" customFormat="1" ht="15.75" x14ac:dyDescent="0.25">
      <c r="A198" s="21">
        <v>179</v>
      </c>
      <c r="B198" s="3" t="s">
        <v>462</v>
      </c>
      <c r="C198" s="15"/>
      <c r="D198" s="15"/>
      <c r="E198" s="15"/>
      <c r="F198" s="15"/>
      <c r="G198" s="15"/>
      <c r="H198" s="23"/>
      <c r="I198" s="23"/>
      <c r="J198" s="71"/>
    </row>
    <row r="199" spans="1:10" s="50" customFormat="1" ht="15.75" x14ac:dyDescent="0.25">
      <c r="A199" s="21">
        <v>180</v>
      </c>
      <c r="B199" s="3" t="s">
        <v>463</v>
      </c>
      <c r="C199" s="15"/>
      <c r="D199" s="15"/>
      <c r="E199" s="15"/>
      <c r="F199" s="15"/>
      <c r="G199" s="15"/>
      <c r="H199" s="23"/>
      <c r="I199" s="23"/>
      <c r="J199" s="71"/>
    </row>
    <row r="200" spans="1:10" s="50" customFormat="1" ht="15.75" x14ac:dyDescent="0.25">
      <c r="A200" s="21">
        <v>181</v>
      </c>
      <c r="B200" s="3" t="s">
        <v>464</v>
      </c>
      <c r="C200" s="15"/>
      <c r="D200" s="15"/>
      <c r="E200" s="15"/>
      <c r="F200" s="15"/>
      <c r="G200" s="15"/>
      <c r="H200" s="23"/>
      <c r="I200" s="23"/>
      <c r="J200" s="74"/>
    </row>
    <row r="201" spans="1:10" s="50" customFormat="1" ht="15.75" x14ac:dyDescent="0.25">
      <c r="A201" s="21">
        <v>182</v>
      </c>
      <c r="B201" s="3" t="s">
        <v>465</v>
      </c>
      <c r="C201" s="15"/>
      <c r="D201" s="15"/>
      <c r="E201" s="15"/>
      <c r="F201" s="15"/>
      <c r="G201" s="15"/>
      <c r="H201" s="23"/>
      <c r="I201" s="23"/>
      <c r="J201" s="73"/>
    </row>
    <row r="202" spans="1:10" s="50" customFormat="1" ht="15.75" x14ac:dyDescent="0.25">
      <c r="A202" s="21">
        <v>183</v>
      </c>
      <c r="B202" s="3" t="s">
        <v>466</v>
      </c>
      <c r="C202" s="15"/>
      <c r="D202" s="15"/>
      <c r="E202" s="15"/>
      <c r="F202" s="15"/>
      <c r="G202" s="15"/>
      <c r="H202" s="23"/>
      <c r="I202" s="23"/>
      <c r="J202" s="73"/>
    </row>
    <row r="203" spans="1:10" s="50" customFormat="1" ht="15.75" x14ac:dyDescent="0.25">
      <c r="A203" s="21">
        <v>184</v>
      </c>
      <c r="B203" s="3" t="s">
        <v>467</v>
      </c>
      <c r="C203" s="15"/>
      <c r="D203" s="15"/>
      <c r="E203" s="15"/>
      <c r="F203" s="15"/>
      <c r="G203" s="15"/>
      <c r="H203" s="23"/>
      <c r="I203" s="23"/>
      <c r="J203" s="73"/>
    </row>
    <row r="204" spans="1:10" s="50" customFormat="1" ht="15.75" x14ac:dyDescent="0.25">
      <c r="A204" s="21">
        <v>185</v>
      </c>
      <c r="B204" s="3" t="s">
        <v>468</v>
      </c>
      <c r="C204" s="15"/>
      <c r="D204" s="15"/>
      <c r="E204" s="15"/>
      <c r="F204" s="15"/>
      <c r="G204" s="15"/>
      <c r="H204" s="23"/>
      <c r="I204" s="23"/>
      <c r="J204" s="73"/>
    </row>
    <row r="205" spans="1:10" s="50" customFormat="1" ht="15.75" x14ac:dyDescent="0.25">
      <c r="A205" s="21">
        <v>186</v>
      </c>
      <c r="B205" s="3" t="s">
        <v>469</v>
      </c>
      <c r="C205" s="15"/>
      <c r="D205" s="15"/>
      <c r="E205" s="15"/>
      <c r="F205" s="15"/>
      <c r="G205" s="15"/>
      <c r="H205" s="23"/>
      <c r="I205" s="23"/>
      <c r="J205" s="73"/>
    </row>
    <row r="206" spans="1:10" s="50" customFormat="1" ht="15.75" x14ac:dyDescent="0.25">
      <c r="A206" s="21">
        <v>187</v>
      </c>
      <c r="B206" s="3" t="s">
        <v>470</v>
      </c>
      <c r="C206" s="15"/>
      <c r="D206" s="15"/>
      <c r="E206" s="15"/>
      <c r="F206" s="15"/>
      <c r="G206" s="15"/>
      <c r="H206" s="23"/>
      <c r="I206" s="23"/>
      <c r="J206" s="73"/>
    </row>
    <row r="207" spans="1:10" s="50" customFormat="1" ht="15.75" x14ac:dyDescent="0.25">
      <c r="A207" s="21">
        <v>188</v>
      </c>
      <c r="B207" s="3" t="s">
        <v>471</v>
      </c>
      <c r="C207" s="15"/>
      <c r="D207" s="15"/>
      <c r="E207" s="15"/>
      <c r="F207" s="15"/>
      <c r="G207" s="15"/>
      <c r="H207" s="23"/>
      <c r="I207" s="23"/>
      <c r="J207" s="73"/>
    </row>
    <row r="208" spans="1:10" s="50" customFormat="1" ht="15.75" x14ac:dyDescent="0.25">
      <c r="A208" s="21">
        <v>189</v>
      </c>
      <c r="B208" s="3" t="s">
        <v>472</v>
      </c>
      <c r="C208" s="15"/>
      <c r="D208" s="15"/>
      <c r="E208" s="15"/>
      <c r="F208" s="15"/>
      <c r="G208" s="15"/>
      <c r="H208" s="23"/>
      <c r="I208" s="23"/>
      <c r="J208" s="71"/>
    </row>
    <row r="209" spans="1:10" s="50" customFormat="1" ht="15.75" x14ac:dyDescent="0.25">
      <c r="A209" s="21">
        <v>190</v>
      </c>
      <c r="B209" s="3" t="s">
        <v>473</v>
      </c>
      <c r="C209" s="15"/>
      <c r="D209" s="15"/>
      <c r="E209" s="15"/>
      <c r="F209" s="15"/>
      <c r="G209" s="15"/>
      <c r="H209" s="23"/>
      <c r="I209" s="23"/>
      <c r="J209" s="71"/>
    </row>
    <row r="210" spans="1:10" s="50" customFormat="1" ht="15.75" x14ac:dyDescent="0.25">
      <c r="A210" s="21">
        <v>191</v>
      </c>
      <c r="B210" s="3" t="s">
        <v>474</v>
      </c>
      <c r="C210" s="15"/>
      <c r="D210" s="15"/>
      <c r="E210" s="15"/>
      <c r="F210" s="15"/>
      <c r="G210" s="15"/>
      <c r="H210" s="23"/>
      <c r="I210" s="23"/>
      <c r="J210" s="71"/>
    </row>
    <row r="211" spans="1:10" s="50" customFormat="1" ht="15.75" x14ac:dyDescent="0.25">
      <c r="A211" s="21">
        <v>192</v>
      </c>
      <c r="B211" s="3" t="s">
        <v>475</v>
      </c>
      <c r="C211" s="15"/>
      <c r="D211" s="15"/>
      <c r="E211" s="15"/>
      <c r="F211" s="15"/>
      <c r="G211" s="15"/>
      <c r="H211" s="23"/>
      <c r="I211" s="23"/>
      <c r="J211" s="71"/>
    </row>
    <row r="212" spans="1:10" s="50" customFormat="1" ht="15.75" x14ac:dyDescent="0.25">
      <c r="A212" s="21">
        <v>193</v>
      </c>
      <c r="B212" s="3" t="s">
        <v>476</v>
      </c>
      <c r="C212" s="15"/>
      <c r="D212" s="15"/>
      <c r="E212" s="15"/>
      <c r="F212" s="15"/>
      <c r="G212" s="15"/>
      <c r="H212" s="23"/>
      <c r="I212" s="23"/>
      <c r="J212" s="73"/>
    </row>
    <row r="213" spans="1:10" s="50" customFormat="1" ht="15.75" x14ac:dyDescent="0.25">
      <c r="A213" s="21">
        <v>194</v>
      </c>
      <c r="B213" s="3" t="s">
        <v>477</v>
      </c>
      <c r="C213" s="15"/>
      <c r="D213" s="15"/>
      <c r="E213" s="15"/>
      <c r="F213" s="15"/>
      <c r="G213" s="15"/>
      <c r="H213" s="23"/>
      <c r="I213" s="23"/>
      <c r="J213" s="71"/>
    </row>
    <row r="214" spans="1:10" s="50" customFormat="1" ht="15.75" x14ac:dyDescent="0.25">
      <c r="A214" s="21">
        <v>195</v>
      </c>
      <c r="B214" s="3" t="s">
        <v>478</v>
      </c>
      <c r="C214" s="15"/>
      <c r="D214" s="15"/>
      <c r="E214" s="15"/>
      <c r="F214" s="15"/>
      <c r="G214" s="15"/>
      <c r="H214" s="23"/>
      <c r="I214" s="23"/>
      <c r="J214" s="73"/>
    </row>
    <row r="215" spans="1:10" s="50" customFormat="1" ht="15.75" x14ac:dyDescent="0.25">
      <c r="A215" s="21">
        <v>196</v>
      </c>
      <c r="B215" s="3" t="s">
        <v>479</v>
      </c>
      <c r="C215" s="15"/>
      <c r="D215" s="15"/>
      <c r="E215" s="15"/>
      <c r="F215" s="15"/>
      <c r="G215" s="15"/>
      <c r="H215" s="23"/>
      <c r="I215" s="23"/>
      <c r="J215" s="71"/>
    </row>
    <row r="216" spans="1:10" s="50" customFormat="1" ht="15.75" x14ac:dyDescent="0.25">
      <c r="A216" s="21">
        <v>197</v>
      </c>
      <c r="B216" s="3" t="s">
        <v>480</v>
      </c>
      <c r="C216" s="15"/>
      <c r="D216" s="15"/>
      <c r="E216" s="15"/>
      <c r="F216" s="15"/>
      <c r="G216" s="15"/>
      <c r="H216" s="23"/>
      <c r="I216" s="23"/>
      <c r="J216" s="71"/>
    </row>
    <row r="217" spans="1:10" s="50" customFormat="1" ht="15.75" x14ac:dyDescent="0.25">
      <c r="A217" s="21">
        <v>198</v>
      </c>
      <c r="B217" s="3" t="s">
        <v>481</v>
      </c>
      <c r="C217" s="15"/>
      <c r="D217" s="15"/>
      <c r="E217" s="15"/>
      <c r="F217" s="15"/>
      <c r="G217" s="15"/>
      <c r="H217" s="23"/>
      <c r="I217" s="23"/>
      <c r="J217" s="71"/>
    </row>
    <row r="218" spans="1:10" s="50" customFormat="1" ht="15.75" x14ac:dyDescent="0.25">
      <c r="A218" s="21">
        <v>199</v>
      </c>
      <c r="B218" s="3" t="s">
        <v>482</v>
      </c>
      <c r="C218" s="15"/>
      <c r="D218" s="15"/>
      <c r="E218" s="15"/>
      <c r="F218" s="15"/>
      <c r="G218" s="15"/>
      <c r="H218" s="23"/>
      <c r="I218" s="23"/>
      <c r="J218" s="71"/>
    </row>
    <row r="219" spans="1:10" s="50" customFormat="1" ht="15.75" x14ac:dyDescent="0.25">
      <c r="A219" s="21">
        <v>200</v>
      </c>
      <c r="B219" s="3" t="s">
        <v>483</v>
      </c>
      <c r="C219" s="15"/>
      <c r="D219" s="15"/>
      <c r="E219" s="15"/>
      <c r="F219" s="15"/>
      <c r="G219" s="15"/>
      <c r="H219" s="23"/>
      <c r="I219" s="23"/>
      <c r="J219" s="71"/>
    </row>
    <row r="220" spans="1:10" s="50" customFormat="1" ht="15.75" x14ac:dyDescent="0.25">
      <c r="A220" s="21">
        <v>201</v>
      </c>
      <c r="B220" s="3" t="s">
        <v>484</v>
      </c>
      <c r="C220" s="15"/>
      <c r="D220" s="15"/>
      <c r="E220" s="15"/>
      <c r="F220" s="15"/>
      <c r="G220" s="15"/>
      <c r="H220" s="23"/>
      <c r="I220" s="23"/>
      <c r="J220" s="71"/>
    </row>
    <row r="221" spans="1:10" s="50" customFormat="1" ht="15.75" x14ac:dyDescent="0.25">
      <c r="A221" s="21">
        <v>202</v>
      </c>
      <c r="B221" s="3" t="s">
        <v>485</v>
      </c>
      <c r="C221" s="15"/>
      <c r="D221" s="15"/>
      <c r="E221" s="15"/>
      <c r="F221" s="15"/>
      <c r="G221" s="15"/>
      <c r="H221" s="23"/>
      <c r="I221" s="23"/>
      <c r="J221" s="71"/>
    </row>
    <row r="222" spans="1:10" s="50" customFormat="1" ht="15.75" x14ac:dyDescent="0.25">
      <c r="A222" s="21">
        <v>203</v>
      </c>
      <c r="B222" s="3" t="s">
        <v>486</v>
      </c>
      <c r="C222" s="15"/>
      <c r="D222" s="15"/>
      <c r="E222" s="15"/>
      <c r="F222" s="15"/>
      <c r="G222" s="15"/>
      <c r="H222" s="23"/>
      <c r="I222" s="23"/>
      <c r="J222" s="71"/>
    </row>
    <row r="223" spans="1:10" s="50" customFormat="1" ht="15.75" x14ac:dyDescent="0.25">
      <c r="A223" s="21">
        <v>204</v>
      </c>
      <c r="B223" s="3" t="s">
        <v>487</v>
      </c>
      <c r="C223" s="15"/>
      <c r="D223" s="15"/>
      <c r="E223" s="15"/>
      <c r="F223" s="15"/>
      <c r="G223" s="15"/>
      <c r="H223" s="23"/>
      <c r="I223" s="23"/>
      <c r="J223" s="71"/>
    </row>
    <row r="224" spans="1:10" s="50" customFormat="1" ht="15.75" x14ac:dyDescent="0.25">
      <c r="A224" s="21">
        <v>205</v>
      </c>
      <c r="B224" s="3" t="s">
        <v>488</v>
      </c>
      <c r="C224" s="15"/>
      <c r="D224" s="15"/>
      <c r="E224" s="15"/>
      <c r="F224" s="15"/>
      <c r="G224" s="15"/>
      <c r="H224" s="23"/>
      <c r="I224" s="23"/>
      <c r="J224" s="73"/>
    </row>
    <row r="225" spans="1:10" s="50" customFormat="1" ht="15.75" x14ac:dyDescent="0.25">
      <c r="A225" s="21">
        <v>206</v>
      </c>
      <c r="B225" s="3" t="s">
        <v>489</v>
      </c>
      <c r="C225" s="15"/>
      <c r="D225" s="15"/>
      <c r="E225" s="15"/>
      <c r="F225" s="15"/>
      <c r="G225" s="15"/>
      <c r="H225" s="23"/>
      <c r="I225" s="23"/>
      <c r="J225" s="73"/>
    </row>
    <row r="226" spans="1:10" s="50" customFormat="1" ht="15.75" x14ac:dyDescent="0.25">
      <c r="A226" s="21">
        <v>207</v>
      </c>
      <c r="B226" s="3" t="s">
        <v>490</v>
      </c>
      <c r="C226" s="15"/>
      <c r="D226" s="15"/>
      <c r="E226" s="15"/>
      <c r="F226" s="15"/>
      <c r="G226" s="15"/>
      <c r="H226" s="23"/>
      <c r="I226" s="23"/>
      <c r="J226" s="71"/>
    </row>
    <row r="227" spans="1:10" s="50" customFormat="1" ht="30" customHeight="1" x14ac:dyDescent="0.25">
      <c r="A227" s="21">
        <v>208</v>
      </c>
      <c r="B227" s="3" t="s">
        <v>491</v>
      </c>
      <c r="C227" s="15"/>
      <c r="D227" s="15"/>
      <c r="E227" s="15"/>
      <c r="F227" s="15"/>
      <c r="G227" s="15"/>
      <c r="H227" s="23"/>
      <c r="I227" s="23"/>
      <c r="J227" s="71"/>
    </row>
    <row r="228" spans="1:10" s="50" customFormat="1" ht="15.75" x14ac:dyDescent="0.25">
      <c r="A228" s="21">
        <v>209</v>
      </c>
      <c r="B228" s="3" t="s">
        <v>492</v>
      </c>
      <c r="C228" s="15"/>
      <c r="D228" s="15"/>
      <c r="E228" s="15"/>
      <c r="F228" s="15"/>
      <c r="G228" s="15"/>
      <c r="H228" s="23"/>
      <c r="I228" s="23"/>
      <c r="J228" s="71"/>
    </row>
    <row r="229" spans="1:10" s="50" customFormat="1" ht="15.75" x14ac:dyDescent="0.25">
      <c r="A229" s="21">
        <v>210</v>
      </c>
      <c r="B229" s="3" t="s">
        <v>493</v>
      </c>
      <c r="C229" s="15"/>
      <c r="D229" s="15"/>
      <c r="E229" s="15"/>
      <c r="F229" s="15"/>
      <c r="G229" s="15"/>
      <c r="H229" s="23"/>
      <c r="I229" s="23"/>
      <c r="J229" s="71"/>
    </row>
    <row r="230" spans="1:10" s="50" customFormat="1" ht="15.75" x14ac:dyDescent="0.25">
      <c r="A230" s="21">
        <v>211</v>
      </c>
      <c r="B230" s="3" t="s">
        <v>494</v>
      </c>
      <c r="C230" s="15"/>
      <c r="D230" s="15"/>
      <c r="E230" s="15"/>
      <c r="F230" s="15"/>
      <c r="G230" s="15"/>
      <c r="H230" s="23"/>
      <c r="I230" s="23"/>
      <c r="J230" s="71"/>
    </row>
    <row r="231" spans="1:10" s="50" customFormat="1" ht="15.75" x14ac:dyDescent="0.25">
      <c r="A231" s="21">
        <v>212</v>
      </c>
      <c r="B231" s="3" t="s">
        <v>495</v>
      </c>
      <c r="C231" s="15"/>
      <c r="D231" s="15"/>
      <c r="E231" s="15"/>
      <c r="F231" s="15"/>
      <c r="G231" s="15"/>
      <c r="H231" s="23"/>
      <c r="I231" s="23"/>
      <c r="J231" s="71"/>
    </row>
    <row r="232" spans="1:10" s="50" customFormat="1" ht="15.75" x14ac:dyDescent="0.25">
      <c r="A232" s="21">
        <v>213</v>
      </c>
      <c r="B232" s="3" t="s">
        <v>496</v>
      </c>
      <c r="C232" s="15"/>
      <c r="D232" s="15"/>
      <c r="E232" s="15"/>
      <c r="F232" s="15"/>
      <c r="G232" s="15"/>
      <c r="H232" s="23"/>
      <c r="I232" s="23"/>
      <c r="J232" s="73"/>
    </row>
    <row r="233" spans="1:10" s="50" customFormat="1" ht="15.75" x14ac:dyDescent="0.25">
      <c r="A233" s="21">
        <v>214</v>
      </c>
      <c r="B233" s="3" t="s">
        <v>497</v>
      </c>
      <c r="C233" s="15"/>
      <c r="D233" s="15"/>
      <c r="E233" s="15"/>
      <c r="F233" s="15"/>
      <c r="G233" s="15"/>
      <c r="H233" s="23"/>
      <c r="I233" s="23"/>
      <c r="J233" s="73"/>
    </row>
    <row r="234" spans="1:10" s="50" customFormat="1" ht="15.75" x14ac:dyDescent="0.25">
      <c r="A234" s="21">
        <v>215</v>
      </c>
      <c r="B234" s="3" t="s">
        <v>498</v>
      </c>
      <c r="C234" s="77">
        <v>0</v>
      </c>
      <c r="D234" s="4">
        <v>1</v>
      </c>
      <c r="E234" s="4">
        <v>0</v>
      </c>
      <c r="F234" s="4">
        <v>0</v>
      </c>
      <c r="G234" s="4">
        <v>0</v>
      </c>
      <c r="H234" s="23">
        <f>E234+F234+G234</f>
        <v>0</v>
      </c>
      <c r="I234" s="23">
        <f>D234-H234</f>
        <v>1</v>
      </c>
      <c r="J234" s="35" t="s">
        <v>501</v>
      </c>
    </row>
    <row r="235" spans="1:10" s="50" customFormat="1" ht="15.75" x14ac:dyDescent="0.25">
      <c r="A235" s="21">
        <v>216</v>
      </c>
      <c r="B235" s="3" t="s">
        <v>499</v>
      </c>
      <c r="C235" s="77">
        <v>0</v>
      </c>
      <c r="D235" s="4">
        <v>1</v>
      </c>
      <c r="E235" s="4">
        <v>0</v>
      </c>
      <c r="F235" s="4">
        <v>0</v>
      </c>
      <c r="G235" s="4">
        <v>0</v>
      </c>
      <c r="H235" s="23">
        <f>E235+F235+G235</f>
        <v>0</v>
      </c>
      <c r="I235" s="23">
        <f>D235-H235</f>
        <v>1</v>
      </c>
      <c r="J235" s="35" t="s">
        <v>501</v>
      </c>
    </row>
    <row r="236" spans="1:10" s="50" customFormat="1" ht="15.75" x14ac:dyDescent="0.25">
      <c r="A236" s="21">
        <v>217</v>
      </c>
      <c r="B236" s="3" t="s">
        <v>500</v>
      </c>
      <c r="C236" s="77">
        <v>0</v>
      </c>
      <c r="D236" s="4">
        <v>1</v>
      </c>
      <c r="E236" s="4">
        <v>0</v>
      </c>
      <c r="F236" s="4">
        <v>0</v>
      </c>
      <c r="G236" s="4">
        <v>0</v>
      </c>
      <c r="H236" s="23">
        <f>E236+F236+G236</f>
        <v>0</v>
      </c>
      <c r="I236" s="23">
        <f>D236-H236</f>
        <v>1</v>
      </c>
      <c r="J236" s="35" t="s">
        <v>501</v>
      </c>
    </row>
  </sheetData>
  <mergeCells count="3">
    <mergeCell ref="A2:J2"/>
    <mergeCell ref="E3:G3"/>
    <mergeCell ref="A6:J6"/>
  </mergeCells>
  <phoneticPr fontId="28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31"/>
  <sheetViews>
    <sheetView view="pageBreakPreview" zoomScale="80" zoomScaleNormal="75" zoomScaleSheetLayoutView="80" workbookViewId="0">
      <pane ySplit="5" topLeftCell="A6" activePane="bottomLeft" state="frozen"/>
      <selection pane="bottomLeft" activeCell="T22" sqref="T22"/>
    </sheetView>
  </sheetViews>
  <sheetFormatPr defaultColWidth="9.140625" defaultRowHeight="18" x14ac:dyDescent="0.25"/>
  <cols>
    <col min="1" max="1" width="6.28515625" style="182" customWidth="1"/>
    <col min="2" max="2" width="36.28515625" style="183" bestFit="1" customWidth="1"/>
    <col min="3" max="3" width="8.140625" style="116" customWidth="1"/>
    <col min="4" max="4" width="8.5703125" style="116" customWidth="1"/>
    <col min="5" max="5" width="7.140625" style="116" bestFit="1" customWidth="1"/>
    <col min="6" max="6" width="8.7109375" style="116" bestFit="1" customWidth="1"/>
    <col min="7" max="7" width="9" style="116" customWidth="1"/>
    <col min="8" max="8" width="5.85546875" style="116" customWidth="1"/>
    <col min="9" max="9" width="6.85546875" style="116" bestFit="1" customWidth="1"/>
    <col min="10" max="10" width="6.140625" style="116" bestFit="1" customWidth="1"/>
    <col min="11" max="11" width="6.42578125" style="116" bestFit="1" customWidth="1"/>
    <col min="12" max="12" width="8.140625" style="116" bestFit="1" customWidth="1"/>
    <col min="13" max="13" width="9.140625" style="116" customWidth="1"/>
    <col min="14" max="14" width="9.85546875" style="116" customWidth="1"/>
    <col min="15" max="15" width="8.85546875" style="184" customWidth="1"/>
    <col min="16" max="16" width="14.42578125" style="183" customWidth="1"/>
    <col min="17" max="17" width="13.42578125" style="183" bestFit="1" customWidth="1"/>
    <col min="18" max="18" width="13.28515625" style="183" customWidth="1"/>
    <col min="19" max="19" width="14.140625" style="183" customWidth="1"/>
    <col min="20" max="20" width="105.7109375" style="183" customWidth="1"/>
    <col min="21" max="16384" width="9.140625" style="183"/>
  </cols>
  <sheetData>
    <row r="1" spans="1:20" ht="42" customHeight="1" x14ac:dyDescent="0.25">
      <c r="A1" s="185" t="s">
        <v>15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 t="s">
        <v>143</v>
      </c>
    </row>
    <row r="2" spans="1:20" x14ac:dyDescent="0.25">
      <c r="A2" s="296" t="s">
        <v>116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</row>
    <row r="3" spans="1:20" x14ac:dyDescent="0.25">
      <c r="A3" s="116"/>
      <c r="B3" s="187"/>
      <c r="R3" s="297"/>
      <c r="S3" s="298"/>
      <c r="T3" s="298"/>
    </row>
    <row r="4" spans="1:20" s="188" customFormat="1" ht="15.75" customHeight="1" x14ac:dyDescent="0.25">
      <c r="A4" s="299" t="s">
        <v>0</v>
      </c>
      <c r="B4" s="300" t="s">
        <v>1</v>
      </c>
      <c r="C4" s="301" t="s">
        <v>2</v>
      </c>
      <c r="D4" s="302"/>
      <c r="E4" s="299" t="s">
        <v>3</v>
      </c>
      <c r="F4" s="299"/>
      <c r="G4" s="299"/>
      <c r="H4" s="299"/>
      <c r="I4" s="299"/>
      <c r="J4" s="299"/>
      <c r="K4" s="299"/>
      <c r="L4" s="299"/>
      <c r="M4" s="303" t="s">
        <v>4</v>
      </c>
      <c r="N4" s="303" t="s">
        <v>18</v>
      </c>
      <c r="O4" s="305" t="s">
        <v>40</v>
      </c>
      <c r="P4" s="300" t="s">
        <v>5</v>
      </c>
      <c r="Q4" s="300" t="s">
        <v>6</v>
      </c>
      <c r="R4" s="300" t="s">
        <v>7</v>
      </c>
      <c r="S4" s="300" t="s">
        <v>8</v>
      </c>
      <c r="T4" s="307" t="s">
        <v>9</v>
      </c>
    </row>
    <row r="5" spans="1:20" s="188" customFormat="1" ht="36" x14ac:dyDescent="0.25">
      <c r="A5" s="299"/>
      <c r="B5" s="300"/>
      <c r="C5" s="189" t="s">
        <v>10</v>
      </c>
      <c r="D5" s="189" t="s">
        <v>11</v>
      </c>
      <c r="E5" s="190" t="s">
        <v>45</v>
      </c>
      <c r="F5" s="190" t="s">
        <v>12</v>
      </c>
      <c r="G5" s="190" t="s">
        <v>13</v>
      </c>
      <c r="H5" s="190" t="s">
        <v>19</v>
      </c>
      <c r="I5" s="190" t="s">
        <v>46</v>
      </c>
      <c r="J5" s="190" t="s">
        <v>20</v>
      </c>
      <c r="K5" s="190" t="s">
        <v>21</v>
      </c>
      <c r="L5" s="190" t="s">
        <v>14</v>
      </c>
      <c r="M5" s="304"/>
      <c r="N5" s="304"/>
      <c r="O5" s="306"/>
      <c r="P5" s="300"/>
      <c r="Q5" s="300"/>
      <c r="R5" s="300"/>
      <c r="S5" s="300"/>
      <c r="T5" s="308"/>
    </row>
    <row r="6" spans="1:20" s="188" customFormat="1" x14ac:dyDescent="0.25">
      <c r="A6" s="190" t="s">
        <v>22</v>
      </c>
      <c r="B6" s="111" t="s">
        <v>23</v>
      </c>
      <c r="C6" s="190" t="s">
        <v>24</v>
      </c>
      <c r="D6" s="190" t="s">
        <v>25</v>
      </c>
      <c r="E6" s="190" t="s">
        <v>26</v>
      </c>
      <c r="F6" s="190" t="s">
        <v>27</v>
      </c>
      <c r="G6" s="190" t="s">
        <v>28</v>
      </c>
      <c r="H6" s="190" t="s">
        <v>29</v>
      </c>
      <c r="I6" s="190" t="s">
        <v>30</v>
      </c>
      <c r="J6" s="190" t="s">
        <v>31</v>
      </c>
      <c r="K6" s="190" t="s">
        <v>32</v>
      </c>
      <c r="L6" s="190" t="s">
        <v>33</v>
      </c>
      <c r="M6" s="190" t="s">
        <v>34</v>
      </c>
      <c r="N6" s="190" t="s">
        <v>35</v>
      </c>
      <c r="O6" s="190" t="s">
        <v>36</v>
      </c>
      <c r="P6" s="190" t="s">
        <v>37</v>
      </c>
      <c r="Q6" s="190" t="s">
        <v>38</v>
      </c>
      <c r="R6" s="190" t="s">
        <v>39</v>
      </c>
      <c r="S6" s="190" t="s">
        <v>47</v>
      </c>
      <c r="T6" s="190" t="s">
        <v>48</v>
      </c>
    </row>
    <row r="7" spans="1:20" ht="241.5" customHeight="1" x14ac:dyDescent="0.25">
      <c r="A7" s="12">
        <v>1</v>
      </c>
      <c r="B7" s="115" t="s">
        <v>505</v>
      </c>
      <c r="C7" s="12">
        <v>108</v>
      </c>
      <c r="D7" s="12">
        <v>109</v>
      </c>
      <c r="E7" s="12">
        <v>0</v>
      </c>
      <c r="F7" s="12">
        <v>2</v>
      </c>
      <c r="G7" s="12">
        <v>0</v>
      </c>
      <c r="H7" s="112">
        <v>13</v>
      </c>
      <c r="I7" s="12">
        <v>0</v>
      </c>
      <c r="J7" s="12">
        <v>0</v>
      </c>
      <c r="K7" s="12">
        <v>0</v>
      </c>
      <c r="L7" s="12">
        <v>0</v>
      </c>
      <c r="M7" s="12">
        <v>16</v>
      </c>
      <c r="N7" s="12">
        <v>0</v>
      </c>
      <c r="O7" s="191">
        <v>93</v>
      </c>
      <c r="P7" s="192">
        <v>0.10091743119266056</v>
      </c>
      <c r="Q7" s="192">
        <v>0</v>
      </c>
      <c r="R7" s="192">
        <v>0.8990825688073395</v>
      </c>
      <c r="S7" s="192">
        <v>0.8990825688073395</v>
      </c>
      <c r="T7" s="193" t="s">
        <v>525</v>
      </c>
    </row>
    <row r="8" spans="1:20" s="114" customFormat="1" ht="49.5" customHeight="1" x14ac:dyDescent="0.25">
      <c r="A8" s="12">
        <v>2</v>
      </c>
      <c r="B8" s="115" t="s">
        <v>506</v>
      </c>
      <c r="C8" s="12">
        <v>72</v>
      </c>
      <c r="D8" s="12">
        <v>72</v>
      </c>
      <c r="E8" s="12">
        <v>0</v>
      </c>
      <c r="F8" s="12">
        <v>0</v>
      </c>
      <c r="G8" s="12">
        <v>0</v>
      </c>
      <c r="H8" s="112">
        <v>4</v>
      </c>
      <c r="I8" s="12">
        <v>0</v>
      </c>
      <c r="J8" s="12">
        <v>0</v>
      </c>
      <c r="K8" s="12">
        <v>0</v>
      </c>
      <c r="L8" s="12">
        <v>0</v>
      </c>
      <c r="M8" s="12">
        <v>4</v>
      </c>
      <c r="N8" s="12">
        <v>0</v>
      </c>
      <c r="O8" s="191">
        <v>70</v>
      </c>
      <c r="P8" s="192">
        <v>2.7777777777777776E-2</v>
      </c>
      <c r="Q8" s="192">
        <v>0</v>
      </c>
      <c r="R8" s="192">
        <v>0.97222222222222221</v>
      </c>
      <c r="S8" s="192">
        <v>0.97222222222222221</v>
      </c>
      <c r="T8" s="27" t="s">
        <v>144</v>
      </c>
    </row>
    <row r="9" spans="1:20" ht="44.25" customHeight="1" x14ac:dyDescent="0.25">
      <c r="A9" s="12">
        <v>3</v>
      </c>
      <c r="B9" s="115" t="s">
        <v>507</v>
      </c>
      <c r="C9" s="12">
        <v>54</v>
      </c>
      <c r="D9" s="12">
        <v>55</v>
      </c>
      <c r="E9" s="12">
        <v>1</v>
      </c>
      <c r="F9" s="12">
        <v>0</v>
      </c>
      <c r="G9" s="12">
        <v>0</v>
      </c>
      <c r="H9" s="12">
        <v>4</v>
      </c>
      <c r="I9" s="12">
        <v>0</v>
      </c>
      <c r="J9" s="12">
        <v>0</v>
      </c>
      <c r="K9" s="12">
        <v>0</v>
      </c>
      <c r="L9" s="12">
        <v>0</v>
      </c>
      <c r="M9" s="12">
        <v>5</v>
      </c>
      <c r="N9" s="12">
        <v>0</v>
      </c>
      <c r="O9" s="191">
        <v>50</v>
      </c>
      <c r="P9" s="192">
        <v>3.6363636363636362E-2</v>
      </c>
      <c r="Q9" s="192">
        <v>1.8181818181818181E-2</v>
      </c>
      <c r="R9" s="192">
        <v>0.94545454545454544</v>
      </c>
      <c r="S9" s="192">
        <v>0.94545454545454544</v>
      </c>
      <c r="T9" s="194" t="s">
        <v>146</v>
      </c>
    </row>
    <row r="10" spans="1:20" x14ac:dyDescent="0.25">
      <c r="A10" s="12">
        <v>4</v>
      </c>
      <c r="B10" s="115" t="s">
        <v>508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91">
        <v>0</v>
      </c>
      <c r="P10" s="192" t="s">
        <v>41</v>
      </c>
      <c r="Q10" s="192" t="s">
        <v>41</v>
      </c>
      <c r="R10" s="192" t="s">
        <v>41</v>
      </c>
      <c r="S10" s="192" t="s">
        <v>41</v>
      </c>
      <c r="T10" s="195"/>
    </row>
    <row r="11" spans="1:20" x14ac:dyDescent="0.25">
      <c r="A11" s="12">
        <v>5</v>
      </c>
      <c r="B11" s="115" t="s">
        <v>509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91">
        <v>0</v>
      </c>
      <c r="P11" s="192" t="s">
        <v>41</v>
      </c>
      <c r="Q11" s="192" t="s">
        <v>41</v>
      </c>
      <c r="R11" s="192" t="s">
        <v>41</v>
      </c>
      <c r="S11" s="192" t="s">
        <v>41</v>
      </c>
      <c r="T11" s="27"/>
    </row>
    <row r="12" spans="1:20" x14ac:dyDescent="0.25">
      <c r="A12" s="12">
        <v>6</v>
      </c>
      <c r="B12" s="115" t="s">
        <v>510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91">
        <v>0</v>
      </c>
      <c r="P12" s="192" t="s">
        <v>41</v>
      </c>
      <c r="Q12" s="192" t="s">
        <v>41</v>
      </c>
      <c r="R12" s="192" t="s">
        <v>41</v>
      </c>
      <c r="S12" s="192" t="s">
        <v>41</v>
      </c>
      <c r="T12" s="27"/>
    </row>
    <row r="13" spans="1:20" x14ac:dyDescent="0.25">
      <c r="A13" s="12">
        <v>7</v>
      </c>
      <c r="B13" s="115" t="s">
        <v>511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91">
        <v>0</v>
      </c>
      <c r="P13" s="192" t="s">
        <v>41</v>
      </c>
      <c r="Q13" s="192" t="s">
        <v>41</v>
      </c>
      <c r="R13" s="192" t="s">
        <v>41</v>
      </c>
      <c r="S13" s="192" t="s">
        <v>41</v>
      </c>
    </row>
    <row r="14" spans="1:20" x14ac:dyDescent="0.25">
      <c r="A14" s="12">
        <v>8</v>
      </c>
      <c r="B14" s="115" t="s">
        <v>512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91">
        <v>0</v>
      </c>
      <c r="P14" s="192" t="s">
        <v>41</v>
      </c>
      <c r="Q14" s="192" t="s">
        <v>41</v>
      </c>
      <c r="R14" s="192" t="s">
        <v>41</v>
      </c>
      <c r="S14" s="192" t="s">
        <v>41</v>
      </c>
      <c r="T14" s="22"/>
    </row>
    <row r="15" spans="1:20" x14ac:dyDescent="0.25">
      <c r="A15" s="12">
        <v>9</v>
      </c>
      <c r="B15" s="115" t="s">
        <v>513</v>
      </c>
      <c r="C15" s="12">
        <v>12</v>
      </c>
      <c r="D15" s="12">
        <v>29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0</v>
      </c>
      <c r="O15" s="191">
        <v>28</v>
      </c>
      <c r="P15" s="192">
        <v>3.4482758620689655E-2</v>
      </c>
      <c r="Q15" s="192">
        <v>0</v>
      </c>
      <c r="R15" s="192">
        <v>0.96551724137931039</v>
      </c>
      <c r="S15" s="192">
        <v>0.96551724137931039</v>
      </c>
      <c r="T15" s="22" t="s">
        <v>117</v>
      </c>
    </row>
    <row r="16" spans="1:20" x14ac:dyDescent="0.25">
      <c r="A16" s="12">
        <v>10</v>
      </c>
      <c r="B16" s="115" t="s">
        <v>514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91">
        <v>0</v>
      </c>
      <c r="P16" s="192" t="s">
        <v>41</v>
      </c>
      <c r="Q16" s="192" t="s">
        <v>41</v>
      </c>
      <c r="R16" s="192" t="s">
        <v>41</v>
      </c>
      <c r="S16" s="192" t="s">
        <v>41</v>
      </c>
      <c r="T16" s="22"/>
    </row>
    <row r="17" spans="1:20" x14ac:dyDescent="0.25">
      <c r="A17" s="12">
        <v>11</v>
      </c>
      <c r="B17" s="115" t="s">
        <v>515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91">
        <v>0</v>
      </c>
      <c r="P17" s="192" t="s">
        <v>41</v>
      </c>
      <c r="Q17" s="192" t="s">
        <v>41</v>
      </c>
      <c r="R17" s="192" t="s">
        <v>41</v>
      </c>
      <c r="S17" s="192" t="s">
        <v>41</v>
      </c>
      <c r="T17" s="22"/>
    </row>
    <row r="18" spans="1:20" ht="19.5" customHeight="1" x14ac:dyDescent="0.25">
      <c r="A18" s="12">
        <v>12</v>
      </c>
      <c r="B18" s="115" t="s">
        <v>516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91">
        <v>0</v>
      </c>
      <c r="P18" s="192" t="s">
        <v>41</v>
      </c>
      <c r="Q18" s="192" t="s">
        <v>41</v>
      </c>
      <c r="R18" s="192" t="s">
        <v>41</v>
      </c>
      <c r="S18" s="192" t="s">
        <v>41</v>
      </c>
      <c r="T18" s="196"/>
    </row>
    <row r="19" spans="1:20" x14ac:dyDescent="0.25">
      <c r="A19" s="12">
        <v>13</v>
      </c>
      <c r="B19" s="115" t="s">
        <v>517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91">
        <v>0</v>
      </c>
      <c r="P19" s="192" t="s">
        <v>41</v>
      </c>
      <c r="Q19" s="192" t="s">
        <v>41</v>
      </c>
      <c r="R19" s="192" t="s">
        <v>41</v>
      </c>
      <c r="S19" s="192" t="s">
        <v>41</v>
      </c>
      <c r="T19" s="22"/>
    </row>
    <row r="20" spans="1:20" x14ac:dyDescent="0.25">
      <c r="A20" s="12">
        <v>14</v>
      </c>
      <c r="B20" s="115" t="s">
        <v>518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91">
        <v>0</v>
      </c>
      <c r="P20" s="192" t="s">
        <v>41</v>
      </c>
      <c r="Q20" s="192" t="s">
        <v>41</v>
      </c>
      <c r="R20" s="192" t="s">
        <v>41</v>
      </c>
      <c r="S20" s="192" t="s">
        <v>41</v>
      </c>
      <c r="T20" s="22"/>
    </row>
    <row r="21" spans="1:20" ht="93.75" customHeight="1" x14ac:dyDescent="0.25">
      <c r="A21" s="12">
        <v>15</v>
      </c>
      <c r="B21" s="115" t="s">
        <v>519</v>
      </c>
      <c r="C21" s="12">
        <v>63</v>
      </c>
      <c r="D21" s="12">
        <v>65</v>
      </c>
      <c r="E21" s="12">
        <v>0</v>
      </c>
      <c r="F21" s="12">
        <v>5</v>
      </c>
      <c r="G21" s="12">
        <v>0</v>
      </c>
      <c r="H21" s="12">
        <v>2</v>
      </c>
      <c r="I21" s="12">
        <v>0</v>
      </c>
      <c r="J21" s="12">
        <v>0</v>
      </c>
      <c r="K21" s="12">
        <v>0</v>
      </c>
      <c r="L21" s="12">
        <v>0</v>
      </c>
      <c r="M21" s="12">
        <v>7</v>
      </c>
      <c r="N21" s="12">
        <v>0</v>
      </c>
      <c r="O21" s="191">
        <v>58</v>
      </c>
      <c r="P21" s="192">
        <v>0.13846153846153847</v>
      </c>
      <c r="Q21" s="192">
        <v>0</v>
      </c>
      <c r="R21" s="192">
        <v>0.86153846153846159</v>
      </c>
      <c r="S21" s="192">
        <v>0.86153846153846159</v>
      </c>
      <c r="T21" s="113" t="s">
        <v>526</v>
      </c>
    </row>
    <row r="22" spans="1:20" ht="58.5" customHeight="1" x14ac:dyDescent="0.25">
      <c r="A22" s="12">
        <v>16</v>
      </c>
      <c r="B22" s="115" t="s">
        <v>520</v>
      </c>
      <c r="C22" s="12">
        <v>45</v>
      </c>
      <c r="D22" s="12">
        <v>37</v>
      </c>
      <c r="E22" s="12">
        <v>0</v>
      </c>
      <c r="F22" s="12">
        <v>1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0</v>
      </c>
      <c r="O22" s="191">
        <v>36</v>
      </c>
      <c r="P22" s="192">
        <v>5.4054054054054057E-2</v>
      </c>
      <c r="Q22" s="192">
        <v>0</v>
      </c>
      <c r="R22" s="192">
        <v>0.94594594594594594</v>
      </c>
      <c r="S22" s="192">
        <v>0.94594594594594594</v>
      </c>
      <c r="T22" s="113" t="s">
        <v>119</v>
      </c>
    </row>
    <row r="23" spans="1:20" ht="91.5" customHeight="1" x14ac:dyDescent="0.25">
      <c r="A23" s="12">
        <v>17</v>
      </c>
      <c r="B23" s="115" t="s">
        <v>521</v>
      </c>
      <c r="C23" s="12">
        <v>119</v>
      </c>
      <c r="D23" s="12">
        <v>120</v>
      </c>
      <c r="E23" s="12">
        <v>0</v>
      </c>
      <c r="F23" s="12">
        <v>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2</v>
      </c>
      <c r="N23" s="12">
        <v>0</v>
      </c>
      <c r="O23" s="191">
        <v>118</v>
      </c>
      <c r="P23" s="192" t="s">
        <v>41</v>
      </c>
      <c r="Q23" s="192" t="s">
        <v>41</v>
      </c>
      <c r="R23" s="192" t="s">
        <v>41</v>
      </c>
      <c r="S23" s="192" t="s">
        <v>41</v>
      </c>
      <c r="T23" s="22" t="s">
        <v>527</v>
      </c>
    </row>
    <row r="24" spans="1:20" x14ac:dyDescent="0.25">
      <c r="A24" s="12">
        <v>18</v>
      </c>
      <c r="B24" s="115" t="s">
        <v>522</v>
      </c>
      <c r="C24" s="12">
        <v>147</v>
      </c>
      <c r="D24" s="12">
        <v>155</v>
      </c>
      <c r="E24" s="12">
        <v>0</v>
      </c>
      <c r="F24" s="12">
        <v>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0</v>
      </c>
      <c r="O24" s="191">
        <v>154</v>
      </c>
      <c r="P24" s="192">
        <v>2.5806451612903226E-2</v>
      </c>
      <c r="Q24" s="192">
        <v>0</v>
      </c>
      <c r="R24" s="192">
        <v>0.97419354838709682</v>
      </c>
      <c r="S24" s="192">
        <v>0.97419354838709682</v>
      </c>
      <c r="T24" s="113" t="s">
        <v>118</v>
      </c>
    </row>
    <row r="25" spans="1:20" x14ac:dyDescent="0.25">
      <c r="A25" s="12">
        <v>19</v>
      </c>
      <c r="B25" s="115" t="s">
        <v>523</v>
      </c>
      <c r="C25" s="12">
        <v>42</v>
      </c>
      <c r="D25" s="12">
        <v>35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7</v>
      </c>
      <c r="O25" s="191">
        <v>27</v>
      </c>
      <c r="P25" s="192">
        <v>2.8571428571428571E-2</v>
      </c>
      <c r="Q25" s="192">
        <v>0.2</v>
      </c>
      <c r="R25" s="192">
        <v>0.77142857142857146</v>
      </c>
      <c r="S25" s="192">
        <v>0.77142857142857146</v>
      </c>
      <c r="T25" s="197"/>
    </row>
    <row r="26" spans="1:20" s="114" customFormat="1" ht="23.25" customHeight="1" x14ac:dyDescent="0.25">
      <c r="A26" s="12">
        <v>20</v>
      </c>
      <c r="B26" s="115" t="s">
        <v>524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91">
        <v>0</v>
      </c>
      <c r="P26" s="192" t="s">
        <v>41</v>
      </c>
      <c r="Q26" s="192" t="s">
        <v>41</v>
      </c>
      <c r="R26" s="192" t="s">
        <v>41</v>
      </c>
      <c r="S26" s="192" t="s">
        <v>41</v>
      </c>
      <c r="T26" s="22"/>
    </row>
    <row r="27" spans="1:20" ht="30.75" customHeight="1" x14ac:dyDescent="0.25">
      <c r="T27" s="183" t="s">
        <v>15</v>
      </c>
    </row>
    <row r="29" spans="1:20" x14ac:dyDescent="0.25">
      <c r="S29" s="183" t="s">
        <v>15</v>
      </c>
    </row>
    <row r="31" spans="1:20" x14ac:dyDescent="0.25">
      <c r="T31" s="110"/>
    </row>
  </sheetData>
  <protectedRanges>
    <protectedRange sqref="T9" name="Range1"/>
  </protectedRanges>
  <mergeCells count="14"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P4:P5"/>
    <mergeCell ref="Q4:Q5"/>
    <mergeCell ref="R4:R5"/>
    <mergeCell ref="S4:S5"/>
    <mergeCell ref="T4:T5"/>
  </mergeCells>
  <phoneticPr fontId="28" type="noConversion"/>
  <dataValidations count="2">
    <dataValidation type="whole" allowBlank="1" showInputMessage="1" showErrorMessage="1" sqref="C7:N26" xr:uid="{00000000-0002-0000-0300-000000000000}">
      <formula1>0</formula1>
      <formula2>50000</formula2>
    </dataValidation>
    <dataValidation type="whole" allowBlank="1" showInputMessage="1" showErrorMessage="1" errorTitle="Value Between 0 to 200000" sqref="O7:O26" xr:uid="{00000000-0002-0000-0300-000001000000}">
      <formula1>0</formula1>
      <formula2>200000</formula2>
    </dataValidation>
  </dataValidations>
  <pageMargins left="0.51181102362204722" right="0.31496062992125984" top="0.98425196850393704" bottom="0.59055118110236227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4B52-6CC7-4007-8A2D-6B2DFFE6213A}">
  <dimension ref="A2:Q73"/>
  <sheetViews>
    <sheetView view="pageBreakPreview" zoomScale="60" zoomScaleNormal="100" workbookViewId="0">
      <selection activeCell="K16" sqref="K16"/>
    </sheetView>
  </sheetViews>
  <sheetFormatPr defaultColWidth="9.140625" defaultRowHeight="15" x14ac:dyDescent="0.2"/>
  <cols>
    <col min="1" max="1" width="5.5703125" style="2" customWidth="1"/>
    <col min="2" max="2" width="25.7109375" style="212" customWidth="1"/>
    <col min="3" max="3" width="14.7109375" style="213" bestFit="1" customWidth="1"/>
    <col min="4" max="4" width="7.7109375" style="213" customWidth="1"/>
    <col min="5" max="9" width="6.140625" style="213" customWidth="1"/>
    <col min="10" max="10" width="8" style="213" customWidth="1"/>
    <col min="11" max="11" width="8.140625" style="213" customWidth="1"/>
    <col min="12" max="12" width="14.85546875" style="68" bestFit="1" customWidth="1"/>
    <col min="13" max="13" width="11.7109375" style="68" customWidth="1"/>
    <col min="14" max="14" width="9.7109375" style="68" customWidth="1"/>
    <col min="15" max="15" width="18" style="68" customWidth="1"/>
    <col min="16" max="16" width="13.85546875" style="68" customWidth="1"/>
    <col min="17" max="17" width="72.5703125" style="215" customWidth="1"/>
    <col min="18" max="16384" width="9.140625" style="68"/>
  </cols>
  <sheetData>
    <row r="2" spans="1:17" ht="15.75" x14ac:dyDescent="0.2">
      <c r="A2" s="311" t="s">
        <v>535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</row>
    <row r="3" spans="1:17" s="198" customFormat="1" ht="15.75" x14ac:dyDescent="0.25">
      <c r="A3" s="312" t="s">
        <v>0</v>
      </c>
      <c r="B3" s="309" t="s">
        <v>1</v>
      </c>
      <c r="C3" s="314" t="s">
        <v>2</v>
      </c>
      <c r="D3" s="314"/>
      <c r="E3" s="314" t="s">
        <v>3</v>
      </c>
      <c r="F3" s="314"/>
      <c r="G3" s="314"/>
      <c r="H3" s="314"/>
      <c r="I3" s="314"/>
      <c r="J3" s="309" t="s">
        <v>4</v>
      </c>
      <c r="K3" s="309" t="s">
        <v>536</v>
      </c>
      <c r="L3" s="309" t="s">
        <v>537</v>
      </c>
      <c r="M3" s="309" t="s">
        <v>5</v>
      </c>
      <c r="N3" s="309" t="s">
        <v>6</v>
      </c>
      <c r="O3" s="309" t="s">
        <v>7</v>
      </c>
      <c r="P3" s="309" t="s">
        <v>8</v>
      </c>
      <c r="Q3" s="310" t="s">
        <v>9</v>
      </c>
    </row>
    <row r="4" spans="1:17" s="203" customFormat="1" ht="105.75" customHeight="1" x14ac:dyDescent="0.25">
      <c r="A4" s="313"/>
      <c r="B4" s="309"/>
      <c r="C4" s="199" t="s">
        <v>10</v>
      </c>
      <c r="D4" s="199" t="s">
        <v>11</v>
      </c>
      <c r="E4" s="75" t="s">
        <v>538</v>
      </c>
      <c r="F4" s="200" t="s">
        <v>12</v>
      </c>
      <c r="G4" s="201" t="s">
        <v>13</v>
      </c>
      <c r="H4" s="202" t="s">
        <v>539</v>
      </c>
      <c r="I4" s="201" t="s">
        <v>14</v>
      </c>
      <c r="J4" s="309"/>
      <c r="K4" s="309"/>
      <c r="L4" s="309"/>
      <c r="M4" s="309"/>
      <c r="N4" s="309"/>
      <c r="O4" s="309"/>
      <c r="P4" s="309"/>
      <c r="Q4" s="310"/>
    </row>
    <row r="5" spans="1:17" s="208" customFormat="1" x14ac:dyDescent="0.25">
      <c r="A5" s="4">
        <v>1</v>
      </c>
      <c r="B5" s="33" t="s">
        <v>540</v>
      </c>
      <c r="C5" s="204">
        <v>142</v>
      </c>
      <c r="D5" s="204">
        <v>159</v>
      </c>
      <c r="E5" s="204">
        <v>0</v>
      </c>
      <c r="F5" s="204">
        <v>0</v>
      </c>
      <c r="G5" s="204">
        <v>0</v>
      </c>
      <c r="H5" s="204">
        <v>0</v>
      </c>
      <c r="I5" s="204">
        <v>0</v>
      </c>
      <c r="J5" s="204">
        <v>0</v>
      </c>
      <c r="K5" s="204">
        <v>0</v>
      </c>
      <c r="L5" s="204">
        <f>D5-J5-K5</f>
        <v>159</v>
      </c>
      <c r="M5" s="205">
        <v>3.1446540880503145E-2</v>
      </c>
      <c r="N5" s="206">
        <v>0</v>
      </c>
      <c r="O5" s="205">
        <v>0.96855345911949686</v>
      </c>
      <c r="P5" s="205">
        <v>0.96855345911949686</v>
      </c>
      <c r="Q5" s="207"/>
    </row>
    <row r="6" spans="1:17" s="209" customFormat="1" x14ac:dyDescent="0.2">
      <c r="A6" s="4">
        <v>2</v>
      </c>
      <c r="B6" s="33" t="s">
        <v>541</v>
      </c>
      <c r="C6" s="204">
        <v>393</v>
      </c>
      <c r="D6" s="204">
        <v>305</v>
      </c>
      <c r="E6" s="204">
        <v>0</v>
      </c>
      <c r="F6" s="204">
        <v>0</v>
      </c>
      <c r="G6" s="204">
        <v>0</v>
      </c>
      <c r="H6" s="204">
        <v>0</v>
      </c>
      <c r="I6" s="204">
        <v>0</v>
      </c>
      <c r="J6" s="204">
        <v>9</v>
      </c>
      <c r="K6" s="204">
        <v>0</v>
      </c>
      <c r="L6" s="204">
        <f t="shared" ref="L6:L69" si="0">D6-J6-K6</f>
        <v>296</v>
      </c>
      <c r="M6" s="205">
        <v>3.1446540880503145E-2</v>
      </c>
      <c r="N6" s="206">
        <v>0</v>
      </c>
      <c r="O6" s="205">
        <v>0.96855345911949686</v>
      </c>
      <c r="P6" s="205">
        <v>0.96855345911949686</v>
      </c>
      <c r="Q6" s="59"/>
    </row>
    <row r="7" spans="1:17" s="208" customFormat="1" ht="45" x14ac:dyDescent="0.25">
      <c r="A7" s="4">
        <v>3</v>
      </c>
      <c r="B7" s="33" t="s">
        <v>542</v>
      </c>
      <c r="C7" s="204">
        <v>1062</v>
      </c>
      <c r="D7" s="204">
        <v>1243</v>
      </c>
      <c r="E7" s="204">
        <v>0</v>
      </c>
      <c r="F7" s="204">
        <v>0</v>
      </c>
      <c r="G7" s="204">
        <v>0</v>
      </c>
      <c r="H7" s="204">
        <v>0</v>
      </c>
      <c r="I7" s="204">
        <v>0</v>
      </c>
      <c r="J7" s="204">
        <v>15</v>
      </c>
      <c r="K7" s="204">
        <v>0</v>
      </c>
      <c r="L7" s="204">
        <f t="shared" si="0"/>
        <v>1228</v>
      </c>
      <c r="M7" s="205">
        <v>3.1446540880503145E-2</v>
      </c>
      <c r="N7" s="206">
        <v>0</v>
      </c>
      <c r="O7" s="205">
        <v>0.96855345911949686</v>
      </c>
      <c r="P7" s="205">
        <v>0.96855345911949686</v>
      </c>
      <c r="Q7" s="207" t="s">
        <v>543</v>
      </c>
    </row>
    <row r="8" spans="1:17" s="208" customFormat="1" x14ac:dyDescent="0.25">
      <c r="A8" s="4">
        <v>4</v>
      </c>
      <c r="B8" s="33" t="s">
        <v>544</v>
      </c>
      <c r="C8" s="204">
        <v>187</v>
      </c>
      <c r="D8" s="204">
        <v>135</v>
      </c>
      <c r="E8" s="204">
        <v>0</v>
      </c>
      <c r="F8" s="204">
        <v>0</v>
      </c>
      <c r="G8" s="204">
        <v>0</v>
      </c>
      <c r="H8" s="204">
        <v>0</v>
      </c>
      <c r="I8" s="204">
        <v>0</v>
      </c>
      <c r="J8" s="204">
        <f t="shared" ref="J8:J68" si="1">E8+F8+G8+H8+I8</f>
        <v>0</v>
      </c>
      <c r="K8" s="204">
        <v>0</v>
      </c>
      <c r="L8" s="204">
        <f t="shared" si="0"/>
        <v>135</v>
      </c>
      <c r="M8" s="205">
        <v>3.1446540880503145E-2</v>
      </c>
      <c r="N8" s="206">
        <v>0</v>
      </c>
      <c r="O8" s="205">
        <v>0.96855345911949686</v>
      </c>
      <c r="P8" s="205">
        <v>0.96855345911949686</v>
      </c>
      <c r="Q8" s="207"/>
    </row>
    <row r="9" spans="1:17" s="209" customFormat="1" x14ac:dyDescent="0.2">
      <c r="A9" s="4">
        <v>5</v>
      </c>
      <c r="B9" s="33" t="s">
        <v>545</v>
      </c>
      <c r="C9" s="204">
        <v>25</v>
      </c>
      <c r="D9" s="204">
        <v>22</v>
      </c>
      <c r="E9" s="204">
        <v>0</v>
      </c>
      <c r="F9" s="204">
        <v>0</v>
      </c>
      <c r="G9" s="204">
        <v>0</v>
      </c>
      <c r="H9" s="204">
        <v>0</v>
      </c>
      <c r="I9" s="204">
        <v>0</v>
      </c>
      <c r="J9" s="204">
        <f t="shared" si="1"/>
        <v>0</v>
      </c>
      <c r="K9" s="204">
        <v>0</v>
      </c>
      <c r="L9" s="204">
        <f t="shared" si="0"/>
        <v>22</v>
      </c>
      <c r="M9" s="205">
        <v>3.1446540880503145E-2</v>
      </c>
      <c r="N9" s="206">
        <v>0</v>
      </c>
      <c r="O9" s="205">
        <v>0.96855345911949686</v>
      </c>
      <c r="P9" s="205">
        <v>0.96855345911949686</v>
      </c>
      <c r="Q9" s="207"/>
    </row>
    <row r="10" spans="1:17" s="208" customFormat="1" ht="135" x14ac:dyDescent="0.25">
      <c r="A10" s="4">
        <v>6</v>
      </c>
      <c r="B10" s="33" t="s">
        <v>546</v>
      </c>
      <c r="C10" s="204">
        <v>863</v>
      </c>
      <c r="D10" s="204">
        <v>921</v>
      </c>
      <c r="E10" s="204">
        <v>0</v>
      </c>
      <c r="F10" s="204">
        <v>0</v>
      </c>
      <c r="G10" s="204">
        <v>3</v>
      </c>
      <c r="H10" s="204">
        <v>0</v>
      </c>
      <c r="I10" s="204"/>
      <c r="J10" s="204">
        <v>3</v>
      </c>
      <c r="K10" s="204"/>
      <c r="L10" s="204">
        <f t="shared" si="0"/>
        <v>918</v>
      </c>
      <c r="M10" s="205">
        <v>3.1446540880503145E-2</v>
      </c>
      <c r="N10" s="206">
        <v>0</v>
      </c>
      <c r="O10" s="205">
        <v>0.96855345911949686</v>
      </c>
      <c r="P10" s="205">
        <v>0.96855345911949686</v>
      </c>
      <c r="Q10" s="59" t="s">
        <v>547</v>
      </c>
    </row>
    <row r="11" spans="1:17" s="208" customFormat="1" ht="30" x14ac:dyDescent="0.2">
      <c r="A11" s="4">
        <v>7</v>
      </c>
      <c r="B11" s="33" t="s">
        <v>548</v>
      </c>
      <c r="C11" s="204">
        <v>15</v>
      </c>
      <c r="D11" s="204">
        <v>27</v>
      </c>
      <c r="E11" s="204">
        <v>0</v>
      </c>
      <c r="F11" s="204">
        <v>0</v>
      </c>
      <c r="G11" s="204">
        <v>0</v>
      </c>
      <c r="H11" s="204">
        <v>0</v>
      </c>
      <c r="I11" s="204">
        <v>0</v>
      </c>
      <c r="J11" s="204">
        <v>1</v>
      </c>
      <c r="K11" s="204">
        <v>0</v>
      </c>
      <c r="L11" s="204">
        <f t="shared" si="0"/>
        <v>26</v>
      </c>
      <c r="M11" s="205">
        <v>0</v>
      </c>
      <c r="N11" s="206">
        <v>0</v>
      </c>
      <c r="O11" s="205">
        <v>1</v>
      </c>
      <c r="P11" s="205">
        <v>1</v>
      </c>
      <c r="Q11" s="210" t="s">
        <v>549</v>
      </c>
    </row>
    <row r="12" spans="1:17" s="209" customFormat="1" x14ac:dyDescent="0.2">
      <c r="A12" s="4">
        <v>8</v>
      </c>
      <c r="B12" s="33" t="s">
        <v>550</v>
      </c>
      <c r="C12" s="204">
        <v>528</v>
      </c>
      <c r="D12" s="204">
        <v>546</v>
      </c>
      <c r="E12" s="204">
        <v>0</v>
      </c>
      <c r="F12" s="204">
        <v>0</v>
      </c>
      <c r="G12" s="204">
        <v>0</v>
      </c>
      <c r="H12" s="204">
        <v>0</v>
      </c>
      <c r="I12" s="204">
        <v>0</v>
      </c>
      <c r="J12" s="204">
        <f t="shared" si="1"/>
        <v>0</v>
      </c>
      <c r="K12" s="204">
        <v>0</v>
      </c>
      <c r="L12" s="204">
        <f t="shared" si="0"/>
        <v>546</v>
      </c>
      <c r="M12" s="205">
        <v>0</v>
      </c>
      <c r="N12" s="206">
        <v>0</v>
      </c>
      <c r="O12" s="205">
        <v>1</v>
      </c>
      <c r="P12" s="205">
        <v>1</v>
      </c>
      <c r="Q12" s="59"/>
    </row>
    <row r="13" spans="1:17" s="209" customFormat="1" x14ac:dyDescent="0.2">
      <c r="A13" s="4">
        <v>9</v>
      </c>
      <c r="B13" s="33" t="s">
        <v>551</v>
      </c>
      <c r="C13" s="204">
        <v>26</v>
      </c>
      <c r="D13" s="204">
        <v>96</v>
      </c>
      <c r="E13" s="204">
        <v>0</v>
      </c>
      <c r="F13" s="204">
        <v>0</v>
      </c>
      <c r="G13" s="204">
        <v>0</v>
      </c>
      <c r="H13" s="204">
        <v>0</v>
      </c>
      <c r="I13" s="204">
        <v>0</v>
      </c>
      <c r="J13" s="204">
        <f t="shared" si="1"/>
        <v>0</v>
      </c>
      <c r="K13" s="204">
        <v>0</v>
      </c>
      <c r="L13" s="204">
        <f t="shared" si="0"/>
        <v>96</v>
      </c>
      <c r="M13" s="205">
        <v>0</v>
      </c>
      <c r="N13" s="206">
        <v>0</v>
      </c>
      <c r="O13" s="205">
        <v>1</v>
      </c>
      <c r="P13" s="205">
        <v>1</v>
      </c>
      <c r="Q13" s="207"/>
    </row>
    <row r="14" spans="1:17" s="208" customFormat="1" ht="45" x14ac:dyDescent="0.25">
      <c r="A14" s="4">
        <v>10</v>
      </c>
      <c r="B14" s="33" t="s">
        <v>552</v>
      </c>
      <c r="C14" s="204">
        <v>4842</v>
      </c>
      <c r="D14" s="204">
        <v>4835</v>
      </c>
      <c r="E14" s="204">
        <v>0</v>
      </c>
      <c r="F14" s="204">
        <v>0</v>
      </c>
      <c r="G14" s="204">
        <v>0</v>
      </c>
      <c r="H14" s="204">
        <v>0</v>
      </c>
      <c r="I14" s="204">
        <v>0</v>
      </c>
      <c r="J14" s="204">
        <v>49</v>
      </c>
      <c r="K14" s="204">
        <v>0</v>
      </c>
      <c r="L14" s="204">
        <f t="shared" si="0"/>
        <v>4786</v>
      </c>
      <c r="M14" s="205">
        <v>0</v>
      </c>
      <c r="N14" s="206">
        <v>0</v>
      </c>
      <c r="O14" s="205">
        <v>1</v>
      </c>
      <c r="P14" s="205">
        <v>1</v>
      </c>
      <c r="Q14" s="207" t="s">
        <v>553</v>
      </c>
    </row>
    <row r="15" spans="1:17" s="208" customFormat="1" x14ac:dyDescent="0.25">
      <c r="A15" s="4">
        <v>11</v>
      </c>
      <c r="B15" s="33" t="s">
        <v>554</v>
      </c>
      <c r="C15" s="204">
        <v>84</v>
      </c>
      <c r="D15" s="204">
        <v>105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f t="shared" si="1"/>
        <v>0</v>
      </c>
      <c r="K15" s="204">
        <v>0</v>
      </c>
      <c r="L15" s="204">
        <f t="shared" si="0"/>
        <v>105</v>
      </c>
      <c r="M15" s="205">
        <v>0</v>
      </c>
      <c r="N15" s="206">
        <v>0</v>
      </c>
      <c r="O15" s="205">
        <v>1</v>
      </c>
      <c r="P15" s="205">
        <v>1</v>
      </c>
      <c r="Q15" s="207"/>
    </row>
    <row r="16" spans="1:17" s="209" customFormat="1" x14ac:dyDescent="0.2">
      <c r="A16" s="4">
        <v>12</v>
      </c>
      <c r="B16" s="33" t="s">
        <v>555</v>
      </c>
      <c r="C16" s="204">
        <v>7</v>
      </c>
      <c r="D16" s="204">
        <v>48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f t="shared" si="1"/>
        <v>0</v>
      </c>
      <c r="K16" s="204">
        <v>0</v>
      </c>
      <c r="L16" s="204">
        <f t="shared" si="0"/>
        <v>48</v>
      </c>
      <c r="M16" s="205">
        <v>0</v>
      </c>
      <c r="N16" s="206">
        <v>0</v>
      </c>
      <c r="O16" s="205">
        <v>1</v>
      </c>
      <c r="P16" s="205">
        <v>1</v>
      </c>
      <c r="Q16" s="207"/>
    </row>
    <row r="17" spans="1:17" s="209" customFormat="1" x14ac:dyDescent="0.2">
      <c r="A17" s="4">
        <v>13</v>
      </c>
      <c r="B17" s="33" t="s">
        <v>556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f t="shared" si="1"/>
        <v>0</v>
      </c>
      <c r="K17" s="204">
        <v>0</v>
      </c>
      <c r="L17" s="204">
        <f t="shared" si="0"/>
        <v>0</v>
      </c>
      <c r="M17" s="205" t="s">
        <v>41</v>
      </c>
      <c r="N17" s="206" t="s">
        <v>41</v>
      </c>
      <c r="O17" s="205" t="s">
        <v>41</v>
      </c>
      <c r="P17" s="205" t="s">
        <v>41</v>
      </c>
      <c r="Q17" s="207"/>
    </row>
    <row r="18" spans="1:17" s="209" customFormat="1" x14ac:dyDescent="0.2">
      <c r="A18" s="4">
        <v>14</v>
      </c>
      <c r="B18" s="33" t="s">
        <v>557</v>
      </c>
      <c r="C18" s="204">
        <v>154</v>
      </c>
      <c r="D18" s="204">
        <v>145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f t="shared" si="1"/>
        <v>0</v>
      </c>
      <c r="K18" s="204">
        <v>0</v>
      </c>
      <c r="L18" s="204">
        <f t="shared" si="0"/>
        <v>145</v>
      </c>
      <c r="M18" s="205">
        <v>0</v>
      </c>
      <c r="N18" s="206">
        <v>0</v>
      </c>
      <c r="O18" s="205">
        <v>1</v>
      </c>
      <c r="P18" s="205">
        <v>1</v>
      </c>
      <c r="Q18" s="207"/>
    </row>
    <row r="19" spans="1:17" s="209" customFormat="1" x14ac:dyDescent="0.2">
      <c r="A19" s="4">
        <v>15</v>
      </c>
      <c r="B19" s="33" t="s">
        <v>558</v>
      </c>
      <c r="C19" s="204">
        <v>36</v>
      </c>
      <c r="D19" s="204">
        <v>36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f t="shared" si="1"/>
        <v>0</v>
      </c>
      <c r="K19" s="204">
        <v>0</v>
      </c>
      <c r="L19" s="204">
        <f t="shared" si="0"/>
        <v>36</v>
      </c>
      <c r="M19" s="205">
        <v>0</v>
      </c>
      <c r="N19" s="206">
        <v>0</v>
      </c>
      <c r="O19" s="205">
        <v>1</v>
      </c>
      <c r="P19" s="205">
        <v>1</v>
      </c>
      <c r="Q19" s="207"/>
    </row>
    <row r="20" spans="1:17" s="209" customFormat="1" ht="45" x14ac:dyDescent="0.2">
      <c r="A20" s="4">
        <v>16</v>
      </c>
      <c r="B20" s="33" t="s">
        <v>559</v>
      </c>
      <c r="C20" s="204">
        <v>780</v>
      </c>
      <c r="D20" s="204">
        <v>758</v>
      </c>
      <c r="E20" s="204">
        <v>0</v>
      </c>
      <c r="F20" s="204">
        <v>0</v>
      </c>
      <c r="G20" s="204">
        <v>0</v>
      </c>
      <c r="H20" s="204">
        <v>5</v>
      </c>
      <c r="I20" s="204">
        <v>0</v>
      </c>
      <c r="J20" s="204">
        <f t="shared" si="1"/>
        <v>5</v>
      </c>
      <c r="K20" s="204">
        <v>0</v>
      </c>
      <c r="L20" s="204">
        <f t="shared" si="0"/>
        <v>753</v>
      </c>
      <c r="M20" s="205">
        <v>2.6385224274406332E-3</v>
      </c>
      <c r="N20" s="206">
        <v>0</v>
      </c>
      <c r="O20" s="205">
        <v>0.99340369393139838</v>
      </c>
      <c r="P20" s="205">
        <v>0.99340369393139838</v>
      </c>
      <c r="Q20" s="207" t="s">
        <v>560</v>
      </c>
    </row>
    <row r="21" spans="1:17" s="209" customFormat="1" x14ac:dyDescent="0.2">
      <c r="A21" s="4">
        <v>17</v>
      </c>
      <c r="B21" s="33" t="s">
        <v>561</v>
      </c>
      <c r="C21" s="204">
        <v>243</v>
      </c>
      <c r="D21" s="204">
        <v>170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f t="shared" si="1"/>
        <v>0</v>
      </c>
      <c r="K21" s="204">
        <v>0</v>
      </c>
      <c r="L21" s="204">
        <f t="shared" si="0"/>
        <v>170</v>
      </c>
      <c r="M21" s="205">
        <v>0</v>
      </c>
      <c r="N21" s="206">
        <v>0</v>
      </c>
      <c r="O21" s="205">
        <v>1</v>
      </c>
      <c r="P21" s="205">
        <v>1</v>
      </c>
      <c r="Q21" s="207"/>
    </row>
    <row r="22" spans="1:17" s="209" customFormat="1" x14ac:dyDescent="0.2">
      <c r="A22" s="4">
        <v>18</v>
      </c>
      <c r="B22" s="33" t="s">
        <v>562</v>
      </c>
      <c r="C22" s="204">
        <v>3</v>
      </c>
      <c r="D22" s="204">
        <v>2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f t="shared" si="1"/>
        <v>0</v>
      </c>
      <c r="K22" s="204">
        <v>0</v>
      </c>
      <c r="L22" s="204">
        <f t="shared" si="0"/>
        <v>2</v>
      </c>
      <c r="M22" s="205">
        <v>0</v>
      </c>
      <c r="N22" s="206">
        <v>0</v>
      </c>
      <c r="O22" s="205">
        <v>1</v>
      </c>
      <c r="P22" s="205">
        <v>1</v>
      </c>
      <c r="Q22" s="207"/>
    </row>
    <row r="23" spans="1:17" s="209" customFormat="1" x14ac:dyDescent="0.2">
      <c r="A23" s="4">
        <v>19</v>
      </c>
      <c r="B23" s="33" t="s">
        <v>563</v>
      </c>
      <c r="C23" s="204">
        <v>0</v>
      </c>
      <c r="D23" s="204">
        <v>0</v>
      </c>
      <c r="E23" s="204">
        <v>0</v>
      </c>
      <c r="F23" s="204">
        <v>0</v>
      </c>
      <c r="G23" s="204">
        <v>0</v>
      </c>
      <c r="H23" s="204">
        <v>0</v>
      </c>
      <c r="I23" s="204">
        <v>0</v>
      </c>
      <c r="J23" s="204">
        <f t="shared" si="1"/>
        <v>0</v>
      </c>
      <c r="K23" s="204">
        <v>0</v>
      </c>
      <c r="L23" s="204">
        <f t="shared" si="0"/>
        <v>0</v>
      </c>
      <c r="M23" s="205" t="s">
        <v>41</v>
      </c>
      <c r="N23" s="206" t="s">
        <v>41</v>
      </c>
      <c r="O23" s="205" t="s">
        <v>41</v>
      </c>
      <c r="P23" s="205" t="s">
        <v>41</v>
      </c>
      <c r="Q23" s="207"/>
    </row>
    <row r="24" spans="1:17" s="209" customFormat="1" x14ac:dyDescent="0.2">
      <c r="A24" s="4">
        <v>20</v>
      </c>
      <c r="B24" s="33" t="s">
        <v>564</v>
      </c>
      <c r="C24" s="204">
        <v>0</v>
      </c>
      <c r="D24" s="204">
        <v>227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f t="shared" si="1"/>
        <v>0</v>
      </c>
      <c r="K24" s="204">
        <v>0</v>
      </c>
      <c r="L24" s="204">
        <f t="shared" si="0"/>
        <v>227</v>
      </c>
      <c r="M24" s="205">
        <v>0</v>
      </c>
      <c r="N24" s="206">
        <v>0</v>
      </c>
      <c r="O24" s="205">
        <v>1</v>
      </c>
      <c r="P24" s="205">
        <v>1</v>
      </c>
      <c r="Q24" s="207"/>
    </row>
    <row r="25" spans="1:17" s="208" customFormat="1" ht="60" x14ac:dyDescent="0.25">
      <c r="A25" s="4">
        <v>21</v>
      </c>
      <c r="B25" s="33" t="s">
        <v>565</v>
      </c>
      <c r="C25" s="204">
        <v>5030</v>
      </c>
      <c r="D25" s="204">
        <v>6688</v>
      </c>
      <c r="E25" s="204">
        <v>0</v>
      </c>
      <c r="F25" s="204">
        <v>0</v>
      </c>
      <c r="G25" s="204">
        <v>0</v>
      </c>
      <c r="H25" s="204">
        <v>151</v>
      </c>
      <c r="I25" s="204">
        <v>0</v>
      </c>
      <c r="J25" s="204">
        <v>294</v>
      </c>
      <c r="K25" s="204">
        <v>0</v>
      </c>
      <c r="L25" s="204">
        <f t="shared" si="0"/>
        <v>6394</v>
      </c>
      <c r="M25" s="205">
        <v>8.0741626794258378E-3</v>
      </c>
      <c r="N25" s="206">
        <v>0</v>
      </c>
      <c r="O25" s="205">
        <v>0.99192583732057416</v>
      </c>
      <c r="P25" s="205">
        <v>0.99192583732057416</v>
      </c>
      <c r="Q25" s="207" t="s">
        <v>566</v>
      </c>
    </row>
    <row r="26" spans="1:17" s="208" customFormat="1" ht="105" x14ac:dyDescent="0.25">
      <c r="A26" s="4">
        <v>22</v>
      </c>
      <c r="B26" s="33" t="s">
        <v>567</v>
      </c>
      <c r="C26" s="204">
        <v>20720</v>
      </c>
      <c r="D26" s="204">
        <v>20142</v>
      </c>
      <c r="E26" s="204">
        <v>0</v>
      </c>
      <c r="F26" s="204">
        <v>0</v>
      </c>
      <c r="G26" s="204">
        <v>0</v>
      </c>
      <c r="H26" s="204">
        <v>250</v>
      </c>
      <c r="I26" s="204">
        <v>0</v>
      </c>
      <c r="J26" s="204">
        <v>292</v>
      </c>
      <c r="K26" s="204">
        <v>0</v>
      </c>
      <c r="L26" s="204">
        <f t="shared" si="0"/>
        <v>19850</v>
      </c>
      <c r="M26" s="205">
        <v>1.236222817992255E-2</v>
      </c>
      <c r="N26" s="206">
        <v>0</v>
      </c>
      <c r="O26" s="205">
        <v>0.9876377718200775</v>
      </c>
      <c r="P26" s="205">
        <v>0.9876377718200775</v>
      </c>
      <c r="Q26" s="207" t="s">
        <v>568</v>
      </c>
    </row>
    <row r="27" spans="1:17" s="208" customFormat="1" x14ac:dyDescent="0.25">
      <c r="A27" s="4">
        <v>23</v>
      </c>
      <c r="B27" s="33" t="s">
        <v>569</v>
      </c>
      <c r="C27" s="204">
        <v>136</v>
      </c>
      <c r="D27" s="204">
        <v>138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f t="shared" si="1"/>
        <v>0</v>
      </c>
      <c r="K27" s="204">
        <v>0</v>
      </c>
      <c r="L27" s="204">
        <f t="shared" si="0"/>
        <v>138</v>
      </c>
      <c r="M27" s="205">
        <v>0</v>
      </c>
      <c r="N27" s="206">
        <v>0</v>
      </c>
      <c r="O27" s="205">
        <v>1</v>
      </c>
      <c r="P27" s="205">
        <v>1</v>
      </c>
      <c r="Q27" s="207">
        <v>0</v>
      </c>
    </row>
    <row r="28" spans="1:17" s="208" customFormat="1" ht="90" x14ac:dyDescent="0.25">
      <c r="A28" s="4">
        <v>24</v>
      </c>
      <c r="B28" s="33" t="s">
        <v>570</v>
      </c>
      <c r="C28" s="204">
        <v>14681</v>
      </c>
      <c r="D28" s="204">
        <v>10481</v>
      </c>
      <c r="E28" s="204">
        <v>0</v>
      </c>
      <c r="F28" s="204">
        <v>0</v>
      </c>
      <c r="G28" s="204">
        <v>0</v>
      </c>
      <c r="H28" s="204">
        <v>147</v>
      </c>
      <c r="I28" s="204">
        <v>474</v>
      </c>
      <c r="J28" s="204">
        <f t="shared" si="1"/>
        <v>621</v>
      </c>
      <c r="K28" s="204"/>
      <c r="L28" s="204">
        <v>9860</v>
      </c>
      <c r="M28" s="205"/>
      <c r="N28" s="206"/>
      <c r="O28" s="205"/>
      <c r="P28" s="205"/>
      <c r="Q28" s="207" t="s">
        <v>571</v>
      </c>
    </row>
    <row r="29" spans="1:17" s="209" customFormat="1" x14ac:dyDescent="0.2">
      <c r="A29" s="4">
        <v>25</v>
      </c>
      <c r="B29" s="33" t="s">
        <v>572</v>
      </c>
      <c r="C29" s="204">
        <v>172</v>
      </c>
      <c r="D29" s="204">
        <v>603</v>
      </c>
      <c r="E29" s="204">
        <v>0</v>
      </c>
      <c r="F29" s="204">
        <v>0</v>
      </c>
      <c r="G29" s="204">
        <v>0</v>
      </c>
      <c r="H29" s="204">
        <v>0</v>
      </c>
      <c r="I29" s="204">
        <v>19</v>
      </c>
      <c r="J29" s="204">
        <f t="shared" si="1"/>
        <v>19</v>
      </c>
      <c r="K29" s="204">
        <v>0</v>
      </c>
      <c r="L29" s="204">
        <f t="shared" si="0"/>
        <v>584</v>
      </c>
      <c r="M29" s="205">
        <v>0</v>
      </c>
      <c r="N29" s="206">
        <v>0</v>
      </c>
      <c r="O29" s="205">
        <v>1</v>
      </c>
      <c r="P29" s="205">
        <v>1</v>
      </c>
      <c r="Q29" s="207" t="s">
        <v>573</v>
      </c>
    </row>
    <row r="30" spans="1:17" s="209" customFormat="1" ht="30" x14ac:dyDescent="0.2">
      <c r="A30" s="4">
        <v>26</v>
      </c>
      <c r="B30" s="33" t="s">
        <v>574</v>
      </c>
      <c r="C30" s="204">
        <v>1586</v>
      </c>
      <c r="D30" s="204">
        <v>1465</v>
      </c>
      <c r="E30" s="204">
        <v>0</v>
      </c>
      <c r="F30" s="204">
        <v>0</v>
      </c>
      <c r="G30" s="204">
        <v>0</v>
      </c>
      <c r="H30" s="204">
        <v>30</v>
      </c>
      <c r="I30" s="204">
        <v>0</v>
      </c>
      <c r="J30" s="204">
        <f t="shared" si="1"/>
        <v>30</v>
      </c>
      <c r="K30" s="204">
        <v>0</v>
      </c>
      <c r="L30" s="204">
        <f t="shared" si="0"/>
        <v>1435</v>
      </c>
      <c r="M30" s="205">
        <v>6.1433447098976105E-3</v>
      </c>
      <c r="N30" s="206">
        <v>0</v>
      </c>
      <c r="O30" s="205">
        <v>0.99385665529010236</v>
      </c>
      <c r="P30" s="205">
        <v>0.99385665529010236</v>
      </c>
      <c r="Q30" s="207" t="s">
        <v>575</v>
      </c>
    </row>
    <row r="31" spans="1:17" s="208" customFormat="1" ht="45.75" x14ac:dyDescent="0.25">
      <c r="A31" s="4">
        <v>27</v>
      </c>
      <c r="B31" s="33" t="s">
        <v>576</v>
      </c>
      <c r="C31" s="204">
        <v>24</v>
      </c>
      <c r="D31" s="204">
        <v>163</v>
      </c>
      <c r="E31" s="204">
        <v>0</v>
      </c>
      <c r="F31" s="204">
        <v>0</v>
      </c>
      <c r="G31" s="204">
        <v>0</v>
      </c>
      <c r="H31" s="204">
        <v>6</v>
      </c>
      <c r="I31" s="204">
        <v>0</v>
      </c>
      <c r="J31" s="204">
        <f t="shared" si="1"/>
        <v>6</v>
      </c>
      <c r="K31" s="204">
        <v>0</v>
      </c>
      <c r="L31" s="204">
        <f t="shared" si="0"/>
        <v>157</v>
      </c>
      <c r="M31" s="205">
        <v>3.0674846625766871E-2</v>
      </c>
      <c r="N31" s="206">
        <v>0</v>
      </c>
      <c r="O31" s="205">
        <v>0.96932515337423308</v>
      </c>
      <c r="P31" s="205">
        <v>0.96932515337423308</v>
      </c>
      <c r="Q31" s="207" t="s">
        <v>577</v>
      </c>
    </row>
    <row r="32" spans="1:17" s="209" customFormat="1" x14ac:dyDescent="0.2">
      <c r="A32" s="4">
        <v>28</v>
      </c>
      <c r="B32" s="33" t="s">
        <v>578</v>
      </c>
      <c r="C32" s="204">
        <v>48</v>
      </c>
      <c r="D32" s="204">
        <v>36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f t="shared" si="1"/>
        <v>0</v>
      </c>
      <c r="K32" s="204">
        <v>0</v>
      </c>
      <c r="L32" s="204">
        <f t="shared" si="0"/>
        <v>36</v>
      </c>
      <c r="M32" s="205">
        <v>0</v>
      </c>
      <c r="N32" s="206">
        <v>0</v>
      </c>
      <c r="O32" s="205">
        <v>1</v>
      </c>
      <c r="P32" s="205">
        <v>1</v>
      </c>
      <c r="Q32" s="207"/>
    </row>
    <row r="33" spans="1:17" s="209" customFormat="1" x14ac:dyDescent="0.2">
      <c r="A33" s="4">
        <v>29</v>
      </c>
      <c r="B33" s="33" t="s">
        <v>579</v>
      </c>
      <c r="C33" s="204">
        <v>0</v>
      </c>
      <c r="D33" s="204">
        <v>41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f t="shared" si="1"/>
        <v>0</v>
      </c>
      <c r="K33" s="204">
        <v>0</v>
      </c>
      <c r="L33" s="204">
        <f t="shared" si="0"/>
        <v>41</v>
      </c>
      <c r="M33" s="205">
        <v>0</v>
      </c>
      <c r="N33" s="206">
        <v>0</v>
      </c>
      <c r="O33" s="205">
        <v>1</v>
      </c>
      <c r="P33" s="205">
        <v>1</v>
      </c>
      <c r="Q33" s="207"/>
    </row>
    <row r="34" spans="1:17" s="209" customFormat="1" x14ac:dyDescent="0.2">
      <c r="A34" s="4">
        <v>30</v>
      </c>
      <c r="B34" s="33" t="s">
        <v>580</v>
      </c>
      <c r="C34" s="204">
        <v>163</v>
      </c>
      <c r="D34" s="204">
        <v>182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f t="shared" si="1"/>
        <v>0</v>
      </c>
      <c r="K34" s="204">
        <v>0</v>
      </c>
      <c r="L34" s="204">
        <f t="shared" si="0"/>
        <v>182</v>
      </c>
      <c r="M34" s="205">
        <v>0</v>
      </c>
      <c r="N34" s="206">
        <v>0</v>
      </c>
      <c r="O34" s="205">
        <v>1</v>
      </c>
      <c r="P34" s="205">
        <v>1</v>
      </c>
      <c r="Q34" s="207"/>
    </row>
    <row r="35" spans="1:17" s="209" customFormat="1" x14ac:dyDescent="0.2">
      <c r="A35" s="4">
        <v>31</v>
      </c>
      <c r="B35" s="33" t="s">
        <v>581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f t="shared" si="1"/>
        <v>0</v>
      </c>
      <c r="K35" s="204">
        <v>0</v>
      </c>
      <c r="L35" s="204">
        <f t="shared" si="0"/>
        <v>0</v>
      </c>
      <c r="M35" s="205" t="s">
        <v>41</v>
      </c>
      <c r="N35" s="206" t="s">
        <v>41</v>
      </c>
      <c r="O35" s="205" t="s">
        <v>41</v>
      </c>
      <c r="P35" s="205" t="s">
        <v>41</v>
      </c>
      <c r="Q35" s="207"/>
    </row>
    <row r="36" spans="1:17" s="209" customFormat="1" x14ac:dyDescent="0.2">
      <c r="A36" s="4">
        <v>32</v>
      </c>
      <c r="B36" s="33" t="s">
        <v>582</v>
      </c>
      <c r="C36" s="204">
        <v>3</v>
      </c>
      <c r="D36" s="204">
        <v>3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f t="shared" si="1"/>
        <v>0</v>
      </c>
      <c r="K36" s="204">
        <v>0</v>
      </c>
      <c r="L36" s="204">
        <f t="shared" si="0"/>
        <v>3</v>
      </c>
      <c r="M36" s="205">
        <v>0</v>
      </c>
      <c r="N36" s="206">
        <v>0</v>
      </c>
      <c r="O36" s="205">
        <v>1</v>
      </c>
      <c r="P36" s="205">
        <v>1</v>
      </c>
      <c r="Q36" s="207"/>
    </row>
    <row r="37" spans="1:17" s="209" customFormat="1" x14ac:dyDescent="0.2">
      <c r="A37" s="4">
        <v>33</v>
      </c>
      <c r="B37" s="33" t="s">
        <v>583</v>
      </c>
      <c r="C37" s="204">
        <v>14</v>
      </c>
      <c r="D37" s="204">
        <v>12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f t="shared" si="1"/>
        <v>0</v>
      </c>
      <c r="K37" s="204">
        <v>0</v>
      </c>
      <c r="L37" s="204">
        <f t="shared" si="0"/>
        <v>12</v>
      </c>
      <c r="M37" s="205">
        <v>0</v>
      </c>
      <c r="N37" s="206">
        <v>0</v>
      </c>
      <c r="O37" s="205">
        <v>1</v>
      </c>
      <c r="P37" s="205">
        <v>1</v>
      </c>
      <c r="Q37" s="207"/>
    </row>
    <row r="38" spans="1:17" s="209" customFormat="1" ht="30" x14ac:dyDescent="0.2">
      <c r="A38" s="4">
        <v>34</v>
      </c>
      <c r="B38" s="33" t="s">
        <v>584</v>
      </c>
      <c r="C38" s="204">
        <v>248</v>
      </c>
      <c r="D38" s="204">
        <v>243</v>
      </c>
      <c r="E38" s="204">
        <v>0</v>
      </c>
      <c r="F38" s="204">
        <v>0</v>
      </c>
      <c r="G38" s="204">
        <v>0</v>
      </c>
      <c r="H38" s="204">
        <v>8</v>
      </c>
      <c r="I38" s="204">
        <v>0</v>
      </c>
      <c r="J38" s="204">
        <v>8</v>
      </c>
      <c r="K38" s="204">
        <v>0</v>
      </c>
      <c r="L38" s="204">
        <f t="shared" si="0"/>
        <v>235</v>
      </c>
      <c r="M38" s="205">
        <v>1.646090534979424E-2</v>
      </c>
      <c r="N38" s="206">
        <v>0</v>
      </c>
      <c r="O38" s="205">
        <v>0.98353909465020573</v>
      </c>
      <c r="P38" s="205">
        <v>0.98353909465020573</v>
      </c>
      <c r="Q38" s="207" t="s">
        <v>585</v>
      </c>
    </row>
    <row r="39" spans="1:17" s="209" customFormat="1" x14ac:dyDescent="0.2">
      <c r="A39" s="4">
        <v>35</v>
      </c>
      <c r="B39" s="33" t="s">
        <v>586</v>
      </c>
      <c r="C39" s="204">
        <v>34</v>
      </c>
      <c r="D39" s="204">
        <v>28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f t="shared" si="1"/>
        <v>0</v>
      </c>
      <c r="K39" s="204">
        <v>0</v>
      </c>
      <c r="L39" s="204">
        <f t="shared" si="0"/>
        <v>28</v>
      </c>
      <c r="M39" s="205">
        <v>0</v>
      </c>
      <c r="N39" s="206">
        <v>0</v>
      </c>
      <c r="O39" s="205">
        <v>1</v>
      </c>
      <c r="P39" s="205">
        <v>1</v>
      </c>
      <c r="Q39" s="207"/>
    </row>
    <row r="40" spans="1:17" s="209" customFormat="1" x14ac:dyDescent="0.2">
      <c r="A40" s="4">
        <v>36</v>
      </c>
      <c r="B40" s="33" t="s">
        <v>587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f t="shared" si="1"/>
        <v>0</v>
      </c>
      <c r="K40" s="204">
        <v>0</v>
      </c>
      <c r="L40" s="204">
        <f t="shared" si="0"/>
        <v>0</v>
      </c>
      <c r="M40" s="205" t="s">
        <v>41</v>
      </c>
      <c r="N40" s="206" t="s">
        <v>41</v>
      </c>
      <c r="O40" s="205" t="s">
        <v>41</v>
      </c>
      <c r="P40" s="205" t="s">
        <v>41</v>
      </c>
      <c r="Q40" s="207"/>
    </row>
    <row r="41" spans="1:17" s="209" customFormat="1" x14ac:dyDescent="0.2">
      <c r="A41" s="4">
        <v>37</v>
      </c>
      <c r="B41" s="33" t="s">
        <v>588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f t="shared" si="1"/>
        <v>0</v>
      </c>
      <c r="K41" s="204">
        <v>0</v>
      </c>
      <c r="L41" s="204">
        <f t="shared" si="0"/>
        <v>0</v>
      </c>
      <c r="M41" s="205" t="s">
        <v>41</v>
      </c>
      <c r="N41" s="206" t="s">
        <v>41</v>
      </c>
      <c r="O41" s="205" t="s">
        <v>41</v>
      </c>
      <c r="P41" s="205" t="s">
        <v>41</v>
      </c>
      <c r="Q41" s="207"/>
    </row>
    <row r="42" spans="1:17" s="209" customFormat="1" x14ac:dyDescent="0.2">
      <c r="A42" s="4">
        <v>38</v>
      </c>
      <c r="B42" s="33" t="s">
        <v>589</v>
      </c>
      <c r="C42" s="204">
        <v>382</v>
      </c>
      <c r="D42" s="204">
        <v>374</v>
      </c>
      <c r="E42" s="204">
        <v>0</v>
      </c>
      <c r="F42" s="204">
        <v>0</v>
      </c>
      <c r="G42" s="204">
        <v>0</v>
      </c>
      <c r="H42" s="204">
        <v>11</v>
      </c>
      <c r="I42" s="204">
        <v>0</v>
      </c>
      <c r="J42" s="204">
        <f t="shared" si="1"/>
        <v>11</v>
      </c>
      <c r="K42" s="204">
        <v>0</v>
      </c>
      <c r="L42" s="204">
        <f t="shared" si="0"/>
        <v>363</v>
      </c>
      <c r="M42" s="205">
        <v>0</v>
      </c>
      <c r="N42" s="206">
        <v>0</v>
      </c>
      <c r="O42" s="205">
        <v>1</v>
      </c>
      <c r="P42" s="205">
        <v>1</v>
      </c>
      <c r="Q42" s="207"/>
    </row>
    <row r="43" spans="1:17" s="209" customFormat="1" ht="30" x14ac:dyDescent="0.2">
      <c r="A43" s="4">
        <v>39</v>
      </c>
      <c r="B43" s="33" t="s">
        <v>590</v>
      </c>
      <c r="C43" s="204">
        <v>197</v>
      </c>
      <c r="D43" s="204">
        <v>177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f t="shared" si="0"/>
        <v>177</v>
      </c>
      <c r="M43" s="205">
        <v>1.1299435028248588E-2</v>
      </c>
      <c r="N43" s="206">
        <v>0</v>
      </c>
      <c r="O43" s="205">
        <v>0.98870056497175141</v>
      </c>
      <c r="P43" s="205">
        <v>0.98870056497175141</v>
      </c>
      <c r="Q43" s="207" t="s">
        <v>591</v>
      </c>
    </row>
    <row r="44" spans="1:17" s="209" customFormat="1" ht="30" x14ac:dyDescent="0.2">
      <c r="A44" s="4">
        <v>40</v>
      </c>
      <c r="B44" s="33" t="s">
        <v>592</v>
      </c>
      <c r="C44" s="204">
        <v>45</v>
      </c>
      <c r="D44" s="204">
        <v>93</v>
      </c>
      <c r="E44" s="204">
        <v>0</v>
      </c>
      <c r="F44" s="204">
        <v>0</v>
      </c>
      <c r="G44" s="204">
        <v>3</v>
      </c>
      <c r="H44" s="204">
        <v>0</v>
      </c>
      <c r="I44" s="204">
        <v>0</v>
      </c>
      <c r="J44" s="204">
        <f t="shared" si="1"/>
        <v>3</v>
      </c>
      <c r="K44" s="204">
        <v>0</v>
      </c>
      <c r="L44" s="204">
        <f t="shared" si="0"/>
        <v>90</v>
      </c>
      <c r="M44" s="205">
        <v>0.23655913978494625</v>
      </c>
      <c r="N44" s="206">
        <v>0</v>
      </c>
      <c r="O44" s="205">
        <v>0.76344086021505375</v>
      </c>
      <c r="P44" s="205">
        <v>0.76344086021505375</v>
      </c>
      <c r="Q44" s="207" t="s">
        <v>593</v>
      </c>
    </row>
    <row r="45" spans="1:17" s="208" customFormat="1" ht="90" x14ac:dyDescent="0.25">
      <c r="A45" s="4">
        <v>41</v>
      </c>
      <c r="B45" s="33" t="s">
        <v>594</v>
      </c>
      <c r="C45" s="204">
        <v>105</v>
      </c>
      <c r="D45" s="204">
        <v>104</v>
      </c>
      <c r="E45" s="204">
        <v>0</v>
      </c>
      <c r="F45" s="204">
        <v>0</v>
      </c>
      <c r="G45" s="204">
        <v>9</v>
      </c>
      <c r="H45" s="204">
        <v>0</v>
      </c>
      <c r="I45" s="204">
        <v>0</v>
      </c>
      <c r="J45" s="204">
        <f t="shared" si="1"/>
        <v>9</v>
      </c>
      <c r="K45" s="204">
        <v>0</v>
      </c>
      <c r="L45" s="204">
        <f t="shared" si="0"/>
        <v>95</v>
      </c>
      <c r="M45" s="205">
        <v>9.6153846153846159E-2</v>
      </c>
      <c r="N45" s="206">
        <v>0</v>
      </c>
      <c r="O45" s="205">
        <v>0.90384615384615385</v>
      </c>
      <c r="P45" s="205">
        <v>0.90384615384615385</v>
      </c>
      <c r="Q45" s="207" t="s">
        <v>595</v>
      </c>
    </row>
    <row r="46" spans="1:17" s="209" customFormat="1" x14ac:dyDescent="0.2">
      <c r="A46" s="4">
        <v>42</v>
      </c>
      <c r="B46" s="33" t="s">
        <v>596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f t="shared" si="1"/>
        <v>0</v>
      </c>
      <c r="K46" s="204">
        <v>0</v>
      </c>
      <c r="L46" s="204">
        <f t="shared" si="0"/>
        <v>0</v>
      </c>
      <c r="M46" s="205" t="s">
        <v>41</v>
      </c>
      <c r="N46" s="206" t="s">
        <v>41</v>
      </c>
      <c r="O46" s="205" t="s">
        <v>41</v>
      </c>
      <c r="P46" s="205" t="s">
        <v>41</v>
      </c>
      <c r="Q46" s="207"/>
    </row>
    <row r="47" spans="1:17" s="209" customFormat="1" x14ac:dyDescent="0.2">
      <c r="A47" s="4">
        <v>43</v>
      </c>
      <c r="B47" s="33" t="s">
        <v>597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f t="shared" si="1"/>
        <v>0</v>
      </c>
      <c r="K47" s="204">
        <v>0</v>
      </c>
      <c r="L47" s="204">
        <f t="shared" si="0"/>
        <v>0</v>
      </c>
      <c r="M47" s="205" t="s">
        <v>41</v>
      </c>
      <c r="N47" s="206" t="s">
        <v>41</v>
      </c>
      <c r="O47" s="205" t="s">
        <v>41</v>
      </c>
      <c r="P47" s="205" t="s">
        <v>41</v>
      </c>
      <c r="Q47" s="207"/>
    </row>
    <row r="48" spans="1:17" s="209" customFormat="1" ht="30" x14ac:dyDescent="0.2">
      <c r="A48" s="4">
        <v>44</v>
      </c>
      <c r="B48" s="33" t="s">
        <v>598</v>
      </c>
      <c r="C48" s="204">
        <v>87</v>
      </c>
      <c r="D48" s="204">
        <v>106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f t="shared" si="0"/>
        <v>106</v>
      </c>
      <c r="M48" s="205">
        <v>9.433962264150943E-3</v>
      </c>
      <c r="N48" s="206">
        <v>0</v>
      </c>
      <c r="O48" s="205">
        <v>0.99056603773584906</v>
      </c>
      <c r="P48" s="205">
        <v>0.99056603773584906</v>
      </c>
      <c r="Q48" s="207" t="s">
        <v>599</v>
      </c>
    </row>
    <row r="49" spans="1:17" s="209" customFormat="1" x14ac:dyDescent="0.2">
      <c r="A49" s="4">
        <v>45</v>
      </c>
      <c r="B49" s="33" t="s">
        <v>600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f t="shared" si="1"/>
        <v>0</v>
      </c>
      <c r="K49" s="204">
        <v>0</v>
      </c>
      <c r="L49" s="204">
        <f t="shared" si="0"/>
        <v>0</v>
      </c>
      <c r="M49" s="205" t="s">
        <v>41</v>
      </c>
      <c r="N49" s="206" t="s">
        <v>41</v>
      </c>
      <c r="O49" s="205" t="s">
        <v>41</v>
      </c>
      <c r="P49" s="205" t="s">
        <v>41</v>
      </c>
      <c r="Q49" s="207"/>
    </row>
    <row r="50" spans="1:17" s="209" customFormat="1" x14ac:dyDescent="0.2">
      <c r="A50" s="4">
        <v>46</v>
      </c>
      <c r="B50" s="33" t="s">
        <v>601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f t="shared" si="1"/>
        <v>0</v>
      </c>
      <c r="K50" s="204">
        <v>0</v>
      </c>
      <c r="L50" s="204">
        <f t="shared" si="0"/>
        <v>0</v>
      </c>
      <c r="M50" s="205" t="s">
        <v>41</v>
      </c>
      <c r="N50" s="206" t="s">
        <v>41</v>
      </c>
      <c r="O50" s="205" t="s">
        <v>41</v>
      </c>
      <c r="P50" s="205" t="s">
        <v>41</v>
      </c>
      <c r="Q50" s="207"/>
    </row>
    <row r="51" spans="1:17" s="208" customFormat="1" x14ac:dyDescent="0.25">
      <c r="A51" s="4">
        <v>47</v>
      </c>
      <c r="B51" s="33" t="s">
        <v>602</v>
      </c>
      <c r="C51" s="204">
        <v>61</v>
      </c>
      <c r="D51" s="204">
        <v>165</v>
      </c>
      <c r="E51" s="204">
        <v>0</v>
      </c>
      <c r="F51" s="204">
        <v>0</v>
      </c>
      <c r="G51" s="204">
        <v>0</v>
      </c>
      <c r="H51" s="204">
        <v>0</v>
      </c>
      <c r="I51" s="204">
        <v>0</v>
      </c>
      <c r="J51" s="204">
        <f t="shared" si="1"/>
        <v>0</v>
      </c>
      <c r="K51" s="204">
        <v>0</v>
      </c>
      <c r="L51" s="204">
        <f t="shared" si="0"/>
        <v>165</v>
      </c>
      <c r="M51" s="205">
        <v>0</v>
      </c>
      <c r="N51" s="206">
        <v>0</v>
      </c>
      <c r="O51" s="205">
        <v>1</v>
      </c>
      <c r="P51" s="205">
        <v>1</v>
      </c>
      <c r="Q51" s="207"/>
    </row>
    <row r="52" spans="1:17" s="209" customFormat="1" ht="60" x14ac:dyDescent="0.2">
      <c r="A52" s="4">
        <v>48</v>
      </c>
      <c r="B52" s="33" t="s">
        <v>603</v>
      </c>
      <c r="C52" s="204">
        <v>289</v>
      </c>
      <c r="D52" s="204">
        <v>576</v>
      </c>
      <c r="E52" s="204">
        <v>0</v>
      </c>
      <c r="F52" s="204">
        <v>0</v>
      </c>
      <c r="G52" s="204">
        <v>0</v>
      </c>
      <c r="H52" s="204">
        <v>2</v>
      </c>
      <c r="I52" s="204">
        <v>0</v>
      </c>
      <c r="J52" s="204">
        <f t="shared" si="1"/>
        <v>2</v>
      </c>
      <c r="K52" s="204">
        <v>0</v>
      </c>
      <c r="L52" s="204">
        <f t="shared" si="0"/>
        <v>574</v>
      </c>
      <c r="M52" s="205">
        <v>6.5972222222222224E-2</v>
      </c>
      <c r="N52" s="206">
        <v>0</v>
      </c>
      <c r="O52" s="205">
        <v>0.93402777777777779</v>
      </c>
      <c r="P52" s="205">
        <v>0.93402777777777779</v>
      </c>
      <c r="Q52" s="207" t="s">
        <v>604</v>
      </c>
    </row>
    <row r="53" spans="1:17" s="208" customFormat="1" x14ac:dyDescent="0.25">
      <c r="A53" s="4">
        <v>49</v>
      </c>
      <c r="B53" s="33" t="s">
        <v>605</v>
      </c>
      <c r="C53" s="204">
        <v>656</v>
      </c>
      <c r="D53" s="204">
        <v>595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f t="shared" si="0"/>
        <v>595</v>
      </c>
      <c r="M53" s="205">
        <v>1.6806722689075631E-3</v>
      </c>
      <c r="N53" s="206">
        <v>0</v>
      </c>
      <c r="O53" s="205">
        <v>0.99831932773109244</v>
      </c>
      <c r="P53" s="205">
        <v>0.99831932773109244</v>
      </c>
      <c r="Q53" s="207"/>
    </row>
    <row r="54" spans="1:17" s="209" customFormat="1" x14ac:dyDescent="0.2">
      <c r="A54" s="4">
        <v>50</v>
      </c>
      <c r="B54" s="33" t="s">
        <v>606</v>
      </c>
      <c r="C54" s="204">
        <v>117</v>
      </c>
      <c r="D54" s="204">
        <v>117</v>
      </c>
      <c r="E54" s="204">
        <v>0</v>
      </c>
      <c r="F54" s="204">
        <v>0</v>
      </c>
      <c r="G54" s="204">
        <v>0</v>
      </c>
      <c r="H54" s="204">
        <v>0</v>
      </c>
      <c r="I54" s="204">
        <v>0</v>
      </c>
      <c r="J54" s="204">
        <f t="shared" si="1"/>
        <v>0</v>
      </c>
      <c r="K54" s="204">
        <v>0</v>
      </c>
      <c r="L54" s="204">
        <f t="shared" si="0"/>
        <v>117</v>
      </c>
      <c r="M54" s="205">
        <v>2.564102564102564E-2</v>
      </c>
      <c r="N54" s="206">
        <v>0</v>
      </c>
      <c r="O54" s="205">
        <v>0.97435897435897434</v>
      </c>
      <c r="P54" s="205">
        <v>0.97435897435897434</v>
      </c>
      <c r="Q54" s="207" t="s">
        <v>607</v>
      </c>
    </row>
    <row r="55" spans="1:17" s="209" customFormat="1" x14ac:dyDescent="0.2">
      <c r="A55" s="4">
        <v>51</v>
      </c>
      <c r="B55" s="33" t="s">
        <v>608</v>
      </c>
      <c r="C55" s="204">
        <v>20</v>
      </c>
      <c r="D55" s="204">
        <v>12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f t="shared" si="1"/>
        <v>0</v>
      </c>
      <c r="K55" s="204">
        <v>0</v>
      </c>
      <c r="L55" s="204">
        <f t="shared" si="0"/>
        <v>12</v>
      </c>
      <c r="M55" s="205">
        <v>0</v>
      </c>
      <c r="N55" s="206">
        <v>0</v>
      </c>
      <c r="O55" s="205">
        <v>1</v>
      </c>
      <c r="P55" s="205">
        <v>1</v>
      </c>
      <c r="Q55" s="207"/>
    </row>
    <row r="56" spans="1:17" s="209" customFormat="1" x14ac:dyDescent="0.2">
      <c r="A56" s="4">
        <v>52</v>
      </c>
      <c r="B56" s="33" t="s">
        <v>609</v>
      </c>
      <c r="C56" s="204">
        <v>236</v>
      </c>
      <c r="D56" s="204">
        <v>206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6</v>
      </c>
      <c r="K56" s="204">
        <v>0</v>
      </c>
      <c r="L56" s="204">
        <f t="shared" si="0"/>
        <v>200</v>
      </c>
      <c r="M56" s="205">
        <v>0</v>
      </c>
      <c r="N56" s="206">
        <v>0</v>
      </c>
      <c r="O56" s="205">
        <v>1</v>
      </c>
      <c r="P56" s="205">
        <v>1</v>
      </c>
      <c r="Q56" s="207"/>
    </row>
    <row r="57" spans="1:17" s="209" customFormat="1" x14ac:dyDescent="0.2">
      <c r="A57" s="4">
        <v>53</v>
      </c>
      <c r="B57" s="33" t="s">
        <v>610</v>
      </c>
      <c r="C57" s="204">
        <v>15</v>
      </c>
      <c r="D57" s="204">
        <v>15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f t="shared" si="1"/>
        <v>0</v>
      </c>
      <c r="K57" s="204">
        <v>0</v>
      </c>
      <c r="L57" s="204">
        <f t="shared" si="0"/>
        <v>15</v>
      </c>
      <c r="M57" s="205">
        <v>0</v>
      </c>
      <c r="N57" s="206">
        <v>0</v>
      </c>
      <c r="O57" s="205">
        <v>1</v>
      </c>
      <c r="P57" s="205">
        <v>1</v>
      </c>
      <c r="Q57" s="207"/>
    </row>
    <row r="58" spans="1:17" s="209" customFormat="1" x14ac:dyDescent="0.2">
      <c r="A58" s="4">
        <v>54</v>
      </c>
      <c r="B58" s="33" t="s">
        <v>611</v>
      </c>
      <c r="C58" s="204">
        <v>222</v>
      </c>
      <c r="D58" s="204">
        <v>287</v>
      </c>
      <c r="E58" s="204">
        <v>0</v>
      </c>
      <c r="F58" s="204">
        <v>0</v>
      </c>
      <c r="G58" s="204">
        <v>0</v>
      </c>
      <c r="H58" s="204">
        <v>6</v>
      </c>
      <c r="I58" s="204">
        <v>0</v>
      </c>
      <c r="J58" s="204">
        <f t="shared" si="1"/>
        <v>6</v>
      </c>
      <c r="K58" s="204">
        <v>0</v>
      </c>
      <c r="L58" s="204">
        <f t="shared" si="0"/>
        <v>281</v>
      </c>
      <c r="M58" s="205">
        <v>1.0452961672473868E-2</v>
      </c>
      <c r="N58" s="206">
        <v>0</v>
      </c>
      <c r="O58" s="205">
        <v>0.98954703832752611</v>
      </c>
      <c r="P58" s="205">
        <v>0.98954703832752611</v>
      </c>
      <c r="Q58" s="59"/>
    </row>
    <row r="59" spans="1:17" s="211" customFormat="1" x14ac:dyDescent="0.25">
      <c r="A59" s="4">
        <v>55</v>
      </c>
      <c r="B59" s="33" t="s">
        <v>612</v>
      </c>
      <c r="C59" s="204">
        <v>236</v>
      </c>
      <c r="D59" s="204">
        <v>202</v>
      </c>
      <c r="E59" s="204">
        <v>0</v>
      </c>
      <c r="F59" s="204">
        <v>0</v>
      </c>
      <c r="G59" s="204">
        <v>0</v>
      </c>
      <c r="H59" s="204">
        <v>3</v>
      </c>
      <c r="I59" s="204">
        <v>0</v>
      </c>
      <c r="J59" s="204">
        <f t="shared" si="1"/>
        <v>3</v>
      </c>
      <c r="K59" s="204">
        <v>0</v>
      </c>
      <c r="L59" s="204">
        <f t="shared" si="0"/>
        <v>199</v>
      </c>
      <c r="M59" s="205">
        <v>9.9009900990099011E-3</v>
      </c>
      <c r="N59" s="206">
        <v>0</v>
      </c>
      <c r="O59" s="205">
        <v>0.99009900990099009</v>
      </c>
      <c r="P59" s="205">
        <v>0.99009900990099009</v>
      </c>
      <c r="Q59" s="59"/>
    </row>
    <row r="60" spans="1:17" s="209" customFormat="1" x14ac:dyDescent="0.2">
      <c r="A60" s="4">
        <v>56</v>
      </c>
      <c r="B60" s="33" t="s">
        <v>613</v>
      </c>
      <c r="C60" s="204">
        <v>149</v>
      </c>
      <c r="D60" s="204">
        <v>171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f t="shared" si="1"/>
        <v>0</v>
      </c>
      <c r="K60" s="204">
        <v>0</v>
      </c>
      <c r="L60" s="204">
        <f t="shared" si="0"/>
        <v>171</v>
      </c>
      <c r="M60" s="205">
        <v>0</v>
      </c>
      <c r="N60" s="206">
        <v>0</v>
      </c>
      <c r="O60" s="205">
        <v>1</v>
      </c>
      <c r="P60" s="205">
        <v>1</v>
      </c>
      <c r="Q60" s="207"/>
    </row>
    <row r="61" spans="1:17" s="208" customFormat="1" x14ac:dyDescent="0.25">
      <c r="A61" s="4">
        <v>57</v>
      </c>
      <c r="B61" s="33" t="s">
        <v>614</v>
      </c>
      <c r="C61" s="204">
        <v>168</v>
      </c>
      <c r="D61" s="204">
        <v>187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f t="shared" si="1"/>
        <v>0</v>
      </c>
      <c r="K61" s="204">
        <v>0</v>
      </c>
      <c r="L61" s="204">
        <f t="shared" si="0"/>
        <v>187</v>
      </c>
      <c r="M61" s="205">
        <v>0</v>
      </c>
      <c r="N61" s="206">
        <v>0</v>
      </c>
      <c r="O61" s="205">
        <v>1</v>
      </c>
      <c r="P61" s="205">
        <v>1</v>
      </c>
      <c r="Q61" s="207"/>
    </row>
    <row r="62" spans="1:17" s="208" customFormat="1" x14ac:dyDescent="0.25">
      <c r="A62" s="4">
        <v>58</v>
      </c>
      <c r="B62" s="33" t="s">
        <v>615</v>
      </c>
      <c r="C62" s="204">
        <v>41</v>
      </c>
      <c r="D62" s="204">
        <v>37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f t="shared" si="1"/>
        <v>0</v>
      </c>
      <c r="K62" s="204">
        <v>0</v>
      </c>
      <c r="L62" s="204">
        <f t="shared" si="0"/>
        <v>37</v>
      </c>
      <c r="M62" s="205">
        <v>0</v>
      </c>
      <c r="N62" s="206">
        <v>0</v>
      </c>
      <c r="O62" s="205">
        <v>1</v>
      </c>
      <c r="P62" s="205">
        <v>1</v>
      </c>
      <c r="Q62" s="207"/>
    </row>
    <row r="63" spans="1:17" s="208" customFormat="1" x14ac:dyDescent="0.25">
      <c r="A63" s="4">
        <v>59</v>
      </c>
      <c r="B63" s="33" t="s">
        <v>616</v>
      </c>
      <c r="C63" s="204">
        <v>3420</v>
      </c>
      <c r="D63" s="204">
        <v>5169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f t="shared" si="1"/>
        <v>0</v>
      </c>
      <c r="K63" s="204">
        <v>0</v>
      </c>
      <c r="L63" s="204">
        <f t="shared" si="0"/>
        <v>5169</v>
      </c>
      <c r="M63" s="205">
        <v>1.9346101760495259E-4</v>
      </c>
      <c r="N63" s="206">
        <v>0</v>
      </c>
      <c r="O63" s="205">
        <v>0.99980653898239502</v>
      </c>
      <c r="P63" s="205">
        <v>0.99980653898239502</v>
      </c>
      <c r="Q63" s="59"/>
    </row>
    <row r="64" spans="1:17" s="208" customFormat="1" x14ac:dyDescent="0.25">
      <c r="A64" s="4">
        <v>60</v>
      </c>
      <c r="B64" s="33" t="s">
        <v>617</v>
      </c>
      <c r="C64" s="204">
        <v>528</v>
      </c>
      <c r="D64" s="204">
        <v>546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f t="shared" si="1"/>
        <v>0</v>
      </c>
      <c r="K64" s="204">
        <v>0</v>
      </c>
      <c r="L64" s="204">
        <f t="shared" si="0"/>
        <v>546</v>
      </c>
      <c r="M64" s="205" t="s">
        <v>41</v>
      </c>
      <c r="N64" s="206" t="s">
        <v>41</v>
      </c>
      <c r="O64" s="205" t="s">
        <v>41</v>
      </c>
      <c r="P64" s="205" t="s">
        <v>41</v>
      </c>
      <c r="Q64" s="207"/>
    </row>
    <row r="65" spans="1:17" s="208" customFormat="1" x14ac:dyDescent="0.25">
      <c r="A65" s="4">
        <v>61</v>
      </c>
      <c r="B65" s="33" t="s">
        <v>618</v>
      </c>
      <c r="C65" s="204">
        <v>0</v>
      </c>
      <c r="D65" s="204">
        <v>40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f t="shared" si="1"/>
        <v>0</v>
      </c>
      <c r="K65" s="204">
        <v>0</v>
      </c>
      <c r="L65" s="204">
        <f t="shared" si="0"/>
        <v>40</v>
      </c>
      <c r="M65" s="205">
        <v>0</v>
      </c>
      <c r="N65" s="206">
        <v>0</v>
      </c>
      <c r="O65" s="205">
        <v>1</v>
      </c>
      <c r="P65" s="205">
        <v>1</v>
      </c>
      <c r="Q65" s="207"/>
    </row>
    <row r="66" spans="1:17" s="208" customFormat="1" x14ac:dyDescent="0.25">
      <c r="A66" s="4">
        <v>62</v>
      </c>
      <c r="B66" s="33" t="s">
        <v>619</v>
      </c>
      <c r="C66" s="204">
        <v>104</v>
      </c>
      <c r="D66" s="204">
        <v>90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f t="shared" si="0"/>
        <v>90</v>
      </c>
      <c r="M66" s="205">
        <v>1.1111111111111112E-2</v>
      </c>
      <c r="N66" s="206">
        <v>0</v>
      </c>
      <c r="O66" s="205">
        <v>0.98888888888888893</v>
      </c>
      <c r="P66" s="205">
        <v>0.98888888888888893</v>
      </c>
      <c r="Q66" s="207"/>
    </row>
    <row r="67" spans="1:17" s="208" customFormat="1" x14ac:dyDescent="0.25">
      <c r="A67" s="4">
        <v>63</v>
      </c>
      <c r="B67" s="33" t="s">
        <v>620</v>
      </c>
      <c r="C67" s="204">
        <v>67</v>
      </c>
      <c r="D67" s="204">
        <v>68</v>
      </c>
      <c r="E67" s="204">
        <v>0</v>
      </c>
      <c r="F67" s="204">
        <v>0</v>
      </c>
      <c r="G67" s="204">
        <v>0</v>
      </c>
      <c r="H67" s="204">
        <v>0</v>
      </c>
      <c r="I67" s="204">
        <v>0</v>
      </c>
      <c r="J67" s="204">
        <f t="shared" si="1"/>
        <v>0</v>
      </c>
      <c r="K67" s="204">
        <v>0</v>
      </c>
      <c r="L67" s="204">
        <f t="shared" si="0"/>
        <v>68</v>
      </c>
      <c r="M67" s="205">
        <v>0</v>
      </c>
      <c r="N67" s="206">
        <v>0</v>
      </c>
      <c r="O67" s="205">
        <v>1</v>
      </c>
      <c r="P67" s="205">
        <v>1</v>
      </c>
      <c r="Q67" s="207"/>
    </row>
    <row r="68" spans="1:17" s="208" customFormat="1" x14ac:dyDescent="0.25">
      <c r="A68" s="4">
        <v>64</v>
      </c>
      <c r="B68" s="33" t="s">
        <v>621</v>
      </c>
      <c r="C68" s="204">
        <v>61</v>
      </c>
      <c r="D68" s="204">
        <v>107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f t="shared" si="1"/>
        <v>0</v>
      </c>
      <c r="K68" s="204">
        <v>0</v>
      </c>
      <c r="L68" s="204">
        <f t="shared" si="0"/>
        <v>107</v>
      </c>
      <c r="M68" s="205">
        <v>0</v>
      </c>
      <c r="N68" s="206">
        <v>0</v>
      </c>
      <c r="O68" s="205">
        <v>1</v>
      </c>
      <c r="P68" s="205">
        <v>1</v>
      </c>
      <c r="Q68" s="207"/>
    </row>
    <row r="69" spans="1:17" s="208" customFormat="1" x14ac:dyDescent="0.25">
      <c r="A69" s="4">
        <v>65</v>
      </c>
      <c r="B69" s="33" t="s">
        <v>622</v>
      </c>
      <c r="C69" s="204">
        <v>1013</v>
      </c>
      <c r="D69" s="204">
        <v>1236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21</v>
      </c>
      <c r="K69" s="204">
        <v>0</v>
      </c>
      <c r="L69" s="204">
        <f t="shared" si="0"/>
        <v>1215</v>
      </c>
      <c r="M69" s="205">
        <v>0</v>
      </c>
      <c r="N69" s="206">
        <v>0</v>
      </c>
      <c r="O69" s="205">
        <v>1</v>
      </c>
      <c r="P69" s="205">
        <v>1</v>
      </c>
      <c r="Q69" s="59" t="s">
        <v>623</v>
      </c>
    </row>
    <row r="70" spans="1:17" s="208" customFormat="1" x14ac:dyDescent="0.25">
      <c r="A70" s="4">
        <v>66</v>
      </c>
      <c r="B70" s="33" t="s">
        <v>624</v>
      </c>
      <c r="C70" s="204">
        <v>32</v>
      </c>
      <c r="D70" s="204">
        <v>67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f t="shared" ref="J70:J71" si="2">E70+F70+G70+H70+I70</f>
        <v>0</v>
      </c>
      <c r="K70" s="204">
        <v>0</v>
      </c>
      <c r="L70" s="204">
        <f t="shared" ref="L70:L71" si="3">D70-J70-K70</f>
        <v>67</v>
      </c>
      <c r="M70" s="205">
        <v>0</v>
      </c>
      <c r="N70" s="206">
        <v>0</v>
      </c>
      <c r="O70" s="205">
        <v>1</v>
      </c>
      <c r="P70" s="205">
        <v>1</v>
      </c>
      <c r="Q70" s="207"/>
    </row>
    <row r="71" spans="1:17" s="208" customFormat="1" x14ac:dyDescent="0.25">
      <c r="A71" s="4">
        <v>67</v>
      </c>
      <c r="B71" s="33" t="s">
        <v>625</v>
      </c>
      <c r="C71" s="204">
        <v>1486</v>
      </c>
      <c r="D71" s="204">
        <v>2836</v>
      </c>
      <c r="E71" s="204">
        <v>0</v>
      </c>
      <c r="F71" s="204">
        <v>0</v>
      </c>
      <c r="G71" s="204">
        <v>0</v>
      </c>
      <c r="H71" s="204">
        <v>0</v>
      </c>
      <c r="I71" s="204">
        <v>0</v>
      </c>
      <c r="J71" s="204">
        <f t="shared" si="2"/>
        <v>0</v>
      </c>
      <c r="K71" s="204">
        <v>0</v>
      </c>
      <c r="L71" s="204">
        <f t="shared" si="3"/>
        <v>2836</v>
      </c>
      <c r="M71" s="205">
        <v>0</v>
      </c>
      <c r="N71" s="206">
        <v>0</v>
      </c>
      <c r="O71" s="205">
        <v>1</v>
      </c>
      <c r="P71" s="205">
        <v>1</v>
      </c>
      <c r="Q71" s="207"/>
    </row>
    <row r="72" spans="1:17" x14ac:dyDescent="0.2">
      <c r="N72" s="68" t="s">
        <v>15</v>
      </c>
      <c r="P72" s="214" t="s">
        <v>41</v>
      </c>
    </row>
    <row r="73" spans="1:17" x14ac:dyDescent="0.2">
      <c r="M73" s="68" t="s">
        <v>15</v>
      </c>
      <c r="P73" s="214" t="s">
        <v>41</v>
      </c>
    </row>
  </sheetData>
  <mergeCells count="13">
    <mergeCell ref="O3:O4"/>
    <mergeCell ref="P3:P4"/>
    <mergeCell ref="Q3:Q4"/>
    <mergeCell ref="A2:Q2"/>
    <mergeCell ref="A3:A4"/>
    <mergeCell ref="B3:B4"/>
    <mergeCell ref="C3:D3"/>
    <mergeCell ref="E3:I3"/>
    <mergeCell ref="J3:J4"/>
    <mergeCell ref="K3:K4"/>
    <mergeCell ref="L3:L4"/>
    <mergeCell ref="M3:M4"/>
    <mergeCell ref="N3:N4"/>
  </mergeCells>
  <dataValidations count="2">
    <dataValidation allowBlank="1" showInputMessage="1" showErrorMessage="1" promptTitle="FORMULA USED" prompt="Don't Ammend Here" sqref="B5:B71" xr:uid="{526A56B8-F87D-493E-9DDE-1DA3BC149355}"/>
    <dataValidation type="whole" allowBlank="1" showInputMessage="1" showErrorMessage="1" sqref="C5:L71" xr:uid="{8BA6F1D9-0FE6-419C-A556-7C894A31BE62}">
      <formula1>0</formula1>
      <formula2>50000</formula2>
    </dataValidation>
  </dataValidations>
  <pageMargins left="0.7" right="0.7" top="0.75" bottom="0.75" header="0.3" footer="0.3"/>
  <pageSetup paperSize="9" scale="36" orientation="portrait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5E33-F755-4A92-A83D-A61115165497}">
  <dimension ref="A1:P170"/>
  <sheetViews>
    <sheetView view="pageBreakPreview" zoomScale="60" zoomScaleNormal="100" workbookViewId="0">
      <selection activeCell="P4" sqref="P4"/>
    </sheetView>
  </sheetViews>
  <sheetFormatPr defaultRowHeight="15" x14ac:dyDescent="0.25"/>
  <cols>
    <col min="12" max="13" width="9.7109375" bestFit="1" customWidth="1"/>
    <col min="14" max="15" width="11.140625" bestFit="1" customWidth="1"/>
    <col min="16" max="16" width="35.140625" bestFit="1" customWidth="1"/>
  </cols>
  <sheetData>
    <row r="1" spans="1:16" ht="30" x14ac:dyDescent="0.25">
      <c r="A1" s="50"/>
      <c r="B1" s="50"/>
      <c r="C1" s="50"/>
      <c r="D1" s="50"/>
      <c r="E1" s="50"/>
      <c r="F1" s="216"/>
      <c r="G1" s="216"/>
      <c r="H1" s="216"/>
      <c r="I1" s="216"/>
      <c r="J1" s="216"/>
      <c r="K1" s="50"/>
      <c r="L1" s="50"/>
      <c r="M1" s="50"/>
      <c r="N1" s="65"/>
      <c r="O1" s="217"/>
      <c r="P1" s="218" t="s">
        <v>626</v>
      </c>
    </row>
    <row r="2" spans="1:16" ht="15.75" x14ac:dyDescent="0.25">
      <c r="A2" s="324" t="s">
        <v>627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</row>
    <row r="3" spans="1:16" ht="47.25" x14ac:dyDescent="0.25">
      <c r="A3" s="219" t="s">
        <v>0</v>
      </c>
      <c r="B3" s="220" t="s">
        <v>1</v>
      </c>
      <c r="C3" s="221"/>
      <c r="D3" s="222" t="s">
        <v>2</v>
      </c>
      <c r="E3" s="223"/>
      <c r="F3" s="219" t="s">
        <v>628</v>
      </c>
      <c r="G3" s="219"/>
      <c r="H3" s="219"/>
      <c r="I3" s="224" t="s">
        <v>4</v>
      </c>
      <c r="J3" s="225" t="s">
        <v>536</v>
      </c>
      <c r="K3" s="226" t="s">
        <v>537</v>
      </c>
      <c r="L3" s="227" t="s">
        <v>5</v>
      </c>
      <c r="M3" s="227" t="s">
        <v>6</v>
      </c>
      <c r="N3" s="41" t="s">
        <v>7</v>
      </c>
      <c r="O3" s="227" t="s">
        <v>8</v>
      </c>
      <c r="P3" s="270" t="s">
        <v>9</v>
      </c>
    </row>
    <row r="4" spans="1:16" ht="78.75" x14ac:dyDescent="0.25">
      <c r="A4" s="219"/>
      <c r="B4" s="228"/>
      <c r="C4" s="229"/>
      <c r="D4" s="230" t="s">
        <v>629</v>
      </c>
      <c r="E4" s="230" t="s">
        <v>11</v>
      </c>
      <c r="F4" s="231" t="s">
        <v>13</v>
      </c>
      <c r="G4" s="82" t="s">
        <v>630</v>
      </c>
      <c r="H4" s="231" t="s">
        <v>14</v>
      </c>
      <c r="I4" s="232" t="s">
        <v>631</v>
      </c>
      <c r="J4" s="233"/>
      <c r="K4" s="234"/>
      <c r="L4" s="227" t="s">
        <v>632</v>
      </c>
      <c r="M4" s="227"/>
      <c r="N4" s="41"/>
      <c r="O4" s="227"/>
      <c r="P4" s="227"/>
    </row>
    <row r="5" spans="1:16" x14ac:dyDescent="0.25">
      <c r="A5" s="235" t="s">
        <v>22</v>
      </c>
      <c r="B5" s="236" t="s">
        <v>23</v>
      </c>
      <c r="C5" s="236"/>
      <c r="D5" s="23" t="s">
        <v>24</v>
      </c>
      <c r="E5" s="23" t="s">
        <v>25</v>
      </c>
      <c r="F5" s="2" t="s">
        <v>26</v>
      </c>
      <c r="G5" s="21" t="s">
        <v>27</v>
      </c>
      <c r="H5" s="23" t="s">
        <v>28</v>
      </c>
      <c r="I5" s="23" t="s">
        <v>29</v>
      </c>
      <c r="J5" s="23" t="s">
        <v>30</v>
      </c>
      <c r="K5" s="23" t="s">
        <v>31</v>
      </c>
      <c r="L5" s="23" t="s">
        <v>32</v>
      </c>
      <c r="M5" s="23" t="s">
        <v>33</v>
      </c>
      <c r="N5" s="23" t="s">
        <v>34</v>
      </c>
      <c r="O5" s="23" t="s">
        <v>35</v>
      </c>
      <c r="P5" s="21" t="s">
        <v>36</v>
      </c>
    </row>
    <row r="6" spans="1:16" ht="15.75" x14ac:dyDescent="0.25">
      <c r="A6" s="321">
        <v>1</v>
      </c>
      <c r="B6" s="237" t="s">
        <v>540</v>
      </c>
      <c r="C6" s="237"/>
      <c r="D6" s="238"/>
      <c r="E6" s="238"/>
      <c r="F6" s="239"/>
      <c r="G6" s="239"/>
      <c r="H6" s="239"/>
      <c r="I6" s="240"/>
      <c r="J6" s="239"/>
      <c r="K6" s="238"/>
      <c r="L6" s="238"/>
      <c r="M6" s="238"/>
      <c r="N6" s="241"/>
      <c r="O6" s="238"/>
      <c r="P6" s="242"/>
    </row>
    <row r="7" spans="1:16" x14ac:dyDescent="0.25">
      <c r="A7" s="322"/>
      <c r="B7" s="236" t="s">
        <v>22</v>
      </c>
      <c r="C7" s="236" t="s">
        <v>633</v>
      </c>
      <c r="D7" s="243">
        <v>65</v>
      </c>
      <c r="E7" s="243">
        <v>65</v>
      </c>
      <c r="F7" s="243">
        <v>0</v>
      </c>
      <c r="G7" s="243">
        <v>2</v>
      </c>
      <c r="H7" s="243">
        <v>0</v>
      </c>
      <c r="I7" s="243">
        <v>0</v>
      </c>
      <c r="J7" s="243">
        <v>0</v>
      </c>
      <c r="K7" s="243">
        <f>E7-I7</f>
        <v>65</v>
      </c>
      <c r="L7" s="244">
        <f>(I7/E7)</f>
        <v>0</v>
      </c>
      <c r="M7" s="245">
        <f>J7/E7</f>
        <v>0</v>
      </c>
      <c r="N7" s="245">
        <f>K7/E7</f>
        <v>1</v>
      </c>
      <c r="O7" s="245">
        <f>M7+N7</f>
        <v>1</v>
      </c>
      <c r="P7" s="5"/>
    </row>
    <row r="8" spans="1:16" x14ac:dyDescent="0.25">
      <c r="A8" s="322"/>
      <c r="B8" s="236" t="s">
        <v>23</v>
      </c>
      <c r="C8" s="236" t="s">
        <v>634</v>
      </c>
      <c r="D8" s="243">
        <v>59</v>
      </c>
      <c r="E8" s="243">
        <v>61</v>
      </c>
      <c r="F8" s="243">
        <v>0</v>
      </c>
      <c r="G8" s="243">
        <v>0</v>
      </c>
      <c r="H8" s="243">
        <v>0</v>
      </c>
      <c r="I8" s="243">
        <f t="shared" ref="I8:I70" si="0">F8+G8+H8+H8</f>
        <v>0</v>
      </c>
      <c r="J8" s="243">
        <v>0</v>
      </c>
      <c r="K8" s="243">
        <f t="shared" ref="K8:K71" si="1">E8-I8</f>
        <v>61</v>
      </c>
      <c r="L8" s="244">
        <f t="shared" ref="L8:L71" si="2">(I8/E8)</f>
        <v>0</v>
      </c>
      <c r="M8" s="245">
        <f t="shared" ref="M8:M71" si="3">J8/E8</f>
        <v>0</v>
      </c>
      <c r="N8" s="245">
        <f t="shared" ref="N8:N71" si="4">K8/E8</f>
        <v>1</v>
      </c>
      <c r="O8" s="245">
        <f t="shared" ref="O8:O71" si="5">M8+N8</f>
        <v>1</v>
      </c>
      <c r="P8" s="5"/>
    </row>
    <row r="9" spans="1:16" x14ac:dyDescent="0.25">
      <c r="A9" s="322"/>
      <c r="B9" s="236" t="s">
        <v>24</v>
      </c>
      <c r="C9" s="236" t="s">
        <v>635</v>
      </c>
      <c r="D9" s="243">
        <v>0</v>
      </c>
      <c r="E9" s="243">
        <v>0</v>
      </c>
      <c r="F9" s="243">
        <v>0</v>
      </c>
      <c r="G9" s="243">
        <v>0</v>
      </c>
      <c r="H9" s="243">
        <v>0</v>
      </c>
      <c r="I9" s="243">
        <f t="shared" si="0"/>
        <v>0</v>
      </c>
      <c r="J9" s="243">
        <v>0</v>
      </c>
      <c r="K9" s="243">
        <f t="shared" si="1"/>
        <v>0</v>
      </c>
      <c r="L9" s="244" t="e">
        <f t="shared" si="2"/>
        <v>#DIV/0!</v>
      </c>
      <c r="M9" s="245" t="e">
        <f t="shared" si="3"/>
        <v>#DIV/0!</v>
      </c>
      <c r="N9" s="245" t="e">
        <f t="shared" si="4"/>
        <v>#DIV/0!</v>
      </c>
      <c r="O9" s="245" t="e">
        <f t="shared" si="5"/>
        <v>#DIV/0!</v>
      </c>
      <c r="P9" s="5"/>
    </row>
    <row r="10" spans="1:16" ht="60" x14ac:dyDescent="0.25">
      <c r="A10" s="322"/>
      <c r="B10" s="236" t="s">
        <v>25</v>
      </c>
      <c r="C10" s="236" t="s">
        <v>636</v>
      </c>
      <c r="D10" s="243">
        <v>59</v>
      </c>
      <c r="E10" s="243">
        <v>45</v>
      </c>
      <c r="F10" s="243">
        <v>0</v>
      </c>
      <c r="G10" s="243">
        <v>0</v>
      </c>
      <c r="H10" s="243">
        <v>0</v>
      </c>
      <c r="I10" s="243">
        <f t="shared" si="0"/>
        <v>0</v>
      </c>
      <c r="J10" s="243">
        <v>0</v>
      </c>
      <c r="K10" s="243">
        <f t="shared" si="1"/>
        <v>45</v>
      </c>
      <c r="L10" s="244">
        <f t="shared" si="2"/>
        <v>0</v>
      </c>
      <c r="M10" s="245">
        <f t="shared" si="3"/>
        <v>0</v>
      </c>
      <c r="N10" s="245">
        <f t="shared" si="4"/>
        <v>1</v>
      </c>
      <c r="O10" s="245">
        <f t="shared" si="5"/>
        <v>1</v>
      </c>
      <c r="P10" s="3" t="s">
        <v>637</v>
      </c>
    </row>
    <row r="11" spans="1:16" x14ac:dyDescent="0.25">
      <c r="A11" s="323"/>
      <c r="B11" s="236" t="s">
        <v>26</v>
      </c>
      <c r="C11" s="236" t="s">
        <v>638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f t="shared" si="0"/>
        <v>0</v>
      </c>
      <c r="J11" s="243">
        <v>0</v>
      </c>
      <c r="K11" s="243">
        <f t="shared" si="1"/>
        <v>0</v>
      </c>
      <c r="L11" s="244" t="e">
        <f t="shared" si="2"/>
        <v>#DIV/0!</v>
      </c>
      <c r="M11" s="245" t="e">
        <f t="shared" si="3"/>
        <v>#DIV/0!</v>
      </c>
      <c r="N11" s="245" t="e">
        <f t="shared" si="4"/>
        <v>#DIV/0!</v>
      </c>
      <c r="O11" s="245" t="e">
        <f t="shared" si="5"/>
        <v>#DIV/0!</v>
      </c>
      <c r="P11" s="5" t="s">
        <v>41</v>
      </c>
    </row>
    <row r="12" spans="1:16" ht="15.75" x14ac:dyDescent="0.25">
      <c r="A12" s="321">
        <v>2</v>
      </c>
      <c r="B12" s="237" t="s">
        <v>541</v>
      </c>
      <c r="C12" s="237"/>
      <c r="D12" s="243"/>
      <c r="E12" s="243"/>
      <c r="F12" s="243"/>
      <c r="G12" s="243">
        <v>0</v>
      </c>
      <c r="H12" s="243">
        <v>0</v>
      </c>
      <c r="I12" s="243">
        <f t="shared" si="0"/>
        <v>0</v>
      </c>
      <c r="J12" s="243">
        <v>0</v>
      </c>
      <c r="K12" s="243">
        <f t="shared" si="1"/>
        <v>0</v>
      </c>
      <c r="L12" s="244" t="e">
        <f t="shared" si="2"/>
        <v>#DIV/0!</v>
      </c>
      <c r="M12" s="245" t="e">
        <f t="shared" si="3"/>
        <v>#DIV/0!</v>
      </c>
      <c r="N12" s="245" t="e">
        <f t="shared" si="4"/>
        <v>#DIV/0!</v>
      </c>
      <c r="O12" s="245" t="e">
        <f t="shared" si="5"/>
        <v>#DIV/0!</v>
      </c>
      <c r="P12" s="5" t="s">
        <v>41</v>
      </c>
    </row>
    <row r="13" spans="1:16" x14ac:dyDescent="0.25">
      <c r="A13" s="322"/>
      <c r="B13" s="236" t="s">
        <v>22</v>
      </c>
      <c r="C13" s="236" t="s">
        <v>639</v>
      </c>
      <c r="D13" s="243">
        <v>59</v>
      </c>
      <c r="E13" s="243">
        <v>61</v>
      </c>
      <c r="F13" s="243">
        <v>0</v>
      </c>
      <c r="G13" s="243">
        <v>0</v>
      </c>
      <c r="H13" s="243">
        <v>0</v>
      </c>
      <c r="I13" s="243">
        <f t="shared" si="0"/>
        <v>0</v>
      </c>
      <c r="J13" s="243">
        <v>0</v>
      </c>
      <c r="K13" s="243">
        <f t="shared" si="1"/>
        <v>61</v>
      </c>
      <c r="L13" s="244">
        <f t="shared" si="2"/>
        <v>0</v>
      </c>
      <c r="M13" s="245">
        <f t="shared" si="3"/>
        <v>0</v>
      </c>
      <c r="N13" s="245">
        <f t="shared" si="4"/>
        <v>1</v>
      </c>
      <c r="O13" s="245">
        <f t="shared" si="5"/>
        <v>1</v>
      </c>
      <c r="P13" s="5" t="s">
        <v>41</v>
      </c>
    </row>
    <row r="14" spans="1:16" x14ac:dyDescent="0.25">
      <c r="A14" s="322"/>
      <c r="B14" s="236" t="s">
        <v>23</v>
      </c>
      <c r="C14" s="236" t="s">
        <v>640</v>
      </c>
      <c r="D14" s="243">
        <v>0</v>
      </c>
      <c r="E14" s="243">
        <v>0</v>
      </c>
      <c r="F14" s="243">
        <v>0</v>
      </c>
      <c r="G14" s="243">
        <v>0</v>
      </c>
      <c r="H14" s="243">
        <v>0</v>
      </c>
      <c r="I14" s="243">
        <f t="shared" si="0"/>
        <v>0</v>
      </c>
      <c r="J14" s="243">
        <v>0</v>
      </c>
      <c r="K14" s="243">
        <f t="shared" si="1"/>
        <v>0</v>
      </c>
      <c r="L14" s="244" t="e">
        <f t="shared" si="2"/>
        <v>#DIV/0!</v>
      </c>
      <c r="M14" s="245" t="e">
        <f t="shared" si="3"/>
        <v>#DIV/0!</v>
      </c>
      <c r="N14" s="245" t="e">
        <f t="shared" si="4"/>
        <v>#DIV/0!</v>
      </c>
      <c r="O14" s="245" t="e">
        <f t="shared" si="5"/>
        <v>#DIV/0!</v>
      </c>
      <c r="P14" s="5" t="s">
        <v>41</v>
      </c>
    </row>
    <row r="15" spans="1:16" x14ac:dyDescent="0.25">
      <c r="A15" s="323"/>
      <c r="B15" s="236" t="s">
        <v>24</v>
      </c>
      <c r="C15" s="236" t="s">
        <v>641</v>
      </c>
      <c r="D15" s="243">
        <v>118</v>
      </c>
      <c r="E15" s="243">
        <v>122</v>
      </c>
      <c r="F15" s="243">
        <v>0</v>
      </c>
      <c r="G15" s="243">
        <v>0</v>
      </c>
      <c r="H15" s="243">
        <v>0</v>
      </c>
      <c r="I15" s="243">
        <f t="shared" si="0"/>
        <v>0</v>
      </c>
      <c r="J15" s="243">
        <v>0</v>
      </c>
      <c r="K15" s="243">
        <f t="shared" si="1"/>
        <v>122</v>
      </c>
      <c r="L15" s="244">
        <f t="shared" si="2"/>
        <v>0</v>
      </c>
      <c r="M15" s="245">
        <f t="shared" si="3"/>
        <v>0</v>
      </c>
      <c r="N15" s="245">
        <f t="shared" si="4"/>
        <v>1</v>
      </c>
      <c r="O15" s="245">
        <f t="shared" si="5"/>
        <v>1</v>
      </c>
      <c r="P15" s="5" t="s">
        <v>41</v>
      </c>
    </row>
    <row r="16" spans="1:16" ht="15.75" x14ac:dyDescent="0.25">
      <c r="A16" s="321">
        <v>3</v>
      </c>
      <c r="B16" s="237" t="s">
        <v>542</v>
      </c>
      <c r="C16" s="237"/>
      <c r="D16" s="243"/>
      <c r="E16" s="243"/>
      <c r="F16" s="243"/>
      <c r="G16" s="243">
        <v>0</v>
      </c>
      <c r="H16" s="243">
        <v>0</v>
      </c>
      <c r="I16" s="243">
        <f t="shared" si="0"/>
        <v>0</v>
      </c>
      <c r="J16" s="243">
        <v>0</v>
      </c>
      <c r="K16" s="243">
        <f t="shared" si="1"/>
        <v>0</v>
      </c>
      <c r="L16" s="244" t="e">
        <f t="shared" si="2"/>
        <v>#DIV/0!</v>
      </c>
      <c r="M16" s="245" t="e">
        <f t="shared" si="3"/>
        <v>#DIV/0!</v>
      </c>
      <c r="N16" s="245" t="e">
        <f t="shared" si="4"/>
        <v>#DIV/0!</v>
      </c>
      <c r="O16" s="245" t="e">
        <f t="shared" si="5"/>
        <v>#DIV/0!</v>
      </c>
      <c r="P16" s="5" t="s">
        <v>41</v>
      </c>
    </row>
    <row r="17" spans="1:16" x14ac:dyDescent="0.25">
      <c r="A17" s="322"/>
      <c r="B17" s="236" t="s">
        <v>22</v>
      </c>
      <c r="C17" s="236" t="s">
        <v>642</v>
      </c>
      <c r="D17" s="243">
        <v>59</v>
      </c>
      <c r="E17" s="243">
        <v>61</v>
      </c>
      <c r="F17" s="243">
        <v>0</v>
      </c>
      <c r="G17" s="243">
        <v>0</v>
      </c>
      <c r="H17" s="243">
        <v>0</v>
      </c>
      <c r="I17" s="243">
        <f t="shared" si="0"/>
        <v>0</v>
      </c>
      <c r="J17" s="243">
        <v>0</v>
      </c>
      <c r="K17" s="243">
        <f t="shared" si="1"/>
        <v>61</v>
      </c>
      <c r="L17" s="244">
        <f t="shared" si="2"/>
        <v>0</v>
      </c>
      <c r="M17" s="245">
        <f t="shared" si="3"/>
        <v>0</v>
      </c>
      <c r="N17" s="245">
        <f t="shared" si="4"/>
        <v>1</v>
      </c>
      <c r="O17" s="245">
        <f t="shared" si="5"/>
        <v>1</v>
      </c>
      <c r="P17" s="5" t="s">
        <v>41</v>
      </c>
    </row>
    <row r="18" spans="1:16" x14ac:dyDescent="0.25">
      <c r="A18" s="322"/>
      <c r="B18" s="236" t="s">
        <v>23</v>
      </c>
      <c r="C18" s="236" t="s">
        <v>643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f t="shared" si="0"/>
        <v>0</v>
      </c>
      <c r="J18" s="243">
        <v>0</v>
      </c>
      <c r="K18" s="243">
        <f t="shared" si="1"/>
        <v>0</v>
      </c>
      <c r="L18" s="244" t="e">
        <f t="shared" si="2"/>
        <v>#DIV/0!</v>
      </c>
      <c r="M18" s="245" t="e">
        <f t="shared" si="3"/>
        <v>#DIV/0!</v>
      </c>
      <c r="N18" s="245" t="e">
        <f t="shared" si="4"/>
        <v>#DIV/0!</v>
      </c>
      <c r="O18" s="245" t="e">
        <f t="shared" si="5"/>
        <v>#DIV/0!</v>
      </c>
      <c r="P18" s="5" t="s">
        <v>41</v>
      </c>
    </row>
    <row r="19" spans="1:16" x14ac:dyDescent="0.25">
      <c r="A19" s="322"/>
      <c r="B19" s="236" t="s">
        <v>24</v>
      </c>
      <c r="C19" s="236" t="s">
        <v>644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f t="shared" si="0"/>
        <v>0</v>
      </c>
      <c r="J19" s="243">
        <v>0</v>
      </c>
      <c r="K19" s="243">
        <f t="shared" si="1"/>
        <v>0</v>
      </c>
      <c r="L19" s="244" t="e">
        <f t="shared" si="2"/>
        <v>#DIV/0!</v>
      </c>
      <c r="M19" s="245" t="e">
        <f t="shared" si="3"/>
        <v>#DIV/0!</v>
      </c>
      <c r="N19" s="245" t="e">
        <f t="shared" si="4"/>
        <v>#DIV/0!</v>
      </c>
      <c r="O19" s="245" t="e">
        <f t="shared" si="5"/>
        <v>#DIV/0!</v>
      </c>
      <c r="P19" s="5" t="s">
        <v>41</v>
      </c>
    </row>
    <row r="20" spans="1:16" x14ac:dyDescent="0.25">
      <c r="A20" s="322"/>
      <c r="B20" s="236" t="s">
        <v>25</v>
      </c>
      <c r="C20" s="236" t="s">
        <v>645</v>
      </c>
      <c r="D20" s="243">
        <v>0</v>
      </c>
      <c r="E20" s="243">
        <v>0</v>
      </c>
      <c r="F20" s="243">
        <v>0</v>
      </c>
      <c r="G20" s="243">
        <v>0</v>
      </c>
      <c r="H20" s="243">
        <v>0</v>
      </c>
      <c r="I20" s="243">
        <f t="shared" si="0"/>
        <v>0</v>
      </c>
      <c r="J20" s="243">
        <v>0</v>
      </c>
      <c r="K20" s="243">
        <f t="shared" si="1"/>
        <v>0</v>
      </c>
      <c r="L20" s="244" t="e">
        <f t="shared" si="2"/>
        <v>#DIV/0!</v>
      </c>
      <c r="M20" s="245" t="e">
        <f t="shared" si="3"/>
        <v>#DIV/0!</v>
      </c>
      <c r="N20" s="245" t="e">
        <f t="shared" si="4"/>
        <v>#DIV/0!</v>
      </c>
      <c r="O20" s="245" t="e">
        <f t="shared" si="5"/>
        <v>#DIV/0!</v>
      </c>
      <c r="P20" s="5" t="s">
        <v>41</v>
      </c>
    </row>
    <row r="21" spans="1:16" x14ac:dyDescent="0.25">
      <c r="A21" s="323"/>
      <c r="B21" s="236" t="s">
        <v>25</v>
      </c>
      <c r="C21" s="236" t="s">
        <v>646</v>
      </c>
      <c r="D21" s="243">
        <v>0</v>
      </c>
      <c r="E21" s="243">
        <v>0</v>
      </c>
      <c r="F21" s="243">
        <v>0</v>
      </c>
      <c r="G21" s="243">
        <v>0</v>
      </c>
      <c r="H21" s="243">
        <v>0</v>
      </c>
      <c r="I21" s="243">
        <f t="shared" si="0"/>
        <v>0</v>
      </c>
      <c r="J21" s="243">
        <v>0</v>
      </c>
      <c r="K21" s="243">
        <f t="shared" si="1"/>
        <v>0</v>
      </c>
      <c r="L21" s="244" t="e">
        <f t="shared" si="2"/>
        <v>#DIV/0!</v>
      </c>
      <c r="M21" s="245" t="e">
        <f t="shared" si="3"/>
        <v>#DIV/0!</v>
      </c>
      <c r="N21" s="245" t="e">
        <f t="shared" si="4"/>
        <v>#DIV/0!</v>
      </c>
      <c r="O21" s="245" t="e">
        <f t="shared" si="5"/>
        <v>#DIV/0!</v>
      </c>
      <c r="P21" s="5" t="s">
        <v>41</v>
      </c>
    </row>
    <row r="22" spans="1:16" ht="15.75" x14ac:dyDescent="0.25">
      <c r="A22" s="321">
        <v>4</v>
      </c>
      <c r="B22" s="237" t="s">
        <v>544</v>
      </c>
      <c r="C22" s="237"/>
      <c r="D22" s="243"/>
      <c r="E22" s="243"/>
      <c r="F22" s="243"/>
      <c r="G22" s="243">
        <v>0</v>
      </c>
      <c r="H22" s="243">
        <v>0</v>
      </c>
      <c r="I22" s="243">
        <f t="shared" si="0"/>
        <v>0</v>
      </c>
      <c r="J22" s="243">
        <v>0</v>
      </c>
      <c r="K22" s="243">
        <f t="shared" si="1"/>
        <v>0</v>
      </c>
      <c r="L22" s="244" t="e">
        <f t="shared" si="2"/>
        <v>#DIV/0!</v>
      </c>
      <c r="M22" s="245" t="e">
        <f t="shared" si="3"/>
        <v>#DIV/0!</v>
      </c>
      <c r="N22" s="245" t="e">
        <f t="shared" si="4"/>
        <v>#DIV/0!</v>
      </c>
      <c r="O22" s="245" t="e">
        <f t="shared" si="5"/>
        <v>#DIV/0!</v>
      </c>
      <c r="P22" s="5" t="s">
        <v>41</v>
      </c>
    </row>
    <row r="23" spans="1:16" ht="28.5" x14ac:dyDescent="0.25">
      <c r="A23" s="322"/>
      <c r="B23" s="236" t="s">
        <v>22</v>
      </c>
      <c r="C23" s="236" t="s">
        <v>647</v>
      </c>
      <c r="D23" s="243">
        <v>41</v>
      </c>
      <c r="E23" s="243">
        <v>37</v>
      </c>
      <c r="F23" s="243">
        <v>0</v>
      </c>
      <c r="G23" s="243">
        <v>1</v>
      </c>
      <c r="H23" s="243">
        <v>0</v>
      </c>
      <c r="I23" s="243">
        <f t="shared" si="0"/>
        <v>1</v>
      </c>
      <c r="J23" s="243">
        <v>0</v>
      </c>
      <c r="K23" s="243">
        <f t="shared" si="1"/>
        <v>36</v>
      </c>
      <c r="L23" s="244">
        <f t="shared" si="2"/>
        <v>2.7027027027027029E-2</v>
      </c>
      <c r="M23" s="245">
        <f t="shared" si="3"/>
        <v>0</v>
      </c>
      <c r="N23" s="245">
        <f t="shared" si="4"/>
        <v>0.97297297297297303</v>
      </c>
      <c r="O23" s="245">
        <f t="shared" si="5"/>
        <v>0.97297297297297303</v>
      </c>
      <c r="P23" s="246" t="s">
        <v>648</v>
      </c>
    </row>
    <row r="24" spans="1:16" ht="45" x14ac:dyDescent="0.25">
      <c r="A24" s="322"/>
      <c r="B24" s="236" t="s">
        <v>23</v>
      </c>
      <c r="C24" s="236" t="s">
        <v>649</v>
      </c>
      <c r="D24" s="243">
        <v>41</v>
      </c>
      <c r="E24" s="243">
        <v>37</v>
      </c>
      <c r="F24" s="243">
        <v>0</v>
      </c>
      <c r="G24" s="243">
        <v>3</v>
      </c>
      <c r="H24" s="243">
        <v>0</v>
      </c>
      <c r="I24" s="243">
        <f t="shared" si="0"/>
        <v>3</v>
      </c>
      <c r="J24" s="243">
        <v>0</v>
      </c>
      <c r="K24" s="243">
        <f t="shared" si="1"/>
        <v>34</v>
      </c>
      <c r="L24" s="244">
        <f t="shared" si="2"/>
        <v>8.1081081081081086E-2</v>
      </c>
      <c r="M24" s="245">
        <f t="shared" si="3"/>
        <v>0</v>
      </c>
      <c r="N24" s="245">
        <f t="shared" si="4"/>
        <v>0.91891891891891897</v>
      </c>
      <c r="O24" s="245">
        <f t="shared" si="5"/>
        <v>0.91891891891891897</v>
      </c>
      <c r="P24" s="5" t="s">
        <v>650</v>
      </c>
    </row>
    <row r="25" spans="1:16" x14ac:dyDescent="0.25">
      <c r="A25" s="322"/>
      <c r="B25" s="236" t="s">
        <v>24</v>
      </c>
      <c r="C25" s="236" t="s">
        <v>651</v>
      </c>
      <c r="D25" s="243">
        <v>41</v>
      </c>
      <c r="E25" s="243">
        <v>37</v>
      </c>
      <c r="F25" s="243">
        <v>0</v>
      </c>
      <c r="G25" s="243">
        <v>0</v>
      </c>
      <c r="H25" s="243">
        <v>0</v>
      </c>
      <c r="I25" s="243">
        <f t="shared" si="0"/>
        <v>0</v>
      </c>
      <c r="J25" s="243">
        <v>0</v>
      </c>
      <c r="K25" s="243">
        <f t="shared" si="1"/>
        <v>37</v>
      </c>
      <c r="L25" s="244">
        <f t="shared" si="2"/>
        <v>0</v>
      </c>
      <c r="M25" s="245">
        <f t="shared" si="3"/>
        <v>0</v>
      </c>
      <c r="N25" s="245">
        <f t="shared" si="4"/>
        <v>1</v>
      </c>
      <c r="O25" s="245">
        <f t="shared" si="5"/>
        <v>1</v>
      </c>
      <c r="P25" s="5" t="s">
        <v>41</v>
      </c>
    </row>
    <row r="26" spans="1:16" x14ac:dyDescent="0.25">
      <c r="A26" s="323"/>
      <c r="B26" s="236" t="s">
        <v>25</v>
      </c>
      <c r="C26" s="236" t="s">
        <v>652</v>
      </c>
      <c r="D26" s="243">
        <v>41</v>
      </c>
      <c r="E26" s="243">
        <v>37</v>
      </c>
      <c r="F26" s="243">
        <v>0</v>
      </c>
      <c r="G26" s="243">
        <v>0</v>
      </c>
      <c r="H26" s="243">
        <v>0</v>
      </c>
      <c r="I26" s="243">
        <f t="shared" si="0"/>
        <v>0</v>
      </c>
      <c r="J26" s="243">
        <v>0</v>
      </c>
      <c r="K26" s="243">
        <f t="shared" si="1"/>
        <v>37</v>
      </c>
      <c r="L26" s="244">
        <f t="shared" si="2"/>
        <v>0</v>
      </c>
      <c r="M26" s="245">
        <f t="shared" si="3"/>
        <v>0</v>
      </c>
      <c r="N26" s="245">
        <f t="shared" si="4"/>
        <v>1</v>
      </c>
      <c r="O26" s="245">
        <f t="shared" si="5"/>
        <v>1</v>
      </c>
      <c r="P26" s="5" t="s">
        <v>41</v>
      </c>
    </row>
    <row r="27" spans="1:16" ht="15.75" x14ac:dyDescent="0.25">
      <c r="A27" s="321">
        <v>5</v>
      </c>
      <c r="B27" s="237" t="s">
        <v>545</v>
      </c>
      <c r="C27" s="236"/>
      <c r="D27" s="243"/>
      <c r="E27" s="243"/>
      <c r="F27" s="243"/>
      <c r="G27" s="243">
        <v>0</v>
      </c>
      <c r="H27" s="243">
        <v>0</v>
      </c>
      <c r="I27" s="243">
        <f t="shared" si="0"/>
        <v>0</v>
      </c>
      <c r="J27" s="243">
        <v>0</v>
      </c>
      <c r="K27" s="243">
        <f t="shared" si="1"/>
        <v>0</v>
      </c>
      <c r="L27" s="244" t="e">
        <f t="shared" si="2"/>
        <v>#DIV/0!</v>
      </c>
      <c r="M27" s="245" t="e">
        <f t="shared" si="3"/>
        <v>#DIV/0!</v>
      </c>
      <c r="N27" s="245" t="e">
        <f t="shared" si="4"/>
        <v>#DIV/0!</v>
      </c>
      <c r="O27" s="245" t="e">
        <f t="shared" si="5"/>
        <v>#DIV/0!</v>
      </c>
      <c r="P27" s="5" t="s">
        <v>41</v>
      </c>
    </row>
    <row r="28" spans="1:16" ht="85.5" x14ac:dyDescent="0.25">
      <c r="A28" s="322"/>
      <c r="B28" s="236" t="s">
        <v>22</v>
      </c>
      <c r="C28" s="236" t="s">
        <v>653</v>
      </c>
      <c r="D28" s="247">
        <v>41</v>
      </c>
      <c r="E28" s="247">
        <v>37</v>
      </c>
      <c r="F28" s="247">
        <v>0</v>
      </c>
      <c r="G28" s="247">
        <v>7</v>
      </c>
      <c r="H28" s="247">
        <v>0</v>
      </c>
      <c r="I28" s="247">
        <f t="shared" si="0"/>
        <v>7</v>
      </c>
      <c r="J28" s="247">
        <v>0</v>
      </c>
      <c r="K28" s="247">
        <f t="shared" si="1"/>
        <v>30</v>
      </c>
      <c r="L28" s="248">
        <f t="shared" si="2"/>
        <v>0.1891891891891892</v>
      </c>
      <c r="M28" s="249">
        <f t="shared" si="3"/>
        <v>0</v>
      </c>
      <c r="N28" s="249">
        <f t="shared" si="4"/>
        <v>0.81081081081081086</v>
      </c>
      <c r="O28" s="249">
        <f t="shared" si="5"/>
        <v>0.81081081081081086</v>
      </c>
      <c r="P28" s="250" t="s">
        <v>654</v>
      </c>
    </row>
    <row r="29" spans="1:16" x14ac:dyDescent="0.25">
      <c r="A29" s="323"/>
      <c r="B29" s="236" t="s">
        <v>23</v>
      </c>
      <c r="C29" s="236" t="s">
        <v>655</v>
      </c>
      <c r="D29" s="243">
        <v>82</v>
      </c>
      <c r="E29" s="243">
        <v>68</v>
      </c>
      <c r="F29" s="243">
        <v>0</v>
      </c>
      <c r="G29" s="243">
        <v>0</v>
      </c>
      <c r="H29" s="243">
        <v>0</v>
      </c>
      <c r="I29" s="243">
        <f t="shared" si="0"/>
        <v>0</v>
      </c>
      <c r="J29" s="243">
        <v>0</v>
      </c>
      <c r="K29" s="243">
        <f t="shared" si="1"/>
        <v>68</v>
      </c>
      <c r="L29" s="244">
        <f t="shared" si="2"/>
        <v>0</v>
      </c>
      <c r="M29" s="245">
        <f t="shared" si="3"/>
        <v>0</v>
      </c>
      <c r="N29" s="245">
        <f t="shared" si="4"/>
        <v>1</v>
      </c>
      <c r="O29" s="245">
        <f t="shared" si="5"/>
        <v>1</v>
      </c>
      <c r="P29" s="5" t="s">
        <v>41</v>
      </c>
    </row>
    <row r="30" spans="1:16" ht="15.75" x14ac:dyDescent="0.25">
      <c r="A30" s="321">
        <v>6</v>
      </c>
      <c r="B30" s="237" t="s">
        <v>546</v>
      </c>
      <c r="C30" s="237"/>
      <c r="D30" s="243"/>
      <c r="E30" s="243"/>
      <c r="F30" s="243"/>
      <c r="G30" s="243">
        <v>0</v>
      </c>
      <c r="H30" s="243">
        <v>0</v>
      </c>
      <c r="I30" s="243">
        <f t="shared" si="0"/>
        <v>0</v>
      </c>
      <c r="J30" s="243">
        <v>0</v>
      </c>
      <c r="K30" s="243">
        <f t="shared" si="1"/>
        <v>0</v>
      </c>
      <c r="L30" s="244" t="e">
        <f t="shared" si="2"/>
        <v>#DIV/0!</v>
      </c>
      <c r="M30" s="245" t="e">
        <f t="shared" si="3"/>
        <v>#DIV/0!</v>
      </c>
      <c r="N30" s="245" t="e">
        <f t="shared" si="4"/>
        <v>#DIV/0!</v>
      </c>
      <c r="O30" s="245" t="e">
        <f t="shared" si="5"/>
        <v>#DIV/0!</v>
      </c>
      <c r="P30" s="5" t="s">
        <v>41</v>
      </c>
    </row>
    <row r="31" spans="1:16" x14ac:dyDescent="0.25">
      <c r="A31" s="322"/>
      <c r="B31" s="236" t="s">
        <v>22</v>
      </c>
      <c r="C31" s="236" t="s">
        <v>656</v>
      </c>
      <c r="D31" s="243">
        <v>0</v>
      </c>
      <c r="E31" s="243">
        <v>0</v>
      </c>
      <c r="F31" s="243">
        <v>0</v>
      </c>
      <c r="G31" s="243">
        <v>0</v>
      </c>
      <c r="H31" s="243">
        <v>0</v>
      </c>
      <c r="I31" s="243">
        <f t="shared" si="0"/>
        <v>0</v>
      </c>
      <c r="J31" s="243">
        <v>0</v>
      </c>
      <c r="K31" s="243">
        <f t="shared" si="1"/>
        <v>0</v>
      </c>
      <c r="L31" s="244" t="e">
        <f t="shared" si="2"/>
        <v>#DIV/0!</v>
      </c>
      <c r="M31" s="245" t="e">
        <f t="shared" si="3"/>
        <v>#DIV/0!</v>
      </c>
      <c r="N31" s="245" t="e">
        <f t="shared" si="4"/>
        <v>#DIV/0!</v>
      </c>
      <c r="O31" s="245" t="e">
        <f t="shared" si="5"/>
        <v>#DIV/0!</v>
      </c>
      <c r="P31" s="5" t="s">
        <v>41</v>
      </c>
    </row>
    <row r="32" spans="1:16" x14ac:dyDescent="0.25">
      <c r="A32" s="322"/>
      <c r="B32" s="236" t="s">
        <v>23</v>
      </c>
      <c r="C32" s="236" t="s">
        <v>657</v>
      </c>
      <c r="D32" s="243">
        <v>41</v>
      </c>
      <c r="E32" s="243">
        <v>34</v>
      </c>
      <c r="F32" s="243">
        <v>0</v>
      </c>
      <c r="G32" s="243">
        <v>0</v>
      </c>
      <c r="H32" s="243">
        <v>0</v>
      </c>
      <c r="I32" s="243">
        <f t="shared" si="0"/>
        <v>0</v>
      </c>
      <c r="J32" s="243">
        <v>0</v>
      </c>
      <c r="K32" s="243">
        <f t="shared" si="1"/>
        <v>34</v>
      </c>
      <c r="L32" s="244">
        <f t="shared" si="2"/>
        <v>0</v>
      </c>
      <c r="M32" s="245">
        <f t="shared" si="3"/>
        <v>0</v>
      </c>
      <c r="N32" s="245">
        <f t="shared" si="4"/>
        <v>1</v>
      </c>
      <c r="O32" s="245">
        <f t="shared" si="5"/>
        <v>1</v>
      </c>
      <c r="P32" s="5" t="s">
        <v>41</v>
      </c>
    </row>
    <row r="33" spans="1:16" x14ac:dyDescent="0.25">
      <c r="A33" s="322"/>
      <c r="B33" s="236" t="s">
        <v>24</v>
      </c>
      <c r="C33" s="236" t="s">
        <v>658</v>
      </c>
      <c r="D33" s="243">
        <v>0</v>
      </c>
      <c r="E33" s="243">
        <v>0</v>
      </c>
      <c r="F33" s="243">
        <v>0</v>
      </c>
      <c r="G33" s="243">
        <v>0</v>
      </c>
      <c r="H33" s="243">
        <v>0</v>
      </c>
      <c r="I33" s="243">
        <f t="shared" si="0"/>
        <v>0</v>
      </c>
      <c r="J33" s="243">
        <v>0</v>
      </c>
      <c r="K33" s="243">
        <f t="shared" si="1"/>
        <v>0</v>
      </c>
      <c r="L33" s="244" t="e">
        <f t="shared" si="2"/>
        <v>#DIV/0!</v>
      </c>
      <c r="M33" s="245" t="e">
        <f t="shared" si="3"/>
        <v>#DIV/0!</v>
      </c>
      <c r="N33" s="245" t="e">
        <f t="shared" si="4"/>
        <v>#DIV/0!</v>
      </c>
      <c r="O33" s="245" t="e">
        <f t="shared" si="5"/>
        <v>#DIV/0!</v>
      </c>
      <c r="P33" s="5" t="s">
        <v>41</v>
      </c>
    </row>
    <row r="34" spans="1:16" x14ac:dyDescent="0.25">
      <c r="A34" s="322"/>
      <c r="B34" s="236" t="s">
        <v>25</v>
      </c>
      <c r="C34" s="236" t="s">
        <v>659</v>
      </c>
      <c r="D34" s="243">
        <v>0</v>
      </c>
      <c r="E34" s="243">
        <v>0</v>
      </c>
      <c r="F34" s="243">
        <v>0</v>
      </c>
      <c r="G34" s="243">
        <v>0</v>
      </c>
      <c r="H34" s="243">
        <v>0</v>
      </c>
      <c r="I34" s="243">
        <f t="shared" si="0"/>
        <v>0</v>
      </c>
      <c r="J34" s="243">
        <v>0</v>
      </c>
      <c r="K34" s="243">
        <f t="shared" si="1"/>
        <v>0</v>
      </c>
      <c r="L34" s="244" t="e">
        <f t="shared" si="2"/>
        <v>#DIV/0!</v>
      </c>
      <c r="M34" s="245" t="e">
        <f t="shared" si="3"/>
        <v>#DIV/0!</v>
      </c>
      <c r="N34" s="245" t="e">
        <f t="shared" si="4"/>
        <v>#DIV/0!</v>
      </c>
      <c r="O34" s="245" t="e">
        <f t="shared" si="5"/>
        <v>#DIV/0!</v>
      </c>
      <c r="P34" s="5" t="s">
        <v>41</v>
      </c>
    </row>
    <row r="35" spans="1:16" x14ac:dyDescent="0.25">
      <c r="A35" s="323"/>
      <c r="B35" s="236" t="s">
        <v>26</v>
      </c>
      <c r="C35" s="236" t="s">
        <v>660</v>
      </c>
      <c r="D35" s="243">
        <v>41</v>
      </c>
      <c r="E35" s="243">
        <v>34</v>
      </c>
      <c r="F35" s="243">
        <v>0</v>
      </c>
      <c r="G35" s="243">
        <v>0</v>
      </c>
      <c r="H35" s="243">
        <v>0</v>
      </c>
      <c r="I35" s="243">
        <f t="shared" si="0"/>
        <v>0</v>
      </c>
      <c r="J35" s="243">
        <v>0</v>
      </c>
      <c r="K35" s="243">
        <f t="shared" si="1"/>
        <v>34</v>
      </c>
      <c r="L35" s="244">
        <f t="shared" si="2"/>
        <v>0</v>
      </c>
      <c r="M35" s="245">
        <f t="shared" si="3"/>
        <v>0</v>
      </c>
      <c r="N35" s="245">
        <f t="shared" si="4"/>
        <v>1</v>
      </c>
      <c r="O35" s="245">
        <f t="shared" si="5"/>
        <v>1</v>
      </c>
      <c r="P35" s="5" t="s">
        <v>41</v>
      </c>
    </row>
    <row r="36" spans="1:16" ht="15.75" x14ac:dyDescent="0.25">
      <c r="A36" s="321">
        <v>7</v>
      </c>
      <c r="B36" s="237" t="s">
        <v>548</v>
      </c>
      <c r="C36" s="236"/>
      <c r="D36" s="243"/>
      <c r="E36" s="243"/>
      <c r="F36" s="243"/>
      <c r="G36" s="243">
        <v>0</v>
      </c>
      <c r="H36" s="243">
        <v>0</v>
      </c>
      <c r="I36" s="243">
        <f t="shared" si="0"/>
        <v>0</v>
      </c>
      <c r="J36" s="243">
        <v>0</v>
      </c>
      <c r="K36" s="243">
        <f t="shared" si="1"/>
        <v>0</v>
      </c>
      <c r="L36" s="244" t="e">
        <f t="shared" si="2"/>
        <v>#DIV/0!</v>
      </c>
      <c r="M36" s="245" t="e">
        <f t="shared" si="3"/>
        <v>#DIV/0!</v>
      </c>
      <c r="N36" s="245" t="e">
        <f t="shared" si="4"/>
        <v>#DIV/0!</v>
      </c>
      <c r="O36" s="245" t="e">
        <f t="shared" si="5"/>
        <v>#DIV/0!</v>
      </c>
      <c r="P36" s="5" t="s">
        <v>41</v>
      </c>
    </row>
    <row r="37" spans="1:16" x14ac:dyDescent="0.25">
      <c r="A37" s="322"/>
      <c r="B37" s="236" t="s">
        <v>22</v>
      </c>
      <c r="C37" s="236" t="s">
        <v>661</v>
      </c>
      <c r="D37" s="243">
        <v>98</v>
      </c>
      <c r="E37" s="243">
        <v>98</v>
      </c>
      <c r="F37" s="243">
        <v>0</v>
      </c>
      <c r="G37" s="243">
        <v>0</v>
      </c>
      <c r="H37" s="243">
        <v>0</v>
      </c>
      <c r="I37" s="243">
        <f t="shared" si="0"/>
        <v>0</v>
      </c>
      <c r="J37" s="243">
        <v>0</v>
      </c>
      <c r="K37" s="243">
        <f t="shared" si="1"/>
        <v>98</v>
      </c>
      <c r="L37" s="244">
        <f t="shared" si="2"/>
        <v>0</v>
      </c>
      <c r="M37" s="245">
        <f t="shared" si="3"/>
        <v>0</v>
      </c>
      <c r="N37" s="245">
        <f t="shared" si="4"/>
        <v>1</v>
      </c>
      <c r="O37" s="245">
        <f t="shared" si="5"/>
        <v>1</v>
      </c>
      <c r="P37" s="5" t="s">
        <v>41</v>
      </c>
    </row>
    <row r="38" spans="1:16" x14ac:dyDescent="0.25">
      <c r="A38" s="322"/>
      <c r="B38" s="236" t="s">
        <v>23</v>
      </c>
      <c r="C38" s="236" t="s">
        <v>662</v>
      </c>
      <c r="D38" s="243">
        <v>0</v>
      </c>
      <c r="E38" s="243">
        <v>0</v>
      </c>
      <c r="F38" s="243">
        <v>0</v>
      </c>
      <c r="G38" s="243">
        <v>0</v>
      </c>
      <c r="H38" s="243">
        <v>0</v>
      </c>
      <c r="I38" s="243">
        <f t="shared" si="0"/>
        <v>0</v>
      </c>
      <c r="J38" s="243">
        <v>0</v>
      </c>
      <c r="K38" s="243">
        <f t="shared" si="1"/>
        <v>0</v>
      </c>
      <c r="L38" s="244" t="e">
        <f t="shared" si="2"/>
        <v>#DIV/0!</v>
      </c>
      <c r="M38" s="245" t="e">
        <f t="shared" si="3"/>
        <v>#DIV/0!</v>
      </c>
      <c r="N38" s="245" t="e">
        <f t="shared" si="4"/>
        <v>#DIV/0!</v>
      </c>
      <c r="O38" s="245" t="e">
        <f t="shared" si="5"/>
        <v>#DIV/0!</v>
      </c>
      <c r="P38" s="5" t="s">
        <v>41</v>
      </c>
    </row>
    <row r="39" spans="1:16" x14ac:dyDescent="0.25">
      <c r="A39" s="322"/>
      <c r="B39" s="236" t="s">
        <v>24</v>
      </c>
      <c r="C39" s="236" t="s">
        <v>663</v>
      </c>
      <c r="D39" s="243">
        <v>30</v>
      </c>
      <c r="E39" s="243">
        <v>30</v>
      </c>
      <c r="F39" s="243">
        <v>0</v>
      </c>
      <c r="G39" s="243">
        <v>0</v>
      </c>
      <c r="H39" s="243">
        <v>0</v>
      </c>
      <c r="I39" s="243">
        <f t="shared" si="0"/>
        <v>0</v>
      </c>
      <c r="J39" s="243">
        <v>0</v>
      </c>
      <c r="K39" s="243">
        <f t="shared" si="1"/>
        <v>30</v>
      </c>
      <c r="L39" s="244">
        <f t="shared" si="2"/>
        <v>0</v>
      </c>
      <c r="M39" s="245">
        <f t="shared" si="3"/>
        <v>0</v>
      </c>
      <c r="N39" s="245">
        <f t="shared" si="4"/>
        <v>1</v>
      </c>
      <c r="O39" s="245">
        <f t="shared" si="5"/>
        <v>1</v>
      </c>
      <c r="P39" s="5" t="s">
        <v>41</v>
      </c>
    </row>
    <row r="40" spans="1:16" x14ac:dyDescent="0.25">
      <c r="A40" s="323"/>
      <c r="B40" s="236" t="s">
        <v>25</v>
      </c>
      <c r="C40" s="236" t="s">
        <v>664</v>
      </c>
      <c r="D40" s="243">
        <v>0</v>
      </c>
      <c r="E40" s="243">
        <v>0</v>
      </c>
      <c r="F40" s="243">
        <v>0</v>
      </c>
      <c r="G40" s="243">
        <v>0</v>
      </c>
      <c r="H40" s="243">
        <v>0</v>
      </c>
      <c r="I40" s="243">
        <f t="shared" si="0"/>
        <v>0</v>
      </c>
      <c r="J40" s="243">
        <v>0</v>
      </c>
      <c r="K40" s="243">
        <f t="shared" si="1"/>
        <v>0</v>
      </c>
      <c r="L40" s="244" t="e">
        <f t="shared" si="2"/>
        <v>#DIV/0!</v>
      </c>
      <c r="M40" s="245" t="e">
        <f t="shared" si="3"/>
        <v>#DIV/0!</v>
      </c>
      <c r="N40" s="245" t="e">
        <f t="shared" si="4"/>
        <v>#DIV/0!</v>
      </c>
      <c r="O40" s="245" t="e">
        <f t="shared" si="5"/>
        <v>#DIV/0!</v>
      </c>
      <c r="P40" s="5" t="s">
        <v>41</v>
      </c>
    </row>
    <row r="41" spans="1:16" ht="15.75" x14ac:dyDescent="0.25">
      <c r="A41" s="321">
        <v>8</v>
      </c>
      <c r="B41" s="237" t="s">
        <v>550</v>
      </c>
      <c r="C41" s="236"/>
      <c r="D41" s="243"/>
      <c r="E41" s="243"/>
      <c r="F41" s="243"/>
      <c r="G41" s="243">
        <v>0</v>
      </c>
      <c r="H41" s="243">
        <v>0</v>
      </c>
      <c r="I41" s="243">
        <f t="shared" si="0"/>
        <v>0</v>
      </c>
      <c r="J41" s="243">
        <v>0</v>
      </c>
      <c r="K41" s="243">
        <f t="shared" si="1"/>
        <v>0</v>
      </c>
      <c r="L41" s="244" t="e">
        <f t="shared" si="2"/>
        <v>#DIV/0!</v>
      </c>
      <c r="M41" s="245" t="e">
        <f t="shared" si="3"/>
        <v>#DIV/0!</v>
      </c>
      <c r="N41" s="245" t="e">
        <f t="shared" si="4"/>
        <v>#DIV/0!</v>
      </c>
      <c r="O41" s="245" t="e">
        <f t="shared" si="5"/>
        <v>#DIV/0!</v>
      </c>
      <c r="P41" s="5" t="s">
        <v>41</v>
      </c>
    </row>
    <row r="42" spans="1:16" x14ac:dyDescent="0.25">
      <c r="A42" s="322"/>
      <c r="B42" s="236" t="s">
        <v>22</v>
      </c>
      <c r="C42" s="236" t="s">
        <v>665</v>
      </c>
      <c r="D42" s="243">
        <v>106</v>
      </c>
      <c r="E42" s="243">
        <v>114</v>
      </c>
      <c r="F42" s="243">
        <v>0</v>
      </c>
      <c r="G42" s="243">
        <v>0</v>
      </c>
      <c r="H42" s="243">
        <v>0</v>
      </c>
      <c r="I42" s="243">
        <f t="shared" si="0"/>
        <v>0</v>
      </c>
      <c r="J42" s="243">
        <v>0</v>
      </c>
      <c r="K42" s="243">
        <f t="shared" si="1"/>
        <v>114</v>
      </c>
      <c r="L42" s="244">
        <f t="shared" si="2"/>
        <v>0</v>
      </c>
      <c r="M42" s="245">
        <f t="shared" si="3"/>
        <v>0</v>
      </c>
      <c r="N42" s="245">
        <f t="shared" si="4"/>
        <v>1</v>
      </c>
      <c r="O42" s="245">
        <f t="shared" si="5"/>
        <v>1</v>
      </c>
      <c r="P42" s="5"/>
    </row>
    <row r="43" spans="1:16" x14ac:dyDescent="0.25">
      <c r="A43" s="323"/>
      <c r="B43" s="236" t="s">
        <v>23</v>
      </c>
      <c r="C43" s="236" t="s">
        <v>666</v>
      </c>
      <c r="D43" s="243">
        <v>98</v>
      </c>
      <c r="E43" s="243">
        <v>98</v>
      </c>
      <c r="F43" s="243">
        <v>0</v>
      </c>
      <c r="G43" s="243">
        <v>0</v>
      </c>
      <c r="H43" s="243">
        <v>0</v>
      </c>
      <c r="I43" s="243">
        <f t="shared" si="0"/>
        <v>0</v>
      </c>
      <c r="J43" s="243">
        <v>0</v>
      </c>
      <c r="K43" s="243">
        <f t="shared" si="1"/>
        <v>98</v>
      </c>
      <c r="L43" s="244">
        <f t="shared" si="2"/>
        <v>0</v>
      </c>
      <c r="M43" s="245">
        <f t="shared" si="3"/>
        <v>0</v>
      </c>
      <c r="N43" s="245">
        <f t="shared" si="4"/>
        <v>1</v>
      </c>
      <c r="O43" s="245">
        <f t="shared" si="5"/>
        <v>1</v>
      </c>
      <c r="P43" s="5" t="s">
        <v>41</v>
      </c>
    </row>
    <row r="44" spans="1:16" ht="15.75" x14ac:dyDescent="0.25">
      <c r="A44" s="321">
        <v>9</v>
      </c>
      <c r="B44" s="237" t="s">
        <v>551</v>
      </c>
      <c r="C44" s="236"/>
      <c r="D44" s="243"/>
      <c r="E44" s="243"/>
      <c r="F44" s="243"/>
      <c r="G44" s="243">
        <v>0</v>
      </c>
      <c r="H44" s="243">
        <v>0</v>
      </c>
      <c r="I44" s="243">
        <f t="shared" si="0"/>
        <v>0</v>
      </c>
      <c r="J44" s="243">
        <v>0</v>
      </c>
      <c r="K44" s="243">
        <f t="shared" si="1"/>
        <v>0</v>
      </c>
      <c r="L44" s="244" t="e">
        <f t="shared" si="2"/>
        <v>#DIV/0!</v>
      </c>
      <c r="M44" s="245" t="e">
        <f t="shared" si="3"/>
        <v>#DIV/0!</v>
      </c>
      <c r="N44" s="245" t="e">
        <f t="shared" si="4"/>
        <v>#DIV/0!</v>
      </c>
      <c r="O44" s="245" t="e">
        <f t="shared" si="5"/>
        <v>#DIV/0!</v>
      </c>
      <c r="P44" s="5" t="s">
        <v>41</v>
      </c>
    </row>
    <row r="45" spans="1:16" x14ac:dyDescent="0.25">
      <c r="A45" s="322"/>
      <c r="B45" s="236" t="s">
        <v>22</v>
      </c>
      <c r="C45" s="236" t="s">
        <v>667</v>
      </c>
      <c r="D45" s="243">
        <v>110</v>
      </c>
      <c r="E45" s="243">
        <v>110</v>
      </c>
      <c r="F45" s="243">
        <v>0</v>
      </c>
      <c r="G45" s="243">
        <v>0</v>
      </c>
      <c r="H45" s="243">
        <v>0</v>
      </c>
      <c r="I45" s="243">
        <f t="shared" si="0"/>
        <v>0</v>
      </c>
      <c r="J45" s="243">
        <v>0</v>
      </c>
      <c r="K45" s="243">
        <f t="shared" si="1"/>
        <v>110</v>
      </c>
      <c r="L45" s="244">
        <f t="shared" si="2"/>
        <v>0</v>
      </c>
      <c r="M45" s="245">
        <f t="shared" si="3"/>
        <v>0</v>
      </c>
      <c r="N45" s="245">
        <f t="shared" si="4"/>
        <v>1</v>
      </c>
      <c r="O45" s="245">
        <f t="shared" si="5"/>
        <v>1</v>
      </c>
      <c r="P45" s="5" t="s">
        <v>41</v>
      </c>
    </row>
    <row r="46" spans="1:16" x14ac:dyDescent="0.25">
      <c r="A46" s="322"/>
      <c r="B46" s="236" t="s">
        <v>23</v>
      </c>
      <c r="C46" s="236" t="s">
        <v>668</v>
      </c>
      <c r="D46" s="243">
        <v>0</v>
      </c>
      <c r="E46" s="243">
        <v>0</v>
      </c>
      <c r="F46" s="243">
        <v>0</v>
      </c>
      <c r="G46" s="243">
        <v>0</v>
      </c>
      <c r="H46" s="243">
        <v>0</v>
      </c>
      <c r="I46" s="243">
        <f t="shared" si="0"/>
        <v>0</v>
      </c>
      <c r="J46" s="243">
        <v>0</v>
      </c>
      <c r="K46" s="243">
        <f t="shared" si="1"/>
        <v>0</v>
      </c>
      <c r="L46" s="244" t="e">
        <f t="shared" si="2"/>
        <v>#DIV/0!</v>
      </c>
      <c r="M46" s="245" t="e">
        <f t="shared" si="3"/>
        <v>#DIV/0!</v>
      </c>
      <c r="N46" s="245" t="e">
        <f t="shared" si="4"/>
        <v>#DIV/0!</v>
      </c>
      <c r="O46" s="245" t="e">
        <f t="shared" si="5"/>
        <v>#DIV/0!</v>
      </c>
      <c r="P46" s="5" t="s">
        <v>41</v>
      </c>
    </row>
    <row r="47" spans="1:16" x14ac:dyDescent="0.25">
      <c r="A47" s="322"/>
      <c r="B47" s="236" t="s">
        <v>24</v>
      </c>
      <c r="C47" s="236" t="s">
        <v>669</v>
      </c>
      <c r="D47" s="243">
        <v>0</v>
      </c>
      <c r="E47" s="243">
        <v>0</v>
      </c>
      <c r="F47" s="243">
        <v>0</v>
      </c>
      <c r="G47" s="243">
        <v>0</v>
      </c>
      <c r="H47" s="243">
        <v>0</v>
      </c>
      <c r="I47" s="243">
        <f t="shared" si="0"/>
        <v>0</v>
      </c>
      <c r="J47" s="243">
        <v>0</v>
      </c>
      <c r="K47" s="243">
        <f t="shared" si="1"/>
        <v>0</v>
      </c>
      <c r="L47" s="244" t="e">
        <f t="shared" si="2"/>
        <v>#DIV/0!</v>
      </c>
      <c r="M47" s="245" t="e">
        <f t="shared" si="3"/>
        <v>#DIV/0!</v>
      </c>
      <c r="N47" s="245" t="e">
        <f t="shared" si="4"/>
        <v>#DIV/0!</v>
      </c>
      <c r="O47" s="245" t="e">
        <f t="shared" si="5"/>
        <v>#DIV/0!</v>
      </c>
      <c r="P47" s="5" t="s">
        <v>41</v>
      </c>
    </row>
    <row r="48" spans="1:16" x14ac:dyDescent="0.25">
      <c r="A48" s="323"/>
      <c r="B48" s="236" t="s">
        <v>25</v>
      </c>
      <c r="C48" s="236" t="s">
        <v>670</v>
      </c>
      <c r="D48" s="243">
        <v>0</v>
      </c>
      <c r="E48" s="243">
        <v>0</v>
      </c>
      <c r="F48" s="243">
        <v>0</v>
      </c>
      <c r="G48" s="243">
        <v>0</v>
      </c>
      <c r="H48" s="243">
        <v>0</v>
      </c>
      <c r="I48" s="243">
        <f t="shared" si="0"/>
        <v>0</v>
      </c>
      <c r="J48" s="243">
        <v>0</v>
      </c>
      <c r="K48" s="243">
        <f t="shared" si="1"/>
        <v>0</v>
      </c>
      <c r="L48" s="244" t="e">
        <f t="shared" si="2"/>
        <v>#DIV/0!</v>
      </c>
      <c r="M48" s="245" t="e">
        <f t="shared" si="3"/>
        <v>#DIV/0!</v>
      </c>
      <c r="N48" s="245" t="e">
        <f t="shared" si="4"/>
        <v>#DIV/0!</v>
      </c>
      <c r="O48" s="245" t="e">
        <f t="shared" si="5"/>
        <v>#DIV/0!</v>
      </c>
      <c r="P48" s="5" t="s">
        <v>41</v>
      </c>
    </row>
    <row r="49" spans="1:16" ht="15.75" x14ac:dyDescent="0.25">
      <c r="A49" s="321">
        <v>10</v>
      </c>
      <c r="B49" s="237" t="s">
        <v>552</v>
      </c>
      <c r="C49" s="236"/>
      <c r="D49" s="243"/>
      <c r="E49" s="243"/>
      <c r="F49" s="243"/>
      <c r="G49" s="243">
        <v>0</v>
      </c>
      <c r="H49" s="243">
        <v>0</v>
      </c>
      <c r="I49" s="243">
        <f t="shared" si="0"/>
        <v>0</v>
      </c>
      <c r="J49" s="243">
        <v>0</v>
      </c>
      <c r="K49" s="243">
        <f t="shared" si="1"/>
        <v>0</v>
      </c>
      <c r="L49" s="244" t="e">
        <f t="shared" si="2"/>
        <v>#DIV/0!</v>
      </c>
      <c r="M49" s="245" t="e">
        <f t="shared" si="3"/>
        <v>#DIV/0!</v>
      </c>
      <c r="N49" s="245" t="e">
        <f t="shared" si="4"/>
        <v>#DIV/0!</v>
      </c>
      <c r="O49" s="245" t="e">
        <f t="shared" si="5"/>
        <v>#DIV/0!</v>
      </c>
      <c r="P49" s="5" t="s">
        <v>41</v>
      </c>
    </row>
    <row r="50" spans="1:16" x14ac:dyDescent="0.25">
      <c r="A50" s="322"/>
      <c r="B50" s="236" t="s">
        <v>22</v>
      </c>
      <c r="C50" s="236" t="s">
        <v>671</v>
      </c>
      <c r="D50" s="243">
        <v>0</v>
      </c>
      <c r="E50" s="243">
        <v>0</v>
      </c>
      <c r="F50" s="243">
        <v>0</v>
      </c>
      <c r="G50" s="243">
        <v>0</v>
      </c>
      <c r="H50" s="243">
        <v>0</v>
      </c>
      <c r="I50" s="243">
        <f t="shared" si="0"/>
        <v>0</v>
      </c>
      <c r="J50" s="243">
        <v>0</v>
      </c>
      <c r="K50" s="243">
        <f t="shared" si="1"/>
        <v>0</v>
      </c>
      <c r="L50" s="244" t="e">
        <f t="shared" si="2"/>
        <v>#DIV/0!</v>
      </c>
      <c r="M50" s="245" t="e">
        <f t="shared" si="3"/>
        <v>#DIV/0!</v>
      </c>
      <c r="N50" s="245" t="e">
        <f t="shared" si="4"/>
        <v>#DIV/0!</v>
      </c>
      <c r="O50" s="245" t="e">
        <f t="shared" si="5"/>
        <v>#DIV/0!</v>
      </c>
      <c r="P50" s="5" t="s">
        <v>41</v>
      </c>
    </row>
    <row r="51" spans="1:16" x14ac:dyDescent="0.25">
      <c r="A51" s="322"/>
      <c r="B51" s="236" t="s">
        <v>23</v>
      </c>
      <c r="C51" s="236" t="s">
        <v>672</v>
      </c>
      <c r="D51" s="243">
        <v>0</v>
      </c>
      <c r="E51" s="243">
        <v>0</v>
      </c>
      <c r="F51" s="243">
        <v>0</v>
      </c>
      <c r="G51" s="243">
        <v>0</v>
      </c>
      <c r="H51" s="243">
        <v>0</v>
      </c>
      <c r="I51" s="243">
        <f t="shared" si="0"/>
        <v>0</v>
      </c>
      <c r="J51" s="243">
        <v>0</v>
      </c>
      <c r="K51" s="243">
        <f t="shared" si="1"/>
        <v>0</v>
      </c>
      <c r="L51" s="244" t="e">
        <f t="shared" si="2"/>
        <v>#DIV/0!</v>
      </c>
      <c r="M51" s="245" t="e">
        <f t="shared" si="3"/>
        <v>#DIV/0!</v>
      </c>
      <c r="N51" s="245" t="e">
        <f t="shared" si="4"/>
        <v>#DIV/0!</v>
      </c>
      <c r="O51" s="245" t="e">
        <f t="shared" si="5"/>
        <v>#DIV/0!</v>
      </c>
      <c r="P51" s="5" t="s">
        <v>41</v>
      </c>
    </row>
    <row r="52" spans="1:16" x14ac:dyDescent="0.25">
      <c r="A52" s="322"/>
      <c r="B52" s="236" t="s">
        <v>24</v>
      </c>
      <c r="C52" s="236" t="s">
        <v>673</v>
      </c>
      <c r="D52" s="243">
        <v>0</v>
      </c>
      <c r="E52" s="243">
        <v>0</v>
      </c>
      <c r="F52" s="243">
        <v>0</v>
      </c>
      <c r="G52" s="243">
        <v>0</v>
      </c>
      <c r="H52" s="243">
        <v>0</v>
      </c>
      <c r="I52" s="243">
        <f t="shared" si="0"/>
        <v>0</v>
      </c>
      <c r="J52" s="243">
        <v>0</v>
      </c>
      <c r="K52" s="243">
        <f t="shared" si="1"/>
        <v>0</v>
      </c>
      <c r="L52" s="244" t="e">
        <f t="shared" si="2"/>
        <v>#DIV/0!</v>
      </c>
      <c r="M52" s="245" t="e">
        <f t="shared" si="3"/>
        <v>#DIV/0!</v>
      </c>
      <c r="N52" s="245" t="e">
        <f t="shared" si="4"/>
        <v>#DIV/0!</v>
      </c>
      <c r="O52" s="245" t="e">
        <f t="shared" si="5"/>
        <v>#DIV/0!</v>
      </c>
      <c r="P52" s="5" t="s">
        <v>41</v>
      </c>
    </row>
    <row r="53" spans="1:16" x14ac:dyDescent="0.25">
      <c r="A53" s="323"/>
      <c r="B53" s="236" t="s">
        <v>25</v>
      </c>
      <c r="C53" s="236" t="s">
        <v>674</v>
      </c>
      <c r="D53" s="243">
        <v>0</v>
      </c>
      <c r="E53" s="243">
        <v>0</v>
      </c>
      <c r="F53" s="243">
        <v>0</v>
      </c>
      <c r="G53" s="243">
        <v>0</v>
      </c>
      <c r="H53" s="243">
        <v>0</v>
      </c>
      <c r="I53" s="243">
        <f t="shared" si="0"/>
        <v>0</v>
      </c>
      <c r="J53" s="243">
        <v>0</v>
      </c>
      <c r="K53" s="243">
        <f t="shared" si="1"/>
        <v>0</v>
      </c>
      <c r="L53" s="244" t="e">
        <f t="shared" si="2"/>
        <v>#DIV/0!</v>
      </c>
      <c r="M53" s="245" t="e">
        <f t="shared" si="3"/>
        <v>#DIV/0!</v>
      </c>
      <c r="N53" s="245" t="e">
        <f t="shared" si="4"/>
        <v>#DIV/0!</v>
      </c>
      <c r="O53" s="245" t="e">
        <f t="shared" si="5"/>
        <v>#DIV/0!</v>
      </c>
      <c r="P53" s="5" t="s">
        <v>41</v>
      </c>
    </row>
    <row r="54" spans="1:16" ht="15.75" x14ac:dyDescent="0.25">
      <c r="A54" s="321">
        <v>11</v>
      </c>
      <c r="B54" s="237" t="s">
        <v>554</v>
      </c>
      <c r="C54" s="236"/>
      <c r="D54" s="243"/>
      <c r="E54" s="243"/>
      <c r="F54" s="243"/>
      <c r="G54" s="243">
        <v>0</v>
      </c>
      <c r="H54" s="243">
        <v>0</v>
      </c>
      <c r="I54" s="243">
        <f t="shared" si="0"/>
        <v>0</v>
      </c>
      <c r="J54" s="243">
        <v>0</v>
      </c>
      <c r="K54" s="243">
        <f t="shared" si="1"/>
        <v>0</v>
      </c>
      <c r="L54" s="244" t="e">
        <f t="shared" si="2"/>
        <v>#DIV/0!</v>
      </c>
      <c r="M54" s="245" t="e">
        <f t="shared" si="3"/>
        <v>#DIV/0!</v>
      </c>
      <c r="N54" s="245" t="e">
        <f t="shared" si="4"/>
        <v>#DIV/0!</v>
      </c>
      <c r="O54" s="245" t="e">
        <f t="shared" si="5"/>
        <v>#DIV/0!</v>
      </c>
      <c r="P54" s="5" t="s">
        <v>41</v>
      </c>
    </row>
    <row r="55" spans="1:16" x14ac:dyDescent="0.25">
      <c r="A55" s="322"/>
      <c r="B55" s="236" t="s">
        <v>22</v>
      </c>
      <c r="C55" s="236" t="s">
        <v>675</v>
      </c>
      <c r="D55" s="243">
        <v>0</v>
      </c>
      <c r="E55" s="243">
        <v>0</v>
      </c>
      <c r="F55" s="243">
        <v>0</v>
      </c>
      <c r="G55" s="243">
        <v>0</v>
      </c>
      <c r="H55" s="243">
        <v>0</v>
      </c>
      <c r="I55" s="243">
        <f t="shared" si="0"/>
        <v>0</v>
      </c>
      <c r="J55" s="243">
        <v>0</v>
      </c>
      <c r="K55" s="243">
        <f t="shared" si="1"/>
        <v>0</v>
      </c>
      <c r="L55" s="244" t="e">
        <f t="shared" si="2"/>
        <v>#DIV/0!</v>
      </c>
      <c r="M55" s="245" t="e">
        <f t="shared" si="3"/>
        <v>#DIV/0!</v>
      </c>
      <c r="N55" s="245" t="e">
        <f t="shared" si="4"/>
        <v>#DIV/0!</v>
      </c>
      <c r="O55" s="245" t="e">
        <f t="shared" si="5"/>
        <v>#DIV/0!</v>
      </c>
      <c r="P55" s="5" t="s">
        <v>41</v>
      </c>
    </row>
    <row r="56" spans="1:16" x14ac:dyDescent="0.25">
      <c r="A56" s="323"/>
      <c r="B56" s="236" t="s">
        <v>23</v>
      </c>
      <c r="C56" s="236" t="s">
        <v>675</v>
      </c>
      <c r="D56" s="243">
        <v>0</v>
      </c>
      <c r="E56" s="243">
        <v>0</v>
      </c>
      <c r="F56" s="243">
        <v>0</v>
      </c>
      <c r="G56" s="243">
        <v>0</v>
      </c>
      <c r="H56" s="243">
        <v>0</v>
      </c>
      <c r="I56" s="243">
        <f t="shared" si="0"/>
        <v>0</v>
      </c>
      <c r="J56" s="243">
        <v>0</v>
      </c>
      <c r="K56" s="243">
        <f t="shared" si="1"/>
        <v>0</v>
      </c>
      <c r="L56" s="244" t="e">
        <f t="shared" si="2"/>
        <v>#DIV/0!</v>
      </c>
      <c r="M56" s="245" t="e">
        <f t="shared" si="3"/>
        <v>#DIV/0!</v>
      </c>
      <c r="N56" s="245" t="e">
        <f t="shared" si="4"/>
        <v>#DIV/0!</v>
      </c>
      <c r="O56" s="245" t="e">
        <f t="shared" si="5"/>
        <v>#DIV/0!</v>
      </c>
      <c r="P56" s="5" t="s">
        <v>41</v>
      </c>
    </row>
    <row r="57" spans="1:16" ht="15.75" x14ac:dyDescent="0.25">
      <c r="A57" s="321">
        <v>12</v>
      </c>
      <c r="B57" s="237" t="s">
        <v>555</v>
      </c>
      <c r="C57" s="236"/>
      <c r="D57" s="243"/>
      <c r="E57" s="243"/>
      <c r="F57" s="243"/>
      <c r="G57" s="243">
        <v>0</v>
      </c>
      <c r="H57" s="243">
        <v>0</v>
      </c>
      <c r="I57" s="243">
        <f t="shared" si="0"/>
        <v>0</v>
      </c>
      <c r="J57" s="243">
        <v>0</v>
      </c>
      <c r="K57" s="243">
        <f t="shared" si="1"/>
        <v>0</v>
      </c>
      <c r="L57" s="244" t="e">
        <f t="shared" si="2"/>
        <v>#DIV/0!</v>
      </c>
      <c r="M57" s="245" t="e">
        <f t="shared" si="3"/>
        <v>#DIV/0!</v>
      </c>
      <c r="N57" s="245" t="e">
        <f t="shared" si="4"/>
        <v>#DIV/0!</v>
      </c>
      <c r="O57" s="245" t="e">
        <f t="shared" si="5"/>
        <v>#DIV/0!</v>
      </c>
      <c r="P57" s="5" t="s">
        <v>41</v>
      </c>
    </row>
    <row r="58" spans="1:16" x14ac:dyDescent="0.25">
      <c r="A58" s="323"/>
      <c r="B58" s="236" t="s">
        <v>22</v>
      </c>
      <c r="C58" s="236" t="s">
        <v>676</v>
      </c>
      <c r="D58" s="243">
        <v>0</v>
      </c>
      <c r="E58" s="243">
        <v>0</v>
      </c>
      <c r="F58" s="243">
        <v>0</v>
      </c>
      <c r="G58" s="243">
        <v>0</v>
      </c>
      <c r="H58" s="243">
        <v>0</v>
      </c>
      <c r="I58" s="243">
        <f t="shared" si="0"/>
        <v>0</v>
      </c>
      <c r="J58" s="243">
        <v>0</v>
      </c>
      <c r="K58" s="243">
        <f t="shared" si="1"/>
        <v>0</v>
      </c>
      <c r="L58" s="244" t="e">
        <f t="shared" si="2"/>
        <v>#DIV/0!</v>
      </c>
      <c r="M58" s="245" t="e">
        <f t="shared" si="3"/>
        <v>#DIV/0!</v>
      </c>
      <c r="N58" s="245" t="e">
        <f t="shared" si="4"/>
        <v>#DIV/0!</v>
      </c>
      <c r="O58" s="245" t="e">
        <f t="shared" si="5"/>
        <v>#DIV/0!</v>
      </c>
      <c r="P58" s="5" t="s">
        <v>41</v>
      </c>
    </row>
    <row r="59" spans="1:16" ht="15.75" x14ac:dyDescent="0.25">
      <c r="A59" s="321">
        <v>13</v>
      </c>
      <c r="B59" s="237" t="s">
        <v>556</v>
      </c>
      <c r="C59" s="236"/>
      <c r="D59" s="243"/>
      <c r="E59" s="243"/>
      <c r="F59" s="243"/>
      <c r="G59" s="243">
        <v>0</v>
      </c>
      <c r="H59" s="243">
        <v>0</v>
      </c>
      <c r="I59" s="243">
        <f t="shared" si="0"/>
        <v>0</v>
      </c>
      <c r="J59" s="243">
        <v>0</v>
      </c>
      <c r="K59" s="243">
        <f t="shared" si="1"/>
        <v>0</v>
      </c>
      <c r="L59" s="244" t="e">
        <f t="shared" si="2"/>
        <v>#DIV/0!</v>
      </c>
      <c r="M59" s="245" t="e">
        <f t="shared" si="3"/>
        <v>#DIV/0!</v>
      </c>
      <c r="N59" s="245" t="e">
        <f t="shared" si="4"/>
        <v>#DIV/0!</v>
      </c>
      <c r="O59" s="245" t="e">
        <f t="shared" si="5"/>
        <v>#DIV/0!</v>
      </c>
      <c r="P59" s="5" t="s">
        <v>41</v>
      </c>
    </row>
    <row r="60" spans="1:16" x14ac:dyDescent="0.25">
      <c r="A60" s="322"/>
      <c r="B60" s="236" t="s">
        <v>22</v>
      </c>
      <c r="C60" s="236" t="s">
        <v>677</v>
      </c>
      <c r="D60" s="243">
        <v>0</v>
      </c>
      <c r="E60" s="243">
        <v>0</v>
      </c>
      <c r="F60" s="243">
        <v>0</v>
      </c>
      <c r="G60" s="243">
        <v>0</v>
      </c>
      <c r="H60" s="243">
        <v>0</v>
      </c>
      <c r="I60" s="243">
        <f t="shared" si="0"/>
        <v>0</v>
      </c>
      <c r="J60" s="243">
        <v>0</v>
      </c>
      <c r="K60" s="243">
        <f t="shared" si="1"/>
        <v>0</v>
      </c>
      <c r="L60" s="244" t="e">
        <f t="shared" si="2"/>
        <v>#DIV/0!</v>
      </c>
      <c r="M60" s="245" t="e">
        <f t="shared" si="3"/>
        <v>#DIV/0!</v>
      </c>
      <c r="N60" s="245" t="e">
        <f t="shared" si="4"/>
        <v>#DIV/0!</v>
      </c>
      <c r="O60" s="245" t="e">
        <f t="shared" si="5"/>
        <v>#DIV/0!</v>
      </c>
      <c r="P60" s="5" t="s">
        <v>41</v>
      </c>
    </row>
    <row r="61" spans="1:16" x14ac:dyDescent="0.25">
      <c r="A61" s="323"/>
      <c r="B61" s="236" t="s">
        <v>23</v>
      </c>
      <c r="C61" s="236" t="s">
        <v>678</v>
      </c>
      <c r="D61" s="243">
        <v>0</v>
      </c>
      <c r="E61" s="243">
        <v>0</v>
      </c>
      <c r="F61" s="243">
        <v>0</v>
      </c>
      <c r="G61" s="243">
        <v>0</v>
      </c>
      <c r="H61" s="243">
        <v>0</v>
      </c>
      <c r="I61" s="243">
        <f t="shared" si="0"/>
        <v>0</v>
      </c>
      <c r="J61" s="243">
        <v>0</v>
      </c>
      <c r="K61" s="243">
        <f t="shared" si="1"/>
        <v>0</v>
      </c>
      <c r="L61" s="244" t="e">
        <f t="shared" si="2"/>
        <v>#DIV/0!</v>
      </c>
      <c r="M61" s="245" t="e">
        <f t="shared" si="3"/>
        <v>#DIV/0!</v>
      </c>
      <c r="N61" s="245" t="e">
        <f t="shared" si="4"/>
        <v>#DIV/0!</v>
      </c>
      <c r="O61" s="245" t="e">
        <f t="shared" si="5"/>
        <v>#DIV/0!</v>
      </c>
      <c r="P61" s="5" t="s">
        <v>41</v>
      </c>
    </row>
    <row r="62" spans="1:16" ht="15.75" x14ac:dyDescent="0.25">
      <c r="A62" s="321">
        <v>14</v>
      </c>
      <c r="B62" s="237" t="s">
        <v>557</v>
      </c>
      <c r="C62" s="236"/>
      <c r="D62" s="243"/>
      <c r="E62" s="243"/>
      <c r="F62" s="243"/>
      <c r="G62" s="243">
        <v>0</v>
      </c>
      <c r="H62" s="243">
        <v>0</v>
      </c>
      <c r="I62" s="243">
        <f t="shared" si="0"/>
        <v>0</v>
      </c>
      <c r="J62" s="243">
        <v>0</v>
      </c>
      <c r="K62" s="243">
        <f t="shared" si="1"/>
        <v>0</v>
      </c>
      <c r="L62" s="244" t="e">
        <f t="shared" si="2"/>
        <v>#DIV/0!</v>
      </c>
      <c r="M62" s="245" t="e">
        <f t="shared" si="3"/>
        <v>#DIV/0!</v>
      </c>
      <c r="N62" s="245" t="e">
        <f t="shared" si="4"/>
        <v>#DIV/0!</v>
      </c>
      <c r="O62" s="245" t="e">
        <f t="shared" si="5"/>
        <v>#DIV/0!</v>
      </c>
      <c r="P62" s="5" t="s">
        <v>41</v>
      </c>
    </row>
    <row r="63" spans="1:16" x14ac:dyDescent="0.25">
      <c r="A63" s="322"/>
      <c r="B63" s="236" t="s">
        <v>22</v>
      </c>
      <c r="C63" s="236" t="s">
        <v>679</v>
      </c>
      <c r="D63" s="243">
        <v>0</v>
      </c>
      <c r="E63" s="243">
        <v>0</v>
      </c>
      <c r="F63" s="243">
        <v>0</v>
      </c>
      <c r="G63" s="243">
        <v>0</v>
      </c>
      <c r="H63" s="243">
        <v>0</v>
      </c>
      <c r="I63" s="243">
        <f t="shared" si="0"/>
        <v>0</v>
      </c>
      <c r="J63" s="243">
        <v>0</v>
      </c>
      <c r="K63" s="243">
        <f t="shared" si="1"/>
        <v>0</v>
      </c>
      <c r="L63" s="244" t="e">
        <f t="shared" si="2"/>
        <v>#DIV/0!</v>
      </c>
      <c r="M63" s="245" t="e">
        <f t="shared" si="3"/>
        <v>#DIV/0!</v>
      </c>
      <c r="N63" s="245" t="e">
        <f t="shared" si="4"/>
        <v>#DIV/0!</v>
      </c>
      <c r="O63" s="245" t="e">
        <f t="shared" si="5"/>
        <v>#DIV/0!</v>
      </c>
      <c r="P63" s="5" t="s">
        <v>41</v>
      </c>
    </row>
    <row r="64" spans="1:16" x14ac:dyDescent="0.25">
      <c r="A64" s="323"/>
      <c r="B64" s="236" t="s">
        <v>23</v>
      </c>
      <c r="C64" s="236" t="s">
        <v>680</v>
      </c>
      <c r="D64" s="243">
        <v>0</v>
      </c>
      <c r="E64" s="243">
        <v>0</v>
      </c>
      <c r="F64" s="243">
        <v>0</v>
      </c>
      <c r="G64" s="243">
        <v>0</v>
      </c>
      <c r="H64" s="243">
        <v>0</v>
      </c>
      <c r="I64" s="243">
        <f t="shared" si="0"/>
        <v>0</v>
      </c>
      <c r="J64" s="243">
        <v>0</v>
      </c>
      <c r="K64" s="243">
        <f t="shared" si="1"/>
        <v>0</v>
      </c>
      <c r="L64" s="244" t="e">
        <f t="shared" si="2"/>
        <v>#DIV/0!</v>
      </c>
      <c r="M64" s="245" t="e">
        <f t="shared" si="3"/>
        <v>#DIV/0!</v>
      </c>
      <c r="N64" s="245" t="e">
        <f t="shared" si="4"/>
        <v>#DIV/0!</v>
      </c>
      <c r="O64" s="245" t="e">
        <f t="shared" si="5"/>
        <v>#DIV/0!</v>
      </c>
      <c r="P64" s="5" t="s">
        <v>41</v>
      </c>
    </row>
    <row r="65" spans="1:16" ht="15.75" x14ac:dyDescent="0.25">
      <c r="A65" s="321">
        <v>15</v>
      </c>
      <c r="B65" s="237" t="s">
        <v>558</v>
      </c>
      <c r="C65" s="236"/>
      <c r="D65" s="243"/>
      <c r="E65" s="243"/>
      <c r="F65" s="243"/>
      <c r="G65" s="243">
        <v>0</v>
      </c>
      <c r="H65" s="243">
        <v>0</v>
      </c>
      <c r="I65" s="243">
        <f t="shared" si="0"/>
        <v>0</v>
      </c>
      <c r="J65" s="243">
        <v>0</v>
      </c>
      <c r="K65" s="243">
        <f t="shared" si="1"/>
        <v>0</v>
      </c>
      <c r="L65" s="244" t="e">
        <f t="shared" si="2"/>
        <v>#DIV/0!</v>
      </c>
      <c r="M65" s="245" t="e">
        <f t="shared" si="3"/>
        <v>#DIV/0!</v>
      </c>
      <c r="N65" s="245" t="e">
        <f t="shared" si="4"/>
        <v>#DIV/0!</v>
      </c>
      <c r="O65" s="245" t="e">
        <f t="shared" si="5"/>
        <v>#DIV/0!</v>
      </c>
      <c r="P65" s="5" t="s">
        <v>41</v>
      </c>
    </row>
    <row r="66" spans="1:16" x14ac:dyDescent="0.25">
      <c r="A66" s="322"/>
      <c r="B66" s="236" t="s">
        <v>22</v>
      </c>
      <c r="C66" s="236" t="s">
        <v>681</v>
      </c>
      <c r="D66" s="243">
        <v>0</v>
      </c>
      <c r="E66" s="243">
        <v>0</v>
      </c>
      <c r="F66" s="243">
        <v>0</v>
      </c>
      <c r="G66" s="243">
        <v>0</v>
      </c>
      <c r="H66" s="243">
        <v>0</v>
      </c>
      <c r="I66" s="243">
        <f t="shared" si="0"/>
        <v>0</v>
      </c>
      <c r="J66" s="243">
        <v>0</v>
      </c>
      <c r="K66" s="243">
        <f t="shared" si="1"/>
        <v>0</v>
      </c>
      <c r="L66" s="244" t="e">
        <f t="shared" si="2"/>
        <v>#DIV/0!</v>
      </c>
      <c r="M66" s="245" t="e">
        <f t="shared" si="3"/>
        <v>#DIV/0!</v>
      </c>
      <c r="N66" s="245" t="e">
        <f t="shared" si="4"/>
        <v>#DIV/0!</v>
      </c>
      <c r="O66" s="245" t="e">
        <f t="shared" si="5"/>
        <v>#DIV/0!</v>
      </c>
      <c r="P66" s="5" t="s">
        <v>41</v>
      </c>
    </row>
    <row r="67" spans="1:16" x14ac:dyDescent="0.25">
      <c r="A67" s="323"/>
      <c r="B67" s="236" t="s">
        <v>23</v>
      </c>
      <c r="C67" s="236" t="s">
        <v>682</v>
      </c>
      <c r="D67" s="243">
        <v>0</v>
      </c>
      <c r="E67" s="243">
        <v>0</v>
      </c>
      <c r="F67" s="243">
        <v>0</v>
      </c>
      <c r="G67" s="243">
        <v>0</v>
      </c>
      <c r="H67" s="243">
        <v>0</v>
      </c>
      <c r="I67" s="243">
        <f t="shared" si="0"/>
        <v>0</v>
      </c>
      <c r="J67" s="243">
        <v>0</v>
      </c>
      <c r="K67" s="243">
        <f t="shared" si="1"/>
        <v>0</v>
      </c>
      <c r="L67" s="244" t="e">
        <f t="shared" si="2"/>
        <v>#DIV/0!</v>
      </c>
      <c r="M67" s="245" t="e">
        <f t="shared" si="3"/>
        <v>#DIV/0!</v>
      </c>
      <c r="N67" s="245" t="e">
        <f t="shared" si="4"/>
        <v>#DIV/0!</v>
      </c>
      <c r="O67" s="245" t="e">
        <f t="shared" si="5"/>
        <v>#DIV/0!</v>
      </c>
      <c r="P67" s="5" t="s">
        <v>41</v>
      </c>
    </row>
    <row r="68" spans="1:16" ht="15.75" x14ac:dyDescent="0.25">
      <c r="A68" s="251" t="s">
        <v>683</v>
      </c>
      <c r="B68" s="252"/>
      <c r="C68" s="253"/>
      <c r="D68" s="243"/>
      <c r="E68" s="243"/>
      <c r="F68" s="243"/>
      <c r="G68" s="243">
        <v>0</v>
      </c>
      <c r="H68" s="243">
        <v>0</v>
      </c>
      <c r="I68" s="243">
        <f t="shared" si="0"/>
        <v>0</v>
      </c>
      <c r="J68" s="243">
        <v>0</v>
      </c>
      <c r="K68" s="243">
        <f t="shared" si="1"/>
        <v>0</v>
      </c>
      <c r="L68" s="244" t="e">
        <f t="shared" si="2"/>
        <v>#DIV/0!</v>
      </c>
      <c r="M68" s="245" t="e">
        <f t="shared" si="3"/>
        <v>#DIV/0!</v>
      </c>
      <c r="N68" s="245" t="e">
        <f t="shared" si="4"/>
        <v>#DIV/0!</v>
      </c>
      <c r="O68" s="245" t="e">
        <f t="shared" si="5"/>
        <v>#DIV/0!</v>
      </c>
      <c r="P68" s="5" t="s">
        <v>41</v>
      </c>
    </row>
    <row r="69" spans="1:16" x14ac:dyDescent="0.25">
      <c r="A69" s="23">
        <v>16</v>
      </c>
      <c r="B69" s="317" t="s">
        <v>559</v>
      </c>
      <c r="C69" s="318"/>
      <c r="D69" s="243">
        <v>32</v>
      </c>
      <c r="E69" s="243">
        <v>37</v>
      </c>
      <c r="F69" s="243">
        <v>0</v>
      </c>
      <c r="G69" s="243">
        <v>0</v>
      </c>
      <c r="H69" s="243">
        <v>0</v>
      </c>
      <c r="I69" s="243">
        <v>0</v>
      </c>
      <c r="J69" s="243">
        <v>0</v>
      </c>
      <c r="K69" s="243">
        <f t="shared" si="1"/>
        <v>37</v>
      </c>
      <c r="L69" s="244">
        <f t="shared" si="2"/>
        <v>0</v>
      </c>
      <c r="M69" s="245">
        <f t="shared" si="3"/>
        <v>0</v>
      </c>
      <c r="N69" s="245">
        <f t="shared" si="4"/>
        <v>1</v>
      </c>
      <c r="O69" s="245">
        <f t="shared" si="5"/>
        <v>1</v>
      </c>
      <c r="P69" s="33"/>
    </row>
    <row r="70" spans="1:16" ht="120" x14ac:dyDescent="0.25">
      <c r="A70" s="23">
        <v>17</v>
      </c>
      <c r="B70" s="317" t="s">
        <v>561</v>
      </c>
      <c r="C70" s="318"/>
      <c r="D70" s="243">
        <v>388</v>
      </c>
      <c r="E70" s="243">
        <v>166</v>
      </c>
      <c r="F70" s="243">
        <v>11</v>
      </c>
      <c r="G70" s="243">
        <v>0</v>
      </c>
      <c r="H70" s="243">
        <v>0</v>
      </c>
      <c r="I70" s="243">
        <f t="shared" si="0"/>
        <v>11</v>
      </c>
      <c r="J70" s="243">
        <v>0</v>
      </c>
      <c r="K70" s="243">
        <f t="shared" si="1"/>
        <v>155</v>
      </c>
      <c r="L70" s="244">
        <f t="shared" si="2"/>
        <v>6.6265060240963861E-2</v>
      </c>
      <c r="M70" s="245">
        <f t="shared" si="3"/>
        <v>0</v>
      </c>
      <c r="N70" s="245">
        <f t="shared" si="4"/>
        <v>0.9337349397590361</v>
      </c>
      <c r="O70" s="245">
        <f t="shared" si="5"/>
        <v>0.9337349397590361</v>
      </c>
      <c r="P70" s="5" t="s">
        <v>684</v>
      </c>
    </row>
    <row r="71" spans="1:16" ht="75" x14ac:dyDescent="0.25">
      <c r="A71" s="23">
        <v>18</v>
      </c>
      <c r="B71" s="317" t="s">
        <v>562</v>
      </c>
      <c r="C71" s="318"/>
      <c r="D71" s="243">
        <v>215</v>
      </c>
      <c r="E71" s="243">
        <v>240</v>
      </c>
      <c r="F71" s="243">
        <v>3</v>
      </c>
      <c r="G71" s="243">
        <v>0</v>
      </c>
      <c r="H71" s="243">
        <v>0</v>
      </c>
      <c r="I71" s="243">
        <v>3</v>
      </c>
      <c r="J71" s="243">
        <v>0</v>
      </c>
      <c r="K71" s="243">
        <f t="shared" si="1"/>
        <v>237</v>
      </c>
      <c r="L71" s="244">
        <f t="shared" si="2"/>
        <v>1.2500000000000001E-2</v>
      </c>
      <c r="M71" s="245">
        <f t="shared" si="3"/>
        <v>0</v>
      </c>
      <c r="N71" s="245">
        <f t="shared" si="4"/>
        <v>0.98750000000000004</v>
      </c>
      <c r="O71" s="245">
        <f t="shared" si="5"/>
        <v>0.98750000000000004</v>
      </c>
      <c r="P71" s="33" t="s">
        <v>685</v>
      </c>
    </row>
    <row r="72" spans="1:16" ht="60" x14ac:dyDescent="0.25">
      <c r="A72" s="23">
        <v>19</v>
      </c>
      <c r="B72" s="317" t="s">
        <v>563</v>
      </c>
      <c r="C72" s="318"/>
      <c r="D72" s="243">
        <v>24</v>
      </c>
      <c r="E72" s="243">
        <v>204</v>
      </c>
      <c r="F72" s="243">
        <v>1</v>
      </c>
      <c r="G72" s="243">
        <v>0</v>
      </c>
      <c r="H72" s="243">
        <v>0</v>
      </c>
      <c r="I72" s="243">
        <v>1</v>
      </c>
      <c r="J72" s="243">
        <v>0</v>
      </c>
      <c r="K72" s="243">
        <f t="shared" ref="K72:K135" si="6">E72-I72</f>
        <v>203</v>
      </c>
      <c r="L72" s="244">
        <f t="shared" ref="L72:L135" si="7">(I72/E72)</f>
        <v>4.9019607843137254E-3</v>
      </c>
      <c r="M72" s="245">
        <f t="shared" ref="M72:M135" si="8">J72/E72</f>
        <v>0</v>
      </c>
      <c r="N72" s="245">
        <f t="shared" ref="N72:N135" si="9">K72/E72</f>
        <v>0.99509803921568629</v>
      </c>
      <c r="O72" s="245">
        <f t="shared" ref="O72:O135" si="10">M72+N72</f>
        <v>0.99509803921568629</v>
      </c>
      <c r="P72" s="5" t="s">
        <v>686</v>
      </c>
    </row>
    <row r="73" spans="1:16" ht="120" x14ac:dyDescent="0.25">
      <c r="A73" s="23">
        <v>20</v>
      </c>
      <c r="B73" s="317" t="s">
        <v>564</v>
      </c>
      <c r="C73" s="318"/>
      <c r="D73" s="243">
        <v>130</v>
      </c>
      <c r="E73" s="243">
        <v>142</v>
      </c>
      <c r="F73" s="243">
        <v>4</v>
      </c>
      <c r="G73" s="243">
        <v>0</v>
      </c>
      <c r="H73" s="243">
        <v>0</v>
      </c>
      <c r="I73" s="243">
        <v>4</v>
      </c>
      <c r="J73" s="243">
        <v>0</v>
      </c>
      <c r="K73" s="243">
        <f t="shared" si="6"/>
        <v>138</v>
      </c>
      <c r="L73" s="244">
        <f t="shared" si="7"/>
        <v>2.8169014084507043E-2</v>
      </c>
      <c r="M73" s="245">
        <f t="shared" si="8"/>
        <v>0</v>
      </c>
      <c r="N73" s="245">
        <f t="shared" si="9"/>
        <v>0.971830985915493</v>
      </c>
      <c r="O73" s="245">
        <f t="shared" si="10"/>
        <v>0.971830985915493</v>
      </c>
      <c r="P73" s="5" t="s">
        <v>687</v>
      </c>
    </row>
    <row r="74" spans="1:16" ht="90" x14ac:dyDescent="0.25">
      <c r="A74" s="23">
        <v>21</v>
      </c>
      <c r="B74" s="317" t="s">
        <v>565</v>
      </c>
      <c r="C74" s="318"/>
      <c r="D74" s="243">
        <v>106</v>
      </c>
      <c r="E74" s="243">
        <v>116</v>
      </c>
      <c r="F74" s="243">
        <v>3</v>
      </c>
      <c r="G74" s="243">
        <v>0</v>
      </c>
      <c r="H74" s="243">
        <v>0</v>
      </c>
      <c r="I74" s="243">
        <v>3</v>
      </c>
      <c r="J74" s="243">
        <v>0</v>
      </c>
      <c r="K74" s="243">
        <f t="shared" si="6"/>
        <v>113</v>
      </c>
      <c r="L74" s="244">
        <f t="shared" si="7"/>
        <v>2.5862068965517241E-2</v>
      </c>
      <c r="M74" s="245">
        <f t="shared" si="8"/>
        <v>0</v>
      </c>
      <c r="N74" s="245">
        <f t="shared" si="9"/>
        <v>0.97413793103448276</v>
      </c>
      <c r="O74" s="245">
        <f t="shared" si="10"/>
        <v>0.97413793103448276</v>
      </c>
      <c r="P74" s="5" t="s">
        <v>688</v>
      </c>
    </row>
    <row r="75" spans="1:16" ht="75" x14ac:dyDescent="0.25">
      <c r="A75" s="254">
        <v>22</v>
      </c>
      <c r="B75" s="317" t="s">
        <v>567</v>
      </c>
      <c r="C75" s="318"/>
      <c r="D75" s="255">
        <v>8</v>
      </c>
      <c r="E75" s="255">
        <v>9</v>
      </c>
      <c r="F75" s="255">
        <v>2</v>
      </c>
      <c r="G75" s="255">
        <v>0</v>
      </c>
      <c r="H75" s="255">
        <v>0</v>
      </c>
      <c r="I75" s="255">
        <v>2</v>
      </c>
      <c r="J75" s="255">
        <v>0</v>
      </c>
      <c r="K75" s="255">
        <f t="shared" si="6"/>
        <v>7</v>
      </c>
      <c r="L75" s="256">
        <f t="shared" si="7"/>
        <v>0.22222222222222221</v>
      </c>
      <c r="M75" s="257">
        <f t="shared" si="8"/>
        <v>0</v>
      </c>
      <c r="N75" s="257">
        <f t="shared" si="9"/>
        <v>0.77777777777777779</v>
      </c>
      <c r="O75" s="257">
        <f t="shared" si="10"/>
        <v>0.77777777777777779</v>
      </c>
      <c r="P75" s="258" t="s">
        <v>689</v>
      </c>
    </row>
    <row r="76" spans="1:16" x14ac:dyDescent="0.25">
      <c r="A76" s="259">
        <v>23</v>
      </c>
      <c r="B76" s="317" t="s">
        <v>569</v>
      </c>
      <c r="C76" s="318"/>
      <c r="D76" s="243">
        <v>5</v>
      </c>
      <c r="E76" s="243">
        <v>3</v>
      </c>
      <c r="F76" s="243">
        <v>0</v>
      </c>
      <c r="G76" s="243">
        <v>0</v>
      </c>
      <c r="H76" s="243">
        <v>0</v>
      </c>
      <c r="I76" s="243">
        <f t="shared" ref="I76:I139" si="11">F76+G76+H76+H76</f>
        <v>0</v>
      </c>
      <c r="J76" s="243">
        <v>0</v>
      </c>
      <c r="K76" s="243">
        <f t="shared" si="6"/>
        <v>3</v>
      </c>
      <c r="L76" s="244">
        <f t="shared" si="7"/>
        <v>0</v>
      </c>
      <c r="M76" s="245">
        <f t="shared" si="8"/>
        <v>0</v>
      </c>
      <c r="N76" s="245">
        <f t="shared" si="9"/>
        <v>1</v>
      </c>
      <c r="O76" s="245">
        <f t="shared" si="10"/>
        <v>1</v>
      </c>
      <c r="P76" s="5" t="s">
        <v>41</v>
      </c>
    </row>
    <row r="77" spans="1:16" x14ac:dyDescent="0.25">
      <c r="A77" s="23">
        <v>24</v>
      </c>
      <c r="B77" s="317" t="s">
        <v>570</v>
      </c>
      <c r="C77" s="318"/>
      <c r="D77" s="243">
        <v>14</v>
      </c>
      <c r="E77" s="243">
        <v>14</v>
      </c>
      <c r="F77" s="243">
        <v>0</v>
      </c>
      <c r="G77" s="243">
        <v>0</v>
      </c>
      <c r="H77" s="243">
        <v>0</v>
      </c>
      <c r="I77" s="243">
        <f t="shared" si="11"/>
        <v>0</v>
      </c>
      <c r="J77" s="243">
        <v>0</v>
      </c>
      <c r="K77" s="243">
        <f t="shared" si="6"/>
        <v>14</v>
      </c>
      <c r="L77" s="244">
        <f t="shared" si="7"/>
        <v>0</v>
      </c>
      <c r="M77" s="245">
        <f t="shared" si="8"/>
        <v>0</v>
      </c>
      <c r="N77" s="245">
        <f t="shared" si="9"/>
        <v>1</v>
      </c>
      <c r="O77" s="245">
        <f t="shared" si="10"/>
        <v>1</v>
      </c>
      <c r="P77" s="5" t="s">
        <v>41</v>
      </c>
    </row>
    <row r="78" spans="1:16" x14ac:dyDescent="0.25">
      <c r="A78" s="23">
        <v>25</v>
      </c>
      <c r="B78" s="317" t="s">
        <v>572</v>
      </c>
      <c r="C78" s="318"/>
      <c r="D78" s="243">
        <v>0</v>
      </c>
      <c r="E78" s="243">
        <v>0</v>
      </c>
      <c r="F78" s="243">
        <v>0</v>
      </c>
      <c r="G78" s="243">
        <v>0</v>
      </c>
      <c r="H78" s="243">
        <v>0</v>
      </c>
      <c r="I78" s="243">
        <f t="shared" si="11"/>
        <v>0</v>
      </c>
      <c r="J78" s="243">
        <v>0</v>
      </c>
      <c r="K78" s="243">
        <f t="shared" si="6"/>
        <v>0</v>
      </c>
      <c r="L78" s="244" t="e">
        <f t="shared" si="7"/>
        <v>#DIV/0!</v>
      </c>
      <c r="M78" s="245" t="e">
        <f t="shared" si="8"/>
        <v>#DIV/0!</v>
      </c>
      <c r="N78" s="245" t="e">
        <f t="shared" si="9"/>
        <v>#DIV/0!</v>
      </c>
      <c r="O78" s="245" t="e">
        <f t="shared" si="10"/>
        <v>#DIV/0!</v>
      </c>
      <c r="P78" s="5" t="s">
        <v>41</v>
      </c>
    </row>
    <row r="79" spans="1:16" x14ac:dyDescent="0.25">
      <c r="A79" s="259">
        <v>26</v>
      </c>
      <c r="B79" s="317" t="s">
        <v>574</v>
      </c>
      <c r="C79" s="318"/>
      <c r="D79" s="243">
        <v>0</v>
      </c>
      <c r="E79" s="243">
        <v>0</v>
      </c>
      <c r="F79" s="243">
        <v>0</v>
      </c>
      <c r="G79" s="243">
        <v>0</v>
      </c>
      <c r="H79" s="243">
        <v>0</v>
      </c>
      <c r="I79" s="243">
        <f t="shared" si="11"/>
        <v>0</v>
      </c>
      <c r="J79" s="243">
        <v>0</v>
      </c>
      <c r="K79" s="243">
        <f t="shared" si="6"/>
        <v>0</v>
      </c>
      <c r="L79" s="244" t="e">
        <f t="shared" si="7"/>
        <v>#DIV/0!</v>
      </c>
      <c r="M79" s="245" t="e">
        <f t="shared" si="8"/>
        <v>#DIV/0!</v>
      </c>
      <c r="N79" s="245" t="e">
        <f t="shared" si="9"/>
        <v>#DIV/0!</v>
      </c>
      <c r="O79" s="245" t="e">
        <f t="shared" si="10"/>
        <v>#DIV/0!</v>
      </c>
      <c r="P79" s="5" t="s">
        <v>41</v>
      </c>
    </row>
    <row r="80" spans="1:16" x14ac:dyDescent="0.25">
      <c r="A80" s="23">
        <v>27</v>
      </c>
      <c r="B80" s="317" t="s">
        <v>576</v>
      </c>
      <c r="C80" s="318"/>
      <c r="D80" s="243">
        <v>161</v>
      </c>
      <c r="E80" s="243">
        <v>139</v>
      </c>
      <c r="F80" s="243">
        <v>0</v>
      </c>
      <c r="G80" s="243">
        <v>0</v>
      </c>
      <c r="H80" s="243">
        <v>0</v>
      </c>
      <c r="I80" s="243">
        <f t="shared" si="11"/>
        <v>0</v>
      </c>
      <c r="J80" s="243">
        <v>0</v>
      </c>
      <c r="K80" s="243">
        <f t="shared" si="6"/>
        <v>139</v>
      </c>
      <c r="L80" s="244">
        <f t="shared" si="7"/>
        <v>0</v>
      </c>
      <c r="M80" s="245">
        <f t="shared" si="8"/>
        <v>0</v>
      </c>
      <c r="N80" s="245">
        <f t="shared" si="9"/>
        <v>1</v>
      </c>
      <c r="O80" s="245">
        <f t="shared" si="10"/>
        <v>1</v>
      </c>
      <c r="P80" s="5" t="s">
        <v>41</v>
      </c>
    </row>
    <row r="81" spans="1:16" ht="15.75" x14ac:dyDescent="0.25">
      <c r="A81" s="251" t="s">
        <v>690</v>
      </c>
      <c r="B81" s="252"/>
      <c r="C81" s="252"/>
      <c r="D81" s="243"/>
      <c r="E81" s="243"/>
      <c r="F81" s="243"/>
      <c r="G81" s="243">
        <v>0</v>
      </c>
      <c r="H81" s="243">
        <v>0</v>
      </c>
      <c r="I81" s="243">
        <f t="shared" si="11"/>
        <v>0</v>
      </c>
      <c r="J81" s="243">
        <v>0</v>
      </c>
      <c r="K81" s="243">
        <f t="shared" si="6"/>
        <v>0</v>
      </c>
      <c r="L81" s="244" t="e">
        <f t="shared" si="7"/>
        <v>#DIV/0!</v>
      </c>
      <c r="M81" s="245" t="e">
        <f t="shared" si="8"/>
        <v>#DIV/0!</v>
      </c>
      <c r="N81" s="245" t="e">
        <f t="shared" si="9"/>
        <v>#DIV/0!</v>
      </c>
      <c r="O81" s="245" t="e">
        <f t="shared" si="10"/>
        <v>#DIV/0!</v>
      </c>
      <c r="P81" s="5" t="s">
        <v>41</v>
      </c>
    </row>
    <row r="82" spans="1:16" ht="45" x14ac:dyDescent="0.25">
      <c r="A82" s="23">
        <v>28</v>
      </c>
      <c r="B82" s="319" t="s">
        <v>578</v>
      </c>
      <c r="C82" s="320"/>
      <c r="D82" s="243">
        <v>304</v>
      </c>
      <c r="E82" s="243">
        <v>339</v>
      </c>
      <c r="F82" s="243">
        <v>2</v>
      </c>
      <c r="G82" s="243">
        <v>0</v>
      </c>
      <c r="H82" s="243">
        <v>0</v>
      </c>
      <c r="I82" s="243">
        <v>2</v>
      </c>
      <c r="J82" s="243">
        <v>0</v>
      </c>
      <c r="K82" s="243">
        <f t="shared" si="6"/>
        <v>337</v>
      </c>
      <c r="L82" s="244">
        <f t="shared" si="7"/>
        <v>5.8997050147492625E-3</v>
      </c>
      <c r="M82" s="245">
        <f t="shared" si="8"/>
        <v>0</v>
      </c>
      <c r="N82" s="245">
        <f t="shared" si="9"/>
        <v>0.99410029498525077</v>
      </c>
      <c r="O82" s="245">
        <f t="shared" si="10"/>
        <v>0.99410029498525077</v>
      </c>
      <c r="P82" s="5" t="s">
        <v>691</v>
      </c>
    </row>
    <row r="83" spans="1:16" x14ac:dyDescent="0.25">
      <c r="A83" s="259">
        <v>29</v>
      </c>
      <c r="B83" s="319" t="s">
        <v>579</v>
      </c>
      <c r="C83" s="320"/>
      <c r="D83" s="243">
        <v>16</v>
      </c>
      <c r="E83" s="243">
        <v>11</v>
      </c>
      <c r="F83" s="243">
        <v>0</v>
      </c>
      <c r="G83" s="243">
        <v>0</v>
      </c>
      <c r="H83" s="243">
        <v>0</v>
      </c>
      <c r="I83" s="243">
        <v>0</v>
      </c>
      <c r="J83" s="243">
        <v>0</v>
      </c>
      <c r="K83" s="243">
        <f t="shared" si="6"/>
        <v>11</v>
      </c>
      <c r="L83" s="244">
        <f t="shared" si="7"/>
        <v>0</v>
      </c>
      <c r="M83" s="245">
        <f t="shared" si="8"/>
        <v>0</v>
      </c>
      <c r="N83" s="245">
        <f t="shared" si="9"/>
        <v>1</v>
      </c>
      <c r="O83" s="245">
        <f t="shared" si="10"/>
        <v>1</v>
      </c>
      <c r="P83" s="5"/>
    </row>
    <row r="84" spans="1:16" x14ac:dyDescent="0.25">
      <c r="A84" s="259">
        <v>30</v>
      </c>
      <c r="B84" s="319" t="s">
        <v>580</v>
      </c>
      <c r="C84" s="320"/>
      <c r="D84" s="243">
        <v>27</v>
      </c>
      <c r="E84" s="243">
        <v>28</v>
      </c>
      <c r="F84" s="243">
        <v>0</v>
      </c>
      <c r="G84" s="243">
        <v>0</v>
      </c>
      <c r="H84" s="243">
        <v>0</v>
      </c>
      <c r="I84" s="243">
        <f t="shared" si="11"/>
        <v>0</v>
      </c>
      <c r="J84" s="243">
        <v>0</v>
      </c>
      <c r="K84" s="243">
        <f t="shared" si="6"/>
        <v>28</v>
      </c>
      <c r="L84" s="244">
        <f t="shared" si="7"/>
        <v>0</v>
      </c>
      <c r="M84" s="245">
        <f t="shared" si="8"/>
        <v>0</v>
      </c>
      <c r="N84" s="245">
        <f t="shared" si="9"/>
        <v>1</v>
      </c>
      <c r="O84" s="245">
        <f t="shared" si="10"/>
        <v>1</v>
      </c>
      <c r="P84" s="5"/>
    </row>
    <row r="85" spans="1:16" ht="47.25" x14ac:dyDescent="0.25">
      <c r="A85" s="260">
        <v>31</v>
      </c>
      <c r="B85" s="319" t="s">
        <v>581</v>
      </c>
      <c r="C85" s="320"/>
      <c r="D85" s="261">
        <v>52</v>
      </c>
      <c r="E85" s="261">
        <v>50</v>
      </c>
      <c r="F85" s="261">
        <v>1</v>
      </c>
      <c r="G85" s="261">
        <v>0</v>
      </c>
      <c r="H85" s="261">
        <v>0</v>
      </c>
      <c r="I85" s="261">
        <f t="shared" si="11"/>
        <v>1</v>
      </c>
      <c r="J85" s="261">
        <v>0</v>
      </c>
      <c r="K85" s="261">
        <f t="shared" si="6"/>
        <v>49</v>
      </c>
      <c r="L85" s="262">
        <f t="shared" si="7"/>
        <v>0.02</v>
      </c>
      <c r="M85" s="263">
        <f t="shared" si="8"/>
        <v>0</v>
      </c>
      <c r="N85" s="263">
        <f t="shared" si="9"/>
        <v>0.98</v>
      </c>
      <c r="O85" s="263">
        <f t="shared" si="10"/>
        <v>0.98</v>
      </c>
      <c r="P85" s="264" t="s">
        <v>692</v>
      </c>
    </row>
    <row r="86" spans="1:16" x14ac:dyDescent="0.25">
      <c r="A86" s="259">
        <v>32</v>
      </c>
      <c r="B86" s="319" t="s">
        <v>582</v>
      </c>
      <c r="C86" s="320"/>
      <c r="D86" s="243">
        <v>47</v>
      </c>
      <c r="E86" s="243">
        <v>47</v>
      </c>
      <c r="F86" s="243">
        <v>0</v>
      </c>
      <c r="G86" s="243">
        <v>0</v>
      </c>
      <c r="H86" s="243">
        <v>0</v>
      </c>
      <c r="I86" s="243">
        <f t="shared" si="11"/>
        <v>0</v>
      </c>
      <c r="J86" s="243">
        <v>0</v>
      </c>
      <c r="K86" s="243">
        <f t="shared" si="6"/>
        <v>47</v>
      </c>
      <c r="L86" s="244">
        <f t="shared" si="7"/>
        <v>0</v>
      </c>
      <c r="M86" s="245">
        <f t="shared" si="8"/>
        <v>0</v>
      </c>
      <c r="N86" s="245">
        <f t="shared" si="9"/>
        <v>1</v>
      </c>
      <c r="O86" s="245">
        <f t="shared" si="10"/>
        <v>1</v>
      </c>
      <c r="P86" s="5"/>
    </row>
    <row r="87" spans="1:16" x14ac:dyDescent="0.25">
      <c r="A87" s="259">
        <v>33</v>
      </c>
      <c r="B87" s="319" t="s">
        <v>583</v>
      </c>
      <c r="C87" s="320"/>
      <c r="D87" s="243">
        <v>0</v>
      </c>
      <c r="E87" s="243">
        <v>0</v>
      </c>
      <c r="F87" s="243">
        <v>0</v>
      </c>
      <c r="G87" s="243">
        <v>0</v>
      </c>
      <c r="H87" s="243">
        <v>0</v>
      </c>
      <c r="I87" s="243">
        <f t="shared" si="11"/>
        <v>0</v>
      </c>
      <c r="J87" s="243">
        <v>0</v>
      </c>
      <c r="K87" s="243">
        <f t="shared" si="6"/>
        <v>0</v>
      </c>
      <c r="L87" s="244" t="e">
        <f>(I87/E87)</f>
        <v>#DIV/0!</v>
      </c>
      <c r="M87" s="245" t="e">
        <f t="shared" si="8"/>
        <v>#DIV/0!</v>
      </c>
      <c r="N87" s="245" t="e">
        <f t="shared" si="9"/>
        <v>#DIV/0!</v>
      </c>
      <c r="O87" s="245" t="e">
        <f t="shared" si="10"/>
        <v>#DIV/0!</v>
      </c>
      <c r="P87" s="5" t="s">
        <v>41</v>
      </c>
    </row>
    <row r="88" spans="1:16" ht="15.75" x14ac:dyDescent="0.25">
      <c r="A88" s="251" t="s">
        <v>693</v>
      </c>
      <c r="B88" s="252"/>
      <c r="C88" s="252"/>
      <c r="D88" s="243"/>
      <c r="E88" s="243"/>
      <c r="F88" s="243"/>
      <c r="G88" s="243">
        <v>0</v>
      </c>
      <c r="H88" s="243">
        <v>0</v>
      </c>
      <c r="I88" s="243">
        <f t="shared" si="11"/>
        <v>0</v>
      </c>
      <c r="J88" s="243">
        <v>0</v>
      </c>
      <c r="K88" s="243">
        <f t="shared" si="6"/>
        <v>0</v>
      </c>
      <c r="L88" s="244" t="e">
        <f t="shared" si="7"/>
        <v>#DIV/0!</v>
      </c>
      <c r="M88" s="245" t="e">
        <f t="shared" si="8"/>
        <v>#DIV/0!</v>
      </c>
      <c r="N88" s="245" t="e">
        <f t="shared" si="9"/>
        <v>#DIV/0!</v>
      </c>
      <c r="O88" s="245" t="e">
        <f t="shared" si="10"/>
        <v>#DIV/0!</v>
      </c>
      <c r="P88" s="5" t="s">
        <v>41</v>
      </c>
    </row>
    <row r="89" spans="1:16" x14ac:dyDescent="0.25">
      <c r="A89" s="259">
        <v>34</v>
      </c>
      <c r="B89" s="317" t="s">
        <v>584</v>
      </c>
      <c r="C89" s="318"/>
      <c r="D89" s="243">
        <v>411</v>
      </c>
      <c r="E89" s="243">
        <v>465</v>
      </c>
      <c r="F89" s="243">
        <v>0</v>
      </c>
      <c r="G89" s="243">
        <v>0</v>
      </c>
      <c r="H89" s="243">
        <v>0</v>
      </c>
      <c r="I89" s="243">
        <f t="shared" si="11"/>
        <v>0</v>
      </c>
      <c r="J89" s="243">
        <v>0</v>
      </c>
      <c r="K89" s="243">
        <f t="shared" si="6"/>
        <v>465</v>
      </c>
      <c r="L89" s="244">
        <f t="shared" si="7"/>
        <v>0</v>
      </c>
      <c r="M89" s="245">
        <f t="shared" si="8"/>
        <v>0</v>
      </c>
      <c r="N89" s="245">
        <f t="shared" si="9"/>
        <v>1</v>
      </c>
      <c r="O89" s="245">
        <f t="shared" si="10"/>
        <v>1</v>
      </c>
      <c r="P89" s="5" t="s">
        <v>41</v>
      </c>
    </row>
    <row r="90" spans="1:16" x14ac:dyDescent="0.25">
      <c r="A90" s="265">
        <v>35</v>
      </c>
      <c r="B90" s="317" t="s">
        <v>586</v>
      </c>
      <c r="C90" s="318"/>
      <c r="D90" s="243">
        <v>188</v>
      </c>
      <c r="E90" s="243">
        <v>206</v>
      </c>
      <c r="F90" s="243">
        <v>0</v>
      </c>
      <c r="G90" s="243">
        <v>0</v>
      </c>
      <c r="H90" s="243">
        <v>0</v>
      </c>
      <c r="I90" s="243">
        <f t="shared" si="11"/>
        <v>0</v>
      </c>
      <c r="J90" s="243">
        <v>0</v>
      </c>
      <c r="K90" s="243">
        <f t="shared" si="6"/>
        <v>206</v>
      </c>
      <c r="L90" s="244">
        <f t="shared" si="7"/>
        <v>0</v>
      </c>
      <c r="M90" s="245">
        <f t="shared" si="8"/>
        <v>0</v>
      </c>
      <c r="N90" s="245">
        <f t="shared" si="9"/>
        <v>1</v>
      </c>
      <c r="O90" s="245">
        <f t="shared" si="10"/>
        <v>1</v>
      </c>
      <c r="P90" s="5" t="s">
        <v>41</v>
      </c>
    </row>
    <row r="91" spans="1:16" ht="165" x14ac:dyDescent="0.25">
      <c r="A91" s="23">
        <v>36</v>
      </c>
      <c r="B91" s="317" t="s">
        <v>587</v>
      </c>
      <c r="C91" s="318"/>
      <c r="D91" s="243">
        <v>677</v>
      </c>
      <c r="E91" s="243">
        <v>697</v>
      </c>
      <c r="F91" s="243">
        <v>10</v>
      </c>
      <c r="G91" s="243">
        <v>2</v>
      </c>
      <c r="H91" s="243">
        <v>0</v>
      </c>
      <c r="I91" s="243">
        <f t="shared" si="11"/>
        <v>12</v>
      </c>
      <c r="J91" s="243">
        <v>0</v>
      </c>
      <c r="K91" s="243">
        <f t="shared" si="6"/>
        <v>685</v>
      </c>
      <c r="L91" s="244">
        <f t="shared" si="7"/>
        <v>1.721664275466284E-2</v>
      </c>
      <c r="M91" s="245">
        <f t="shared" si="8"/>
        <v>0</v>
      </c>
      <c r="N91" s="245">
        <f t="shared" si="9"/>
        <v>0.98278335724533716</v>
      </c>
      <c r="O91" s="245">
        <f t="shared" si="10"/>
        <v>0.98278335724533716</v>
      </c>
      <c r="P91" s="5" t="s">
        <v>694</v>
      </c>
    </row>
    <row r="92" spans="1:16" ht="195" x14ac:dyDescent="0.25">
      <c r="A92" s="266">
        <v>37</v>
      </c>
      <c r="B92" s="317" t="s">
        <v>588</v>
      </c>
      <c r="C92" s="318"/>
      <c r="D92" s="243">
        <v>1065</v>
      </c>
      <c r="E92" s="243">
        <v>896</v>
      </c>
      <c r="F92" s="243">
        <v>9</v>
      </c>
      <c r="G92" s="243">
        <v>6</v>
      </c>
      <c r="H92" s="243">
        <v>0</v>
      </c>
      <c r="I92" s="243">
        <v>15</v>
      </c>
      <c r="J92" s="243">
        <v>0</v>
      </c>
      <c r="K92" s="243">
        <f t="shared" si="6"/>
        <v>881</v>
      </c>
      <c r="L92" s="244">
        <f t="shared" si="7"/>
        <v>1.6741071428571428E-2</v>
      </c>
      <c r="M92" s="245">
        <f t="shared" si="8"/>
        <v>0</v>
      </c>
      <c r="N92" s="245">
        <f t="shared" si="9"/>
        <v>0.9832589285714286</v>
      </c>
      <c r="O92" s="245">
        <f t="shared" si="10"/>
        <v>0.9832589285714286</v>
      </c>
      <c r="P92" s="5" t="s">
        <v>695</v>
      </c>
    </row>
    <row r="93" spans="1:16" x14ac:dyDescent="0.25">
      <c r="A93" s="259">
        <v>38</v>
      </c>
      <c r="B93" s="317" t="s">
        <v>589</v>
      </c>
      <c r="C93" s="318"/>
      <c r="D93" s="243">
        <v>0</v>
      </c>
      <c r="E93" s="243">
        <v>6</v>
      </c>
      <c r="F93" s="243">
        <v>6</v>
      </c>
      <c r="G93" s="243">
        <v>0</v>
      </c>
      <c r="H93" s="243">
        <v>0</v>
      </c>
      <c r="I93" s="243">
        <f t="shared" si="11"/>
        <v>6</v>
      </c>
      <c r="J93" s="243">
        <v>0</v>
      </c>
      <c r="K93" s="243">
        <f t="shared" si="6"/>
        <v>0</v>
      </c>
      <c r="L93" s="244">
        <f t="shared" si="7"/>
        <v>1</v>
      </c>
      <c r="M93" s="245">
        <f t="shared" si="8"/>
        <v>0</v>
      </c>
      <c r="N93" s="245">
        <f t="shared" si="9"/>
        <v>0</v>
      </c>
      <c r="O93" s="245">
        <f t="shared" si="10"/>
        <v>0</v>
      </c>
      <c r="P93" s="5"/>
    </row>
    <row r="94" spans="1:16" x14ac:dyDescent="0.25">
      <c r="A94" s="259">
        <v>39</v>
      </c>
      <c r="B94" s="317" t="s">
        <v>590</v>
      </c>
      <c r="C94" s="318"/>
      <c r="D94" s="243">
        <v>0</v>
      </c>
      <c r="E94" s="243">
        <v>0</v>
      </c>
      <c r="F94" s="243">
        <v>0</v>
      </c>
      <c r="G94" s="243">
        <v>0</v>
      </c>
      <c r="H94" s="243">
        <v>0</v>
      </c>
      <c r="I94" s="243">
        <f t="shared" si="11"/>
        <v>0</v>
      </c>
      <c r="J94" s="243">
        <v>0</v>
      </c>
      <c r="K94" s="243">
        <f t="shared" si="6"/>
        <v>0</v>
      </c>
      <c r="L94" s="244" t="e">
        <f t="shared" si="7"/>
        <v>#DIV/0!</v>
      </c>
      <c r="M94" s="245" t="e">
        <f t="shared" si="8"/>
        <v>#DIV/0!</v>
      </c>
      <c r="N94" s="245" t="e">
        <f t="shared" si="9"/>
        <v>#DIV/0!</v>
      </c>
      <c r="O94" s="245" t="e">
        <f t="shared" si="10"/>
        <v>#DIV/0!</v>
      </c>
      <c r="P94" s="5" t="s">
        <v>41</v>
      </c>
    </row>
    <row r="95" spans="1:16" ht="47.25" x14ac:dyDescent="0.25">
      <c r="A95" s="23">
        <v>40</v>
      </c>
      <c r="B95" s="317" t="s">
        <v>592</v>
      </c>
      <c r="C95" s="318"/>
      <c r="D95" s="243">
        <v>36</v>
      </c>
      <c r="E95" s="243">
        <v>25</v>
      </c>
      <c r="F95" s="243">
        <v>0</v>
      </c>
      <c r="G95" s="243">
        <v>1</v>
      </c>
      <c r="H95" s="243">
        <v>0</v>
      </c>
      <c r="I95" s="243">
        <f t="shared" si="11"/>
        <v>1</v>
      </c>
      <c r="J95" s="243">
        <v>0</v>
      </c>
      <c r="K95" s="243">
        <f t="shared" si="6"/>
        <v>24</v>
      </c>
      <c r="L95" s="244">
        <f t="shared" si="7"/>
        <v>0.04</v>
      </c>
      <c r="M95" s="245">
        <f t="shared" si="8"/>
        <v>0</v>
      </c>
      <c r="N95" s="245">
        <f t="shared" si="9"/>
        <v>0.96</v>
      </c>
      <c r="O95" s="245">
        <f t="shared" si="10"/>
        <v>0.96</v>
      </c>
      <c r="P95" s="267" t="s">
        <v>696</v>
      </c>
    </row>
    <row r="96" spans="1:16" x14ac:dyDescent="0.25">
      <c r="A96" s="259">
        <v>41</v>
      </c>
      <c r="B96" s="317" t="s">
        <v>594</v>
      </c>
      <c r="C96" s="318"/>
      <c r="D96" s="243">
        <v>0</v>
      </c>
      <c r="E96" s="243">
        <v>18</v>
      </c>
      <c r="F96" s="243">
        <v>0</v>
      </c>
      <c r="G96" s="243">
        <v>0</v>
      </c>
      <c r="H96" s="243">
        <v>0</v>
      </c>
      <c r="I96" s="243">
        <f t="shared" si="11"/>
        <v>0</v>
      </c>
      <c r="J96" s="243">
        <v>0</v>
      </c>
      <c r="K96" s="243">
        <f t="shared" si="6"/>
        <v>18</v>
      </c>
      <c r="L96" s="244">
        <f t="shared" si="7"/>
        <v>0</v>
      </c>
      <c r="M96" s="245">
        <f t="shared" si="8"/>
        <v>0</v>
      </c>
      <c r="N96" s="245">
        <f t="shared" si="9"/>
        <v>1</v>
      </c>
      <c r="O96" s="245">
        <f t="shared" si="10"/>
        <v>1</v>
      </c>
      <c r="P96" s="5" t="s">
        <v>41</v>
      </c>
    </row>
    <row r="97" spans="1:16" x14ac:dyDescent="0.25">
      <c r="A97" s="259">
        <v>42</v>
      </c>
      <c r="B97" s="317" t="s">
        <v>596</v>
      </c>
      <c r="C97" s="318"/>
      <c r="D97" s="243">
        <v>0</v>
      </c>
      <c r="E97" s="243">
        <v>17</v>
      </c>
      <c r="F97" s="243">
        <v>0</v>
      </c>
      <c r="G97" s="243">
        <v>0</v>
      </c>
      <c r="H97" s="243">
        <v>0</v>
      </c>
      <c r="I97" s="243">
        <f t="shared" si="11"/>
        <v>0</v>
      </c>
      <c r="J97" s="243">
        <v>0</v>
      </c>
      <c r="K97" s="243">
        <f t="shared" si="6"/>
        <v>17</v>
      </c>
      <c r="L97" s="244">
        <f t="shared" si="7"/>
        <v>0</v>
      </c>
      <c r="M97" s="245">
        <f t="shared" si="8"/>
        <v>0</v>
      </c>
      <c r="N97" s="245">
        <f t="shared" si="9"/>
        <v>1</v>
      </c>
      <c r="O97" s="245">
        <f t="shared" si="10"/>
        <v>1</v>
      </c>
      <c r="P97" s="5" t="s">
        <v>41</v>
      </c>
    </row>
    <row r="98" spans="1:16" x14ac:dyDescent="0.25">
      <c r="A98" s="259">
        <v>43</v>
      </c>
      <c r="B98" s="317" t="s">
        <v>597</v>
      </c>
      <c r="C98" s="318"/>
      <c r="D98" s="243">
        <v>58</v>
      </c>
      <c r="E98" s="243">
        <v>14</v>
      </c>
      <c r="F98" s="243">
        <v>0</v>
      </c>
      <c r="G98" s="243">
        <v>0</v>
      </c>
      <c r="H98" s="243">
        <v>0</v>
      </c>
      <c r="I98" s="243">
        <f t="shared" si="11"/>
        <v>0</v>
      </c>
      <c r="J98" s="243">
        <v>0</v>
      </c>
      <c r="K98" s="243">
        <f t="shared" si="6"/>
        <v>14</v>
      </c>
      <c r="L98" s="244">
        <f t="shared" si="7"/>
        <v>0</v>
      </c>
      <c r="M98" s="245">
        <f t="shared" si="8"/>
        <v>0</v>
      </c>
      <c r="N98" s="245">
        <f t="shared" si="9"/>
        <v>1</v>
      </c>
      <c r="O98" s="245">
        <f t="shared" si="10"/>
        <v>1</v>
      </c>
      <c r="P98" s="5" t="s">
        <v>41</v>
      </c>
    </row>
    <row r="99" spans="1:16" ht="150" x14ac:dyDescent="0.25">
      <c r="A99" s="23">
        <v>44</v>
      </c>
      <c r="B99" s="317" t="s">
        <v>598</v>
      </c>
      <c r="C99" s="318"/>
      <c r="D99" s="243">
        <v>1968</v>
      </c>
      <c r="E99" s="243">
        <v>1900</v>
      </c>
      <c r="F99" s="243">
        <v>28</v>
      </c>
      <c r="G99" s="243">
        <v>0</v>
      </c>
      <c r="H99" s="243">
        <v>0</v>
      </c>
      <c r="I99" s="243">
        <v>28</v>
      </c>
      <c r="J99" s="243">
        <v>0</v>
      </c>
      <c r="K99" s="243">
        <f t="shared" si="6"/>
        <v>1872</v>
      </c>
      <c r="L99" s="244">
        <f t="shared" si="7"/>
        <v>1.4736842105263158E-2</v>
      </c>
      <c r="M99" s="245">
        <f t="shared" si="8"/>
        <v>0</v>
      </c>
      <c r="N99" s="245">
        <f t="shared" si="9"/>
        <v>0.98526315789473684</v>
      </c>
      <c r="O99" s="245">
        <f t="shared" si="10"/>
        <v>0.98526315789473684</v>
      </c>
      <c r="P99" s="5" t="s">
        <v>697</v>
      </c>
    </row>
    <row r="100" spans="1:16" x14ac:dyDescent="0.25">
      <c r="A100" s="259">
        <v>45</v>
      </c>
      <c r="B100" s="317" t="s">
        <v>600</v>
      </c>
      <c r="C100" s="318"/>
      <c r="D100" s="243">
        <v>171</v>
      </c>
      <c r="E100" s="243">
        <v>74</v>
      </c>
      <c r="F100" s="243">
        <v>0</v>
      </c>
      <c r="G100" s="243">
        <v>0</v>
      </c>
      <c r="H100" s="243">
        <v>0</v>
      </c>
      <c r="I100" s="243">
        <f t="shared" si="11"/>
        <v>0</v>
      </c>
      <c r="J100" s="243">
        <v>0</v>
      </c>
      <c r="K100" s="243">
        <f t="shared" si="6"/>
        <v>74</v>
      </c>
      <c r="L100" s="244">
        <f t="shared" si="7"/>
        <v>0</v>
      </c>
      <c r="M100" s="245">
        <f t="shared" si="8"/>
        <v>0</v>
      </c>
      <c r="N100" s="245">
        <f t="shared" si="9"/>
        <v>1</v>
      </c>
      <c r="O100" s="245">
        <f t="shared" si="10"/>
        <v>1</v>
      </c>
      <c r="P100" s="5"/>
    </row>
    <row r="101" spans="1:16" x14ac:dyDescent="0.25">
      <c r="A101" s="259">
        <v>46</v>
      </c>
      <c r="B101" s="317" t="s">
        <v>601</v>
      </c>
      <c r="C101" s="318"/>
      <c r="D101" s="243">
        <v>0</v>
      </c>
      <c r="E101" s="243">
        <v>256</v>
      </c>
      <c r="F101" s="243">
        <v>0</v>
      </c>
      <c r="G101" s="243">
        <v>0</v>
      </c>
      <c r="H101" s="243">
        <v>0</v>
      </c>
      <c r="I101" s="243">
        <f t="shared" si="11"/>
        <v>0</v>
      </c>
      <c r="J101" s="243">
        <v>0</v>
      </c>
      <c r="K101" s="243">
        <f t="shared" si="6"/>
        <v>256</v>
      </c>
      <c r="L101" s="244">
        <f t="shared" si="7"/>
        <v>0</v>
      </c>
      <c r="M101" s="245">
        <f t="shared" si="8"/>
        <v>0</v>
      </c>
      <c r="N101" s="245">
        <f t="shared" si="9"/>
        <v>1</v>
      </c>
      <c r="O101" s="245">
        <f t="shared" si="10"/>
        <v>1</v>
      </c>
      <c r="P101" s="5" t="s">
        <v>41</v>
      </c>
    </row>
    <row r="102" spans="1:16" x14ac:dyDescent="0.25">
      <c r="A102" s="259">
        <v>47</v>
      </c>
      <c r="B102" s="317" t="s">
        <v>602</v>
      </c>
      <c r="C102" s="318"/>
      <c r="D102" s="243">
        <v>36</v>
      </c>
      <c r="E102" s="243">
        <v>25</v>
      </c>
      <c r="F102" s="243">
        <v>0</v>
      </c>
      <c r="G102" s="243">
        <v>0</v>
      </c>
      <c r="H102" s="243">
        <v>0</v>
      </c>
      <c r="I102" s="243">
        <f t="shared" si="11"/>
        <v>0</v>
      </c>
      <c r="J102" s="243">
        <v>0</v>
      </c>
      <c r="K102" s="243">
        <f t="shared" si="6"/>
        <v>25</v>
      </c>
      <c r="L102" s="244">
        <f t="shared" si="7"/>
        <v>0</v>
      </c>
      <c r="M102" s="245">
        <f t="shared" si="8"/>
        <v>0</v>
      </c>
      <c r="N102" s="245">
        <f t="shared" si="9"/>
        <v>1</v>
      </c>
      <c r="O102" s="245">
        <f t="shared" si="10"/>
        <v>1</v>
      </c>
      <c r="P102" s="5" t="s">
        <v>41</v>
      </c>
    </row>
    <row r="103" spans="1:16" x14ac:dyDescent="0.25">
      <c r="A103" s="259">
        <v>48</v>
      </c>
      <c r="B103" s="317" t="s">
        <v>603</v>
      </c>
      <c r="C103" s="318"/>
      <c r="D103" s="243">
        <v>175</v>
      </c>
      <c r="E103" s="243">
        <v>155</v>
      </c>
      <c r="F103" s="243">
        <v>0</v>
      </c>
      <c r="G103" s="243">
        <v>0</v>
      </c>
      <c r="H103" s="243">
        <v>0</v>
      </c>
      <c r="I103" s="243">
        <f t="shared" si="11"/>
        <v>0</v>
      </c>
      <c r="J103" s="243">
        <v>0</v>
      </c>
      <c r="K103" s="243">
        <f t="shared" si="6"/>
        <v>155</v>
      </c>
      <c r="L103" s="244">
        <f t="shared" si="7"/>
        <v>0</v>
      </c>
      <c r="M103" s="245">
        <f t="shared" si="8"/>
        <v>0</v>
      </c>
      <c r="N103" s="245">
        <f t="shared" si="9"/>
        <v>1</v>
      </c>
      <c r="O103" s="245">
        <f t="shared" si="10"/>
        <v>1</v>
      </c>
      <c r="P103" s="5" t="s">
        <v>41</v>
      </c>
    </row>
    <row r="104" spans="1:16" x14ac:dyDescent="0.25">
      <c r="A104" s="259">
        <v>49</v>
      </c>
      <c r="B104" s="317" t="s">
        <v>605</v>
      </c>
      <c r="C104" s="318"/>
      <c r="D104" s="243">
        <v>8</v>
      </c>
      <c r="E104" s="243">
        <v>49</v>
      </c>
      <c r="F104" s="243">
        <v>0</v>
      </c>
      <c r="G104" s="243">
        <v>0</v>
      </c>
      <c r="H104" s="243">
        <v>0</v>
      </c>
      <c r="I104" s="243">
        <f t="shared" si="11"/>
        <v>0</v>
      </c>
      <c r="J104" s="243">
        <v>0</v>
      </c>
      <c r="K104" s="243">
        <f t="shared" si="6"/>
        <v>49</v>
      </c>
      <c r="L104" s="244">
        <f t="shared" si="7"/>
        <v>0</v>
      </c>
      <c r="M104" s="245">
        <f t="shared" si="8"/>
        <v>0</v>
      </c>
      <c r="N104" s="245">
        <f t="shared" si="9"/>
        <v>1</v>
      </c>
      <c r="O104" s="245">
        <f t="shared" si="10"/>
        <v>1</v>
      </c>
      <c r="P104" s="5" t="s">
        <v>41</v>
      </c>
    </row>
    <row r="105" spans="1:16" x14ac:dyDescent="0.25">
      <c r="A105" s="259">
        <v>50</v>
      </c>
      <c r="B105" s="317" t="s">
        <v>606</v>
      </c>
      <c r="C105" s="318"/>
      <c r="D105" s="243">
        <v>440</v>
      </c>
      <c r="E105" s="243">
        <v>125</v>
      </c>
      <c r="F105" s="243">
        <v>0</v>
      </c>
      <c r="G105" s="243">
        <v>0</v>
      </c>
      <c r="H105" s="243">
        <v>0</v>
      </c>
      <c r="I105" s="243">
        <f t="shared" si="11"/>
        <v>0</v>
      </c>
      <c r="J105" s="243">
        <v>0</v>
      </c>
      <c r="K105" s="243">
        <f t="shared" si="6"/>
        <v>125</v>
      </c>
      <c r="L105" s="244">
        <f t="shared" si="7"/>
        <v>0</v>
      </c>
      <c r="M105" s="245">
        <f t="shared" si="8"/>
        <v>0</v>
      </c>
      <c r="N105" s="245">
        <f t="shared" si="9"/>
        <v>1</v>
      </c>
      <c r="O105" s="245">
        <f t="shared" si="10"/>
        <v>1</v>
      </c>
      <c r="P105" s="5"/>
    </row>
    <row r="106" spans="1:16" ht="45" x14ac:dyDescent="0.25">
      <c r="A106" s="259">
        <v>51</v>
      </c>
      <c r="B106" s="317" t="s">
        <v>608</v>
      </c>
      <c r="C106" s="318"/>
      <c r="D106" s="243">
        <v>350</v>
      </c>
      <c r="E106" s="243">
        <v>219</v>
      </c>
      <c r="F106" s="243">
        <v>2</v>
      </c>
      <c r="G106" s="243">
        <v>0</v>
      </c>
      <c r="H106" s="243">
        <v>0</v>
      </c>
      <c r="I106" s="243">
        <v>2</v>
      </c>
      <c r="J106" s="243">
        <v>0</v>
      </c>
      <c r="K106" s="243">
        <f t="shared" si="6"/>
        <v>217</v>
      </c>
      <c r="L106" s="244">
        <f t="shared" si="7"/>
        <v>9.1324200913242004E-3</v>
      </c>
      <c r="M106" s="245">
        <f t="shared" si="8"/>
        <v>0</v>
      </c>
      <c r="N106" s="245">
        <f t="shared" si="9"/>
        <v>0.9908675799086758</v>
      </c>
      <c r="O106" s="245">
        <f t="shared" si="10"/>
        <v>0.9908675799086758</v>
      </c>
      <c r="P106" s="5" t="s">
        <v>698</v>
      </c>
    </row>
    <row r="107" spans="1:16" x14ac:dyDescent="0.25">
      <c r="A107" s="259">
        <v>52</v>
      </c>
      <c r="B107" s="317" t="s">
        <v>609</v>
      </c>
      <c r="C107" s="318"/>
      <c r="D107" s="243">
        <v>0</v>
      </c>
      <c r="E107" s="243">
        <v>0</v>
      </c>
      <c r="F107" s="243">
        <v>0</v>
      </c>
      <c r="G107" s="243">
        <v>0</v>
      </c>
      <c r="H107" s="243">
        <v>0</v>
      </c>
      <c r="I107" s="243">
        <f t="shared" si="11"/>
        <v>0</v>
      </c>
      <c r="J107" s="243">
        <v>0</v>
      </c>
      <c r="K107" s="243">
        <f t="shared" si="6"/>
        <v>0</v>
      </c>
      <c r="L107" s="244" t="e">
        <f t="shared" si="7"/>
        <v>#DIV/0!</v>
      </c>
      <c r="M107" s="245" t="e">
        <f t="shared" si="8"/>
        <v>#DIV/0!</v>
      </c>
      <c r="N107" s="245" t="e">
        <f t="shared" si="9"/>
        <v>#DIV/0!</v>
      </c>
      <c r="O107" s="245" t="e">
        <f t="shared" si="10"/>
        <v>#DIV/0!</v>
      </c>
      <c r="P107" s="5"/>
    </row>
    <row r="108" spans="1:16" ht="15.75" x14ac:dyDescent="0.25">
      <c r="A108" s="251" t="s">
        <v>699</v>
      </c>
      <c r="B108" s="252"/>
      <c r="C108" s="252"/>
      <c r="D108" s="243"/>
      <c r="E108" s="243"/>
      <c r="F108" s="243"/>
      <c r="G108" s="243">
        <v>0</v>
      </c>
      <c r="H108" s="243">
        <v>0</v>
      </c>
      <c r="I108" s="243">
        <f t="shared" si="11"/>
        <v>0</v>
      </c>
      <c r="J108" s="243">
        <v>0</v>
      </c>
      <c r="K108" s="243">
        <f t="shared" si="6"/>
        <v>0</v>
      </c>
      <c r="L108" s="244" t="e">
        <f t="shared" si="7"/>
        <v>#DIV/0!</v>
      </c>
      <c r="M108" s="245" t="e">
        <f t="shared" si="8"/>
        <v>#DIV/0!</v>
      </c>
      <c r="N108" s="245" t="e">
        <f t="shared" si="9"/>
        <v>#DIV/0!</v>
      </c>
      <c r="O108" s="245" t="e">
        <f t="shared" si="10"/>
        <v>#DIV/0!</v>
      </c>
      <c r="P108" s="5" t="s">
        <v>41</v>
      </c>
    </row>
    <row r="109" spans="1:16" ht="90" x14ac:dyDescent="0.25">
      <c r="A109" s="23">
        <v>53</v>
      </c>
      <c r="B109" s="315" t="s">
        <v>610</v>
      </c>
      <c r="C109" s="316"/>
      <c r="D109" s="243">
        <v>2441</v>
      </c>
      <c r="E109" s="243">
        <v>2249</v>
      </c>
      <c r="F109" s="243">
        <v>10</v>
      </c>
      <c r="G109" s="243">
        <v>0</v>
      </c>
      <c r="H109" s="243">
        <v>0</v>
      </c>
      <c r="I109" s="243">
        <v>10</v>
      </c>
      <c r="J109" s="243">
        <v>0</v>
      </c>
      <c r="K109" s="243">
        <f t="shared" si="6"/>
        <v>2239</v>
      </c>
      <c r="L109" s="244">
        <f t="shared" si="7"/>
        <v>4.4464206313917292E-3</v>
      </c>
      <c r="M109" s="245">
        <f t="shared" si="8"/>
        <v>0</v>
      </c>
      <c r="N109" s="245">
        <f t="shared" si="9"/>
        <v>0.99555357936860822</v>
      </c>
      <c r="O109" s="245">
        <f t="shared" si="10"/>
        <v>0.99555357936860822</v>
      </c>
      <c r="P109" s="5" t="s">
        <v>700</v>
      </c>
    </row>
    <row r="110" spans="1:16" x14ac:dyDescent="0.25">
      <c r="A110" s="23">
        <v>54</v>
      </c>
      <c r="B110" s="315" t="s">
        <v>611</v>
      </c>
      <c r="C110" s="316"/>
      <c r="D110" s="243">
        <v>39</v>
      </c>
      <c r="E110" s="243">
        <v>26</v>
      </c>
      <c r="F110" s="243">
        <v>0</v>
      </c>
      <c r="G110" s="243">
        <v>0</v>
      </c>
      <c r="H110" s="243">
        <v>0</v>
      </c>
      <c r="I110" s="243">
        <f t="shared" si="11"/>
        <v>0</v>
      </c>
      <c r="J110" s="243">
        <v>0</v>
      </c>
      <c r="K110" s="243">
        <f t="shared" si="6"/>
        <v>26</v>
      </c>
      <c r="L110" s="244">
        <f t="shared" si="7"/>
        <v>0</v>
      </c>
      <c r="M110" s="245">
        <f t="shared" si="8"/>
        <v>0</v>
      </c>
      <c r="N110" s="245">
        <f t="shared" si="9"/>
        <v>1</v>
      </c>
      <c r="O110" s="245">
        <f t="shared" si="10"/>
        <v>1</v>
      </c>
      <c r="P110" s="5"/>
    </row>
    <row r="111" spans="1:16" x14ac:dyDescent="0.25">
      <c r="A111" s="23">
        <v>55</v>
      </c>
      <c r="B111" s="315" t="s">
        <v>612</v>
      </c>
      <c r="C111" s="316"/>
      <c r="D111" s="243">
        <v>20</v>
      </c>
      <c r="E111" s="243">
        <v>31</v>
      </c>
      <c r="F111" s="243">
        <v>0</v>
      </c>
      <c r="G111" s="243">
        <v>0</v>
      </c>
      <c r="H111" s="243">
        <v>0</v>
      </c>
      <c r="I111" s="243">
        <f t="shared" si="11"/>
        <v>0</v>
      </c>
      <c r="J111" s="243">
        <v>0</v>
      </c>
      <c r="K111" s="243">
        <f t="shared" si="6"/>
        <v>31</v>
      </c>
      <c r="L111" s="244">
        <f t="shared" si="7"/>
        <v>0</v>
      </c>
      <c r="M111" s="245">
        <f t="shared" si="8"/>
        <v>0</v>
      </c>
      <c r="N111" s="245">
        <f t="shared" si="9"/>
        <v>1</v>
      </c>
      <c r="O111" s="245">
        <f t="shared" si="10"/>
        <v>1</v>
      </c>
      <c r="P111" s="5" t="s">
        <v>41</v>
      </c>
    </row>
    <row r="112" spans="1:16" x14ac:dyDescent="0.25">
      <c r="A112" s="23">
        <v>56</v>
      </c>
      <c r="B112" s="315" t="s">
        <v>613</v>
      </c>
      <c r="C112" s="316"/>
      <c r="D112" s="243">
        <v>331</v>
      </c>
      <c r="E112" s="243">
        <v>289</v>
      </c>
      <c r="F112" s="243">
        <v>0</v>
      </c>
      <c r="G112" s="243">
        <v>0</v>
      </c>
      <c r="H112" s="243">
        <v>0</v>
      </c>
      <c r="I112" s="243">
        <f t="shared" si="11"/>
        <v>0</v>
      </c>
      <c r="J112" s="243">
        <v>0</v>
      </c>
      <c r="K112" s="243">
        <f t="shared" si="6"/>
        <v>289</v>
      </c>
      <c r="L112" s="244">
        <f t="shared" si="7"/>
        <v>0</v>
      </c>
      <c r="M112" s="245">
        <f t="shared" si="8"/>
        <v>0</v>
      </c>
      <c r="N112" s="245">
        <f t="shared" si="9"/>
        <v>1</v>
      </c>
      <c r="O112" s="245">
        <f t="shared" si="10"/>
        <v>1</v>
      </c>
      <c r="P112" s="5"/>
    </row>
    <row r="113" spans="1:16" ht="15.75" x14ac:dyDescent="0.25">
      <c r="A113" s="23">
        <v>57</v>
      </c>
      <c r="B113" s="315" t="s">
        <v>614</v>
      </c>
      <c r="C113" s="316"/>
      <c r="D113" s="243">
        <v>227</v>
      </c>
      <c r="E113" s="243">
        <v>199</v>
      </c>
      <c r="F113" s="243">
        <v>0</v>
      </c>
      <c r="G113" s="243">
        <v>0</v>
      </c>
      <c r="H113" s="243">
        <v>0</v>
      </c>
      <c r="I113" s="243">
        <v>0</v>
      </c>
      <c r="J113" s="243">
        <v>0</v>
      </c>
      <c r="K113" s="243">
        <f t="shared" si="6"/>
        <v>199</v>
      </c>
      <c r="L113" s="244">
        <f t="shared" si="7"/>
        <v>0</v>
      </c>
      <c r="M113" s="245">
        <f t="shared" si="8"/>
        <v>0</v>
      </c>
      <c r="N113" s="245">
        <f t="shared" si="9"/>
        <v>1</v>
      </c>
      <c r="O113" s="245">
        <f t="shared" si="10"/>
        <v>1</v>
      </c>
      <c r="P113" s="268"/>
    </row>
    <row r="114" spans="1:16" x14ac:dyDescent="0.25">
      <c r="A114" s="23">
        <v>58</v>
      </c>
      <c r="B114" s="315" t="s">
        <v>615</v>
      </c>
      <c r="C114" s="316"/>
      <c r="D114" s="243">
        <v>322</v>
      </c>
      <c r="E114" s="243">
        <v>303</v>
      </c>
      <c r="F114" s="243">
        <v>0</v>
      </c>
      <c r="G114" s="243">
        <v>0</v>
      </c>
      <c r="H114" s="243">
        <v>0</v>
      </c>
      <c r="I114" s="243">
        <f t="shared" si="11"/>
        <v>0</v>
      </c>
      <c r="J114" s="243">
        <v>0</v>
      </c>
      <c r="K114" s="243">
        <f t="shared" si="6"/>
        <v>303</v>
      </c>
      <c r="L114" s="244">
        <f t="shared" si="7"/>
        <v>0</v>
      </c>
      <c r="M114" s="245">
        <f t="shared" si="8"/>
        <v>0</v>
      </c>
      <c r="N114" s="245">
        <f t="shared" si="9"/>
        <v>1</v>
      </c>
      <c r="O114" s="245">
        <f t="shared" si="10"/>
        <v>1</v>
      </c>
      <c r="P114" s="5" t="s">
        <v>41</v>
      </c>
    </row>
    <row r="115" spans="1:16" x14ac:dyDescent="0.25">
      <c r="A115" s="23">
        <v>59</v>
      </c>
      <c r="B115" s="315" t="s">
        <v>616</v>
      </c>
      <c r="C115" s="316"/>
      <c r="D115" s="243">
        <v>110</v>
      </c>
      <c r="E115" s="243">
        <v>69</v>
      </c>
      <c r="F115" s="243">
        <v>0</v>
      </c>
      <c r="G115" s="243">
        <v>0</v>
      </c>
      <c r="H115" s="243">
        <v>0</v>
      </c>
      <c r="I115" s="243">
        <f t="shared" si="11"/>
        <v>0</v>
      </c>
      <c r="J115" s="243">
        <v>0</v>
      </c>
      <c r="K115" s="243">
        <f t="shared" si="6"/>
        <v>69</v>
      </c>
      <c r="L115" s="244">
        <f t="shared" si="7"/>
        <v>0</v>
      </c>
      <c r="M115" s="245">
        <f t="shared" si="8"/>
        <v>0</v>
      </c>
      <c r="N115" s="245">
        <f t="shared" si="9"/>
        <v>1</v>
      </c>
      <c r="O115" s="245">
        <f t="shared" si="10"/>
        <v>1</v>
      </c>
      <c r="P115" s="5" t="s">
        <v>41</v>
      </c>
    </row>
    <row r="116" spans="1:16" x14ac:dyDescent="0.25">
      <c r="A116" s="23">
        <v>60</v>
      </c>
      <c r="B116" s="315" t="s">
        <v>617</v>
      </c>
      <c r="C116" s="316"/>
      <c r="D116" s="243">
        <v>993</v>
      </c>
      <c r="E116" s="243">
        <v>1049</v>
      </c>
      <c r="F116" s="243">
        <v>0</v>
      </c>
      <c r="G116" s="243">
        <v>0</v>
      </c>
      <c r="H116" s="243">
        <v>0</v>
      </c>
      <c r="I116" s="243">
        <f t="shared" si="11"/>
        <v>0</v>
      </c>
      <c r="J116" s="243">
        <v>0</v>
      </c>
      <c r="K116" s="243">
        <f t="shared" si="6"/>
        <v>1049</v>
      </c>
      <c r="L116" s="244">
        <f t="shared" si="7"/>
        <v>0</v>
      </c>
      <c r="M116" s="245">
        <f t="shared" si="8"/>
        <v>0</v>
      </c>
      <c r="N116" s="245">
        <f t="shared" si="9"/>
        <v>1</v>
      </c>
      <c r="O116" s="245">
        <f t="shared" si="10"/>
        <v>1</v>
      </c>
      <c r="P116" s="5" t="s">
        <v>41</v>
      </c>
    </row>
    <row r="117" spans="1:16" x14ac:dyDescent="0.25">
      <c r="A117" s="23">
        <v>61</v>
      </c>
      <c r="B117" s="315" t="s">
        <v>618</v>
      </c>
      <c r="C117" s="316"/>
      <c r="D117" s="243">
        <v>99</v>
      </c>
      <c r="E117" s="243">
        <v>113</v>
      </c>
      <c r="F117" s="243">
        <v>0</v>
      </c>
      <c r="G117" s="243">
        <v>0</v>
      </c>
      <c r="H117" s="243">
        <v>0</v>
      </c>
      <c r="I117" s="243">
        <f t="shared" si="11"/>
        <v>0</v>
      </c>
      <c r="J117" s="243">
        <v>0</v>
      </c>
      <c r="K117" s="243">
        <f t="shared" si="6"/>
        <v>113</v>
      </c>
      <c r="L117" s="244">
        <f t="shared" si="7"/>
        <v>0</v>
      </c>
      <c r="M117" s="245">
        <f t="shared" si="8"/>
        <v>0</v>
      </c>
      <c r="N117" s="245">
        <f t="shared" si="9"/>
        <v>1</v>
      </c>
      <c r="O117" s="245">
        <f t="shared" si="10"/>
        <v>1</v>
      </c>
      <c r="P117" s="5" t="s">
        <v>41</v>
      </c>
    </row>
    <row r="118" spans="1:16" x14ac:dyDescent="0.25">
      <c r="A118" s="23">
        <v>62</v>
      </c>
      <c r="B118" s="315" t="s">
        <v>619</v>
      </c>
      <c r="C118" s="316"/>
      <c r="D118" s="243">
        <v>0</v>
      </c>
      <c r="E118" s="243">
        <v>0</v>
      </c>
      <c r="F118" s="243">
        <v>0</v>
      </c>
      <c r="G118" s="243">
        <v>0</v>
      </c>
      <c r="H118" s="243">
        <v>0</v>
      </c>
      <c r="I118" s="243">
        <f t="shared" si="11"/>
        <v>0</v>
      </c>
      <c r="J118" s="243">
        <v>0</v>
      </c>
      <c r="K118" s="243">
        <f t="shared" si="6"/>
        <v>0</v>
      </c>
      <c r="L118" s="244" t="e">
        <f t="shared" si="7"/>
        <v>#DIV/0!</v>
      </c>
      <c r="M118" s="245" t="e">
        <f t="shared" si="8"/>
        <v>#DIV/0!</v>
      </c>
      <c r="N118" s="245" t="e">
        <f t="shared" si="9"/>
        <v>#DIV/0!</v>
      </c>
      <c r="O118" s="245" t="e">
        <f t="shared" si="10"/>
        <v>#DIV/0!</v>
      </c>
      <c r="P118" s="5" t="s">
        <v>41</v>
      </c>
    </row>
    <row r="119" spans="1:16" x14ac:dyDescent="0.25">
      <c r="A119" s="23">
        <v>63</v>
      </c>
      <c r="B119" s="315" t="s">
        <v>620</v>
      </c>
      <c r="C119" s="316"/>
      <c r="D119" s="243">
        <v>6</v>
      </c>
      <c r="E119" s="243">
        <v>20</v>
      </c>
      <c r="F119" s="243">
        <v>0</v>
      </c>
      <c r="G119" s="243">
        <v>0</v>
      </c>
      <c r="H119" s="243">
        <v>0</v>
      </c>
      <c r="I119" s="243">
        <f t="shared" si="11"/>
        <v>0</v>
      </c>
      <c r="J119" s="243">
        <v>0</v>
      </c>
      <c r="K119" s="243">
        <f t="shared" si="6"/>
        <v>20</v>
      </c>
      <c r="L119" s="244">
        <f t="shared" si="7"/>
        <v>0</v>
      </c>
      <c r="M119" s="245">
        <f t="shared" si="8"/>
        <v>0</v>
      </c>
      <c r="N119" s="245">
        <f t="shared" si="9"/>
        <v>1</v>
      </c>
      <c r="O119" s="245">
        <f t="shared" si="10"/>
        <v>1</v>
      </c>
      <c r="P119" s="5" t="s">
        <v>41</v>
      </c>
    </row>
    <row r="120" spans="1:16" x14ac:dyDescent="0.25">
      <c r="A120" s="23">
        <v>64</v>
      </c>
      <c r="B120" s="315" t="s">
        <v>621</v>
      </c>
      <c r="C120" s="316"/>
      <c r="D120" s="243">
        <v>216</v>
      </c>
      <c r="E120" s="243">
        <v>260</v>
      </c>
      <c r="F120" s="243">
        <v>0</v>
      </c>
      <c r="G120" s="243">
        <v>0</v>
      </c>
      <c r="H120" s="243">
        <v>0</v>
      </c>
      <c r="I120" s="243">
        <f t="shared" si="11"/>
        <v>0</v>
      </c>
      <c r="J120" s="243">
        <v>0</v>
      </c>
      <c r="K120" s="243">
        <f t="shared" si="6"/>
        <v>260</v>
      </c>
      <c r="L120" s="244">
        <f t="shared" si="7"/>
        <v>0</v>
      </c>
      <c r="M120" s="245">
        <f t="shared" si="8"/>
        <v>0</v>
      </c>
      <c r="N120" s="245">
        <f t="shared" si="9"/>
        <v>1</v>
      </c>
      <c r="O120" s="245">
        <f t="shared" si="10"/>
        <v>1</v>
      </c>
      <c r="P120" s="5" t="s">
        <v>41</v>
      </c>
    </row>
    <row r="121" spans="1:16" x14ac:dyDescent="0.25">
      <c r="A121" s="23">
        <v>65</v>
      </c>
      <c r="B121" s="315" t="s">
        <v>622</v>
      </c>
      <c r="C121" s="316"/>
      <c r="D121" s="243">
        <v>3013</v>
      </c>
      <c r="E121" s="243">
        <v>2813</v>
      </c>
      <c r="F121" s="243">
        <v>0</v>
      </c>
      <c r="G121" s="243">
        <v>0</v>
      </c>
      <c r="H121" s="243">
        <v>0</v>
      </c>
      <c r="I121" s="243">
        <f t="shared" si="11"/>
        <v>0</v>
      </c>
      <c r="J121" s="243">
        <v>0</v>
      </c>
      <c r="K121" s="243">
        <f t="shared" si="6"/>
        <v>2813</v>
      </c>
      <c r="L121" s="244">
        <f t="shared" si="7"/>
        <v>0</v>
      </c>
      <c r="M121" s="245">
        <f t="shared" si="8"/>
        <v>0</v>
      </c>
      <c r="N121" s="245">
        <f t="shared" si="9"/>
        <v>1</v>
      </c>
      <c r="O121" s="245">
        <f t="shared" si="10"/>
        <v>1</v>
      </c>
      <c r="P121" s="5" t="s">
        <v>41</v>
      </c>
    </row>
    <row r="122" spans="1:16" x14ac:dyDescent="0.25">
      <c r="A122" s="23">
        <v>66</v>
      </c>
      <c r="B122" s="315" t="s">
        <v>624</v>
      </c>
      <c r="C122" s="316"/>
      <c r="D122" s="243">
        <v>59</v>
      </c>
      <c r="E122" s="243">
        <v>6</v>
      </c>
      <c r="F122" s="243">
        <v>0</v>
      </c>
      <c r="G122" s="243">
        <v>0</v>
      </c>
      <c r="H122" s="243">
        <v>0</v>
      </c>
      <c r="I122" s="243">
        <f t="shared" si="11"/>
        <v>0</v>
      </c>
      <c r="J122" s="243">
        <v>0</v>
      </c>
      <c r="K122" s="243">
        <f t="shared" si="6"/>
        <v>6</v>
      </c>
      <c r="L122" s="244">
        <f t="shared" si="7"/>
        <v>0</v>
      </c>
      <c r="M122" s="245">
        <f t="shared" si="8"/>
        <v>0</v>
      </c>
      <c r="N122" s="245">
        <f t="shared" si="9"/>
        <v>1</v>
      </c>
      <c r="O122" s="245">
        <f t="shared" si="10"/>
        <v>1</v>
      </c>
      <c r="P122" s="5" t="s">
        <v>41</v>
      </c>
    </row>
    <row r="123" spans="1:16" x14ac:dyDescent="0.25">
      <c r="A123" s="23">
        <v>67</v>
      </c>
      <c r="B123" s="315" t="s">
        <v>625</v>
      </c>
      <c r="C123" s="316"/>
      <c r="D123" s="243">
        <v>189</v>
      </c>
      <c r="E123" s="243">
        <v>297</v>
      </c>
      <c r="F123" s="243">
        <v>0</v>
      </c>
      <c r="G123" s="243">
        <v>0</v>
      </c>
      <c r="H123" s="243">
        <v>0</v>
      </c>
      <c r="I123" s="243">
        <f t="shared" si="11"/>
        <v>0</v>
      </c>
      <c r="J123" s="243">
        <v>0</v>
      </c>
      <c r="K123" s="243">
        <f t="shared" si="6"/>
        <v>297</v>
      </c>
      <c r="L123" s="244">
        <f t="shared" si="7"/>
        <v>0</v>
      </c>
      <c r="M123" s="245">
        <f t="shared" si="8"/>
        <v>0</v>
      </c>
      <c r="N123" s="245">
        <f t="shared" si="9"/>
        <v>1</v>
      </c>
      <c r="O123" s="245">
        <f t="shared" si="10"/>
        <v>1</v>
      </c>
      <c r="P123" s="5" t="s">
        <v>41</v>
      </c>
    </row>
    <row r="124" spans="1:16" ht="15.75" x14ac:dyDescent="0.25">
      <c r="A124" s="23">
        <v>68</v>
      </c>
      <c r="B124" s="315" t="s">
        <v>701</v>
      </c>
      <c r="C124" s="316"/>
      <c r="D124" s="243">
        <v>174</v>
      </c>
      <c r="E124" s="243">
        <v>155</v>
      </c>
      <c r="F124" s="243">
        <v>5</v>
      </c>
      <c r="G124" s="243">
        <v>0</v>
      </c>
      <c r="H124" s="243">
        <v>0</v>
      </c>
      <c r="I124" s="243">
        <v>5</v>
      </c>
      <c r="J124" s="243">
        <v>0</v>
      </c>
      <c r="K124" s="243">
        <f t="shared" si="6"/>
        <v>150</v>
      </c>
      <c r="L124" s="244">
        <f t="shared" si="7"/>
        <v>3.2258064516129031E-2</v>
      </c>
      <c r="M124" s="245">
        <f t="shared" si="8"/>
        <v>0</v>
      </c>
      <c r="N124" s="245">
        <f t="shared" si="9"/>
        <v>0.967741935483871</v>
      </c>
      <c r="O124" s="245">
        <f t="shared" si="10"/>
        <v>0.967741935483871</v>
      </c>
      <c r="P124" s="268"/>
    </row>
    <row r="125" spans="1:16" x14ac:dyDescent="0.25">
      <c r="A125" s="23">
        <v>69</v>
      </c>
      <c r="B125" s="315" t="s">
        <v>702</v>
      </c>
      <c r="C125" s="316"/>
      <c r="D125" s="243">
        <v>137</v>
      </c>
      <c r="E125" s="243">
        <v>82</v>
      </c>
      <c r="F125" s="243">
        <v>0</v>
      </c>
      <c r="G125" s="243">
        <v>0</v>
      </c>
      <c r="H125" s="243">
        <v>0</v>
      </c>
      <c r="I125" s="243">
        <f t="shared" si="11"/>
        <v>0</v>
      </c>
      <c r="J125" s="243">
        <v>0</v>
      </c>
      <c r="K125" s="243">
        <f t="shared" si="6"/>
        <v>82</v>
      </c>
      <c r="L125" s="244">
        <f t="shared" si="7"/>
        <v>0</v>
      </c>
      <c r="M125" s="245">
        <f t="shared" si="8"/>
        <v>0</v>
      </c>
      <c r="N125" s="245">
        <f t="shared" si="9"/>
        <v>1</v>
      </c>
      <c r="O125" s="245">
        <f t="shared" si="10"/>
        <v>1</v>
      </c>
      <c r="P125" s="5" t="s">
        <v>41</v>
      </c>
    </row>
    <row r="126" spans="1:16" x14ac:dyDescent="0.25">
      <c r="A126" s="23">
        <v>70</v>
      </c>
      <c r="B126" s="315" t="s">
        <v>703</v>
      </c>
      <c r="C126" s="316"/>
      <c r="D126" s="243">
        <v>2</v>
      </c>
      <c r="E126" s="243">
        <v>3</v>
      </c>
      <c r="F126" s="243">
        <v>0</v>
      </c>
      <c r="G126" s="243">
        <v>0</v>
      </c>
      <c r="H126" s="243">
        <v>0</v>
      </c>
      <c r="I126" s="243">
        <f t="shared" si="11"/>
        <v>0</v>
      </c>
      <c r="J126" s="243">
        <v>0</v>
      </c>
      <c r="K126" s="243">
        <f t="shared" si="6"/>
        <v>3</v>
      </c>
      <c r="L126" s="244">
        <f t="shared" si="7"/>
        <v>0</v>
      </c>
      <c r="M126" s="245">
        <f t="shared" si="8"/>
        <v>0</v>
      </c>
      <c r="N126" s="245">
        <f t="shared" si="9"/>
        <v>1</v>
      </c>
      <c r="O126" s="245">
        <f t="shared" si="10"/>
        <v>1</v>
      </c>
      <c r="P126" s="5" t="s">
        <v>41</v>
      </c>
    </row>
    <row r="127" spans="1:16" x14ac:dyDescent="0.25">
      <c r="A127" s="23">
        <v>71</v>
      </c>
      <c r="B127" s="315" t="s">
        <v>704</v>
      </c>
      <c r="C127" s="316"/>
      <c r="D127" s="243">
        <v>341</v>
      </c>
      <c r="E127" s="243">
        <v>325</v>
      </c>
      <c r="F127" s="243">
        <v>0</v>
      </c>
      <c r="G127" s="243">
        <v>0</v>
      </c>
      <c r="H127" s="243">
        <v>0</v>
      </c>
      <c r="I127" s="243">
        <f t="shared" si="11"/>
        <v>0</v>
      </c>
      <c r="J127" s="243">
        <v>0</v>
      </c>
      <c r="K127" s="243">
        <f t="shared" si="6"/>
        <v>325</v>
      </c>
      <c r="L127" s="244">
        <f t="shared" si="7"/>
        <v>0</v>
      </c>
      <c r="M127" s="245">
        <f t="shared" si="8"/>
        <v>0</v>
      </c>
      <c r="N127" s="245">
        <f t="shared" si="9"/>
        <v>1</v>
      </c>
      <c r="O127" s="245">
        <f t="shared" si="10"/>
        <v>1</v>
      </c>
      <c r="P127" s="5" t="s">
        <v>41</v>
      </c>
    </row>
    <row r="128" spans="1:16" x14ac:dyDescent="0.25">
      <c r="A128" s="23">
        <v>72</v>
      </c>
      <c r="B128" s="315" t="s">
        <v>705</v>
      </c>
      <c r="C128" s="316"/>
      <c r="D128" s="243">
        <v>20</v>
      </c>
      <c r="E128" s="243">
        <v>4</v>
      </c>
      <c r="F128" s="243">
        <v>0</v>
      </c>
      <c r="G128" s="243">
        <v>0</v>
      </c>
      <c r="H128" s="243">
        <v>0</v>
      </c>
      <c r="I128" s="243">
        <f t="shared" si="11"/>
        <v>0</v>
      </c>
      <c r="J128" s="243">
        <v>0</v>
      </c>
      <c r="K128" s="243">
        <f t="shared" si="6"/>
        <v>4</v>
      </c>
      <c r="L128" s="244">
        <f t="shared" si="7"/>
        <v>0</v>
      </c>
      <c r="M128" s="245">
        <f t="shared" si="8"/>
        <v>0</v>
      </c>
      <c r="N128" s="245">
        <f t="shared" si="9"/>
        <v>1</v>
      </c>
      <c r="O128" s="245">
        <f t="shared" si="10"/>
        <v>1</v>
      </c>
      <c r="P128" s="5" t="s">
        <v>41</v>
      </c>
    </row>
    <row r="129" spans="1:16" ht="45" x14ac:dyDescent="0.25">
      <c r="A129" s="23">
        <v>73</v>
      </c>
      <c r="B129" s="315" t="s">
        <v>706</v>
      </c>
      <c r="C129" s="316"/>
      <c r="D129" s="243">
        <v>621</v>
      </c>
      <c r="E129" s="243">
        <v>682</v>
      </c>
      <c r="F129" s="243">
        <v>0</v>
      </c>
      <c r="G129" s="243">
        <v>1</v>
      </c>
      <c r="H129" s="243">
        <v>0</v>
      </c>
      <c r="I129" s="243">
        <v>1</v>
      </c>
      <c r="J129" s="243">
        <v>0</v>
      </c>
      <c r="K129" s="243">
        <f t="shared" si="6"/>
        <v>681</v>
      </c>
      <c r="L129" s="244">
        <f t="shared" si="7"/>
        <v>1.4662756598240469E-3</v>
      </c>
      <c r="M129" s="245">
        <f t="shared" si="8"/>
        <v>0</v>
      </c>
      <c r="N129" s="245">
        <f t="shared" si="9"/>
        <v>0.99853372434017595</v>
      </c>
      <c r="O129" s="245">
        <f t="shared" si="10"/>
        <v>0.99853372434017595</v>
      </c>
      <c r="P129" s="5" t="s">
        <v>707</v>
      </c>
    </row>
    <row r="130" spans="1:16" x14ac:dyDescent="0.25">
      <c r="A130" s="23">
        <v>74</v>
      </c>
      <c r="B130" s="315" t="s">
        <v>708</v>
      </c>
      <c r="C130" s="316"/>
      <c r="D130" s="243">
        <v>1156</v>
      </c>
      <c r="E130" s="243">
        <v>1237</v>
      </c>
      <c r="F130" s="243">
        <v>0</v>
      </c>
      <c r="G130" s="243">
        <v>0</v>
      </c>
      <c r="H130" s="243">
        <v>0</v>
      </c>
      <c r="I130" s="243">
        <f t="shared" si="11"/>
        <v>0</v>
      </c>
      <c r="J130" s="243">
        <v>0</v>
      </c>
      <c r="K130" s="243">
        <f t="shared" si="6"/>
        <v>1237</v>
      </c>
      <c r="L130" s="244">
        <f t="shared" si="7"/>
        <v>0</v>
      </c>
      <c r="M130" s="245">
        <f t="shared" si="8"/>
        <v>0</v>
      </c>
      <c r="N130" s="245">
        <f t="shared" si="9"/>
        <v>1</v>
      </c>
      <c r="O130" s="245">
        <f t="shared" si="10"/>
        <v>1</v>
      </c>
      <c r="P130" s="5" t="s">
        <v>41</v>
      </c>
    </row>
    <row r="131" spans="1:16" x14ac:dyDescent="0.25">
      <c r="A131" s="23">
        <v>75</v>
      </c>
      <c r="B131" s="315" t="s">
        <v>709</v>
      </c>
      <c r="C131" s="316"/>
      <c r="D131" s="243">
        <v>1826</v>
      </c>
      <c r="E131" s="243">
        <v>1813</v>
      </c>
      <c r="F131" s="243">
        <v>0</v>
      </c>
      <c r="G131" s="243">
        <v>0</v>
      </c>
      <c r="H131" s="243">
        <v>0</v>
      </c>
      <c r="I131" s="243">
        <f t="shared" si="11"/>
        <v>0</v>
      </c>
      <c r="J131" s="243">
        <v>0</v>
      </c>
      <c r="K131" s="243">
        <f t="shared" si="6"/>
        <v>1813</v>
      </c>
      <c r="L131" s="244">
        <f t="shared" si="7"/>
        <v>0</v>
      </c>
      <c r="M131" s="245">
        <f t="shared" si="8"/>
        <v>0</v>
      </c>
      <c r="N131" s="245">
        <f t="shared" si="9"/>
        <v>1</v>
      </c>
      <c r="O131" s="245">
        <f t="shared" si="10"/>
        <v>1</v>
      </c>
      <c r="P131" s="5" t="s">
        <v>41</v>
      </c>
    </row>
    <row r="132" spans="1:16" x14ac:dyDescent="0.25">
      <c r="A132" s="23">
        <v>76</v>
      </c>
      <c r="B132" s="315" t="s">
        <v>710</v>
      </c>
      <c r="C132" s="316"/>
      <c r="D132" s="243">
        <v>0</v>
      </c>
      <c r="E132" s="243">
        <v>61</v>
      </c>
      <c r="F132" s="243">
        <v>0</v>
      </c>
      <c r="G132" s="243">
        <v>0</v>
      </c>
      <c r="H132" s="243">
        <v>0</v>
      </c>
      <c r="I132" s="243">
        <f t="shared" si="11"/>
        <v>0</v>
      </c>
      <c r="J132" s="243">
        <v>0</v>
      </c>
      <c r="K132" s="243">
        <f t="shared" si="6"/>
        <v>61</v>
      </c>
      <c r="L132" s="244">
        <f t="shared" si="7"/>
        <v>0</v>
      </c>
      <c r="M132" s="245">
        <f t="shared" si="8"/>
        <v>0</v>
      </c>
      <c r="N132" s="245">
        <f t="shared" si="9"/>
        <v>1</v>
      </c>
      <c r="O132" s="245">
        <f t="shared" si="10"/>
        <v>1</v>
      </c>
      <c r="P132" s="5" t="s">
        <v>41</v>
      </c>
    </row>
    <row r="133" spans="1:16" x14ac:dyDescent="0.25">
      <c r="A133" s="23">
        <v>77</v>
      </c>
      <c r="B133" s="315" t="s">
        <v>711</v>
      </c>
      <c r="C133" s="316"/>
      <c r="D133" s="243">
        <v>30</v>
      </c>
      <c r="E133" s="243">
        <v>22</v>
      </c>
      <c r="F133" s="243">
        <v>0</v>
      </c>
      <c r="G133" s="243">
        <v>0</v>
      </c>
      <c r="H133" s="243">
        <v>0</v>
      </c>
      <c r="I133" s="243">
        <f t="shared" si="11"/>
        <v>0</v>
      </c>
      <c r="J133" s="243">
        <v>0</v>
      </c>
      <c r="K133" s="243">
        <f t="shared" si="6"/>
        <v>22</v>
      </c>
      <c r="L133" s="244">
        <f t="shared" si="7"/>
        <v>0</v>
      </c>
      <c r="M133" s="245">
        <f t="shared" si="8"/>
        <v>0</v>
      </c>
      <c r="N133" s="245">
        <f t="shared" si="9"/>
        <v>1</v>
      </c>
      <c r="O133" s="245">
        <f t="shared" si="10"/>
        <v>1</v>
      </c>
      <c r="P133" s="5" t="s">
        <v>41</v>
      </c>
    </row>
    <row r="134" spans="1:16" x14ac:dyDescent="0.25">
      <c r="A134" s="23">
        <v>78</v>
      </c>
      <c r="B134" s="315" t="s">
        <v>712</v>
      </c>
      <c r="C134" s="316"/>
      <c r="D134" s="243">
        <v>16</v>
      </c>
      <c r="E134" s="243">
        <v>0</v>
      </c>
      <c r="F134" s="243">
        <v>0</v>
      </c>
      <c r="G134" s="243">
        <v>0</v>
      </c>
      <c r="H134" s="243">
        <v>0</v>
      </c>
      <c r="I134" s="243">
        <f t="shared" si="11"/>
        <v>0</v>
      </c>
      <c r="J134" s="243">
        <v>0</v>
      </c>
      <c r="K134" s="243">
        <f t="shared" si="6"/>
        <v>0</v>
      </c>
      <c r="L134" s="244" t="e">
        <f t="shared" si="7"/>
        <v>#DIV/0!</v>
      </c>
      <c r="M134" s="245" t="e">
        <f t="shared" si="8"/>
        <v>#DIV/0!</v>
      </c>
      <c r="N134" s="245" t="e">
        <f t="shared" si="9"/>
        <v>#DIV/0!</v>
      </c>
      <c r="O134" s="245" t="e">
        <f t="shared" si="10"/>
        <v>#DIV/0!</v>
      </c>
      <c r="P134" s="5" t="s">
        <v>41</v>
      </c>
    </row>
    <row r="135" spans="1:16" x14ac:dyDescent="0.25">
      <c r="A135" s="23">
        <v>79</v>
      </c>
      <c r="B135" s="315" t="s">
        <v>713</v>
      </c>
      <c r="C135" s="316"/>
      <c r="D135" s="243">
        <v>4</v>
      </c>
      <c r="E135" s="243">
        <v>6</v>
      </c>
      <c r="F135" s="243">
        <v>0</v>
      </c>
      <c r="G135" s="243">
        <v>0</v>
      </c>
      <c r="H135" s="243">
        <v>0</v>
      </c>
      <c r="I135" s="243">
        <f t="shared" si="11"/>
        <v>0</v>
      </c>
      <c r="J135" s="243">
        <v>0</v>
      </c>
      <c r="K135" s="243">
        <f t="shared" si="6"/>
        <v>6</v>
      </c>
      <c r="L135" s="244">
        <f t="shared" si="7"/>
        <v>0</v>
      </c>
      <c r="M135" s="245">
        <f t="shared" si="8"/>
        <v>0</v>
      </c>
      <c r="N135" s="245">
        <f t="shared" si="9"/>
        <v>1</v>
      </c>
      <c r="O135" s="245">
        <f t="shared" si="10"/>
        <v>1</v>
      </c>
      <c r="P135" s="5" t="s">
        <v>41</v>
      </c>
    </row>
    <row r="136" spans="1:16" x14ac:dyDescent="0.25">
      <c r="A136" s="23">
        <v>80</v>
      </c>
      <c r="B136" s="315" t="s">
        <v>714</v>
      </c>
      <c r="C136" s="316"/>
      <c r="D136" s="243">
        <v>176</v>
      </c>
      <c r="E136" s="243">
        <v>613</v>
      </c>
      <c r="F136" s="243">
        <v>0</v>
      </c>
      <c r="G136" s="243">
        <v>0</v>
      </c>
      <c r="H136" s="243">
        <v>0</v>
      </c>
      <c r="I136" s="243">
        <f t="shared" si="11"/>
        <v>0</v>
      </c>
      <c r="J136" s="243">
        <v>0</v>
      </c>
      <c r="K136" s="243">
        <f t="shared" ref="K136:K170" si="12">E136-I136</f>
        <v>613</v>
      </c>
      <c r="L136" s="244">
        <f t="shared" ref="L136:L170" si="13">(I136/E136)</f>
        <v>0</v>
      </c>
      <c r="M136" s="245">
        <f t="shared" ref="M136:M170" si="14">J136/E136</f>
        <v>0</v>
      </c>
      <c r="N136" s="245">
        <f t="shared" ref="N136:N170" si="15">K136/E136</f>
        <v>1</v>
      </c>
      <c r="O136" s="245">
        <f t="shared" ref="O136:O170" si="16">M136+N136</f>
        <v>1</v>
      </c>
      <c r="P136" s="5" t="s">
        <v>41</v>
      </c>
    </row>
    <row r="137" spans="1:16" x14ac:dyDescent="0.25">
      <c r="A137" s="23">
        <v>81</v>
      </c>
      <c r="B137" s="315" t="s">
        <v>715</v>
      </c>
      <c r="C137" s="316"/>
      <c r="D137" s="243">
        <v>246</v>
      </c>
      <c r="E137" s="243">
        <v>192</v>
      </c>
      <c r="F137" s="243">
        <v>0</v>
      </c>
      <c r="G137" s="243">
        <v>0</v>
      </c>
      <c r="H137" s="243">
        <v>0</v>
      </c>
      <c r="I137" s="243">
        <f t="shared" si="11"/>
        <v>0</v>
      </c>
      <c r="J137" s="243">
        <v>0</v>
      </c>
      <c r="K137" s="243">
        <f t="shared" si="12"/>
        <v>192</v>
      </c>
      <c r="L137" s="244">
        <f t="shared" si="13"/>
        <v>0</v>
      </c>
      <c r="M137" s="245">
        <f t="shared" si="14"/>
        <v>0</v>
      </c>
      <c r="N137" s="245">
        <f t="shared" si="15"/>
        <v>1</v>
      </c>
      <c r="O137" s="245">
        <f t="shared" si="16"/>
        <v>1</v>
      </c>
      <c r="P137" s="5" t="s">
        <v>41</v>
      </c>
    </row>
    <row r="138" spans="1:16" x14ac:dyDescent="0.25">
      <c r="A138" s="23">
        <v>82</v>
      </c>
      <c r="B138" s="315" t="s">
        <v>716</v>
      </c>
      <c r="C138" s="316"/>
      <c r="D138" s="243">
        <v>0</v>
      </c>
      <c r="E138" s="243">
        <v>0</v>
      </c>
      <c r="F138" s="243">
        <v>0</v>
      </c>
      <c r="G138" s="243">
        <v>0</v>
      </c>
      <c r="H138" s="243">
        <v>0</v>
      </c>
      <c r="I138" s="243">
        <f t="shared" si="11"/>
        <v>0</v>
      </c>
      <c r="J138" s="243">
        <v>0</v>
      </c>
      <c r="K138" s="243">
        <f t="shared" si="12"/>
        <v>0</v>
      </c>
      <c r="L138" s="244" t="e">
        <f t="shared" si="13"/>
        <v>#DIV/0!</v>
      </c>
      <c r="M138" s="245" t="e">
        <f t="shared" si="14"/>
        <v>#DIV/0!</v>
      </c>
      <c r="N138" s="245" t="e">
        <f t="shared" si="15"/>
        <v>#DIV/0!</v>
      </c>
      <c r="O138" s="245" t="e">
        <f t="shared" si="16"/>
        <v>#DIV/0!</v>
      </c>
      <c r="P138" s="5" t="s">
        <v>41</v>
      </c>
    </row>
    <row r="139" spans="1:16" x14ac:dyDescent="0.25">
      <c r="A139" s="23">
        <v>83</v>
      </c>
      <c r="B139" s="315" t="s">
        <v>717</v>
      </c>
      <c r="C139" s="316"/>
      <c r="D139" s="243">
        <v>0</v>
      </c>
      <c r="E139" s="243">
        <v>0</v>
      </c>
      <c r="F139" s="243">
        <v>0</v>
      </c>
      <c r="G139" s="243">
        <v>0</v>
      </c>
      <c r="H139" s="243">
        <v>0</v>
      </c>
      <c r="I139" s="243">
        <f t="shared" si="11"/>
        <v>0</v>
      </c>
      <c r="J139" s="243">
        <v>0</v>
      </c>
      <c r="K139" s="243">
        <f t="shared" si="12"/>
        <v>0</v>
      </c>
      <c r="L139" s="244" t="e">
        <f t="shared" si="13"/>
        <v>#DIV/0!</v>
      </c>
      <c r="M139" s="245" t="e">
        <f t="shared" si="14"/>
        <v>#DIV/0!</v>
      </c>
      <c r="N139" s="245" t="e">
        <f t="shared" si="15"/>
        <v>#DIV/0!</v>
      </c>
      <c r="O139" s="245" t="e">
        <f t="shared" si="16"/>
        <v>#DIV/0!</v>
      </c>
      <c r="P139" s="5" t="s">
        <v>41</v>
      </c>
    </row>
    <row r="140" spans="1:16" x14ac:dyDescent="0.25">
      <c r="A140" s="23">
        <v>84</v>
      </c>
      <c r="B140" s="315" t="s">
        <v>718</v>
      </c>
      <c r="C140" s="316"/>
      <c r="D140" s="243">
        <v>14</v>
      </c>
      <c r="E140" s="243">
        <v>3</v>
      </c>
      <c r="F140" s="243">
        <v>0</v>
      </c>
      <c r="G140" s="243">
        <v>0</v>
      </c>
      <c r="H140" s="243">
        <v>0</v>
      </c>
      <c r="I140" s="243">
        <f t="shared" ref="I140:I170" si="17">F140+G140+H140+H140</f>
        <v>0</v>
      </c>
      <c r="J140" s="243">
        <v>0</v>
      </c>
      <c r="K140" s="243">
        <f t="shared" si="12"/>
        <v>3</v>
      </c>
      <c r="L140" s="244">
        <f t="shared" si="13"/>
        <v>0</v>
      </c>
      <c r="M140" s="245">
        <f t="shared" si="14"/>
        <v>0</v>
      </c>
      <c r="N140" s="245">
        <f t="shared" si="15"/>
        <v>1</v>
      </c>
      <c r="O140" s="245">
        <f t="shared" si="16"/>
        <v>1</v>
      </c>
      <c r="P140" s="5" t="s">
        <v>41</v>
      </c>
    </row>
    <row r="141" spans="1:16" x14ac:dyDescent="0.25">
      <c r="A141" s="23">
        <v>85</v>
      </c>
      <c r="B141" s="315" t="s">
        <v>719</v>
      </c>
      <c r="C141" s="316"/>
      <c r="D141" s="243">
        <v>47</v>
      </c>
      <c r="E141" s="243">
        <v>49</v>
      </c>
      <c r="F141" s="243">
        <v>0</v>
      </c>
      <c r="G141" s="243">
        <v>0</v>
      </c>
      <c r="H141" s="243">
        <v>0</v>
      </c>
      <c r="I141" s="243">
        <f t="shared" si="17"/>
        <v>0</v>
      </c>
      <c r="J141" s="243">
        <v>0</v>
      </c>
      <c r="K141" s="243">
        <f t="shared" si="12"/>
        <v>49</v>
      </c>
      <c r="L141" s="244">
        <f t="shared" si="13"/>
        <v>0</v>
      </c>
      <c r="M141" s="245">
        <f t="shared" si="14"/>
        <v>0</v>
      </c>
      <c r="N141" s="245">
        <f t="shared" si="15"/>
        <v>1</v>
      </c>
      <c r="O141" s="245">
        <f t="shared" si="16"/>
        <v>1</v>
      </c>
      <c r="P141" s="5" t="s">
        <v>41</v>
      </c>
    </row>
    <row r="142" spans="1:16" x14ac:dyDescent="0.25">
      <c r="A142" s="23">
        <v>86</v>
      </c>
      <c r="B142" s="315" t="s">
        <v>720</v>
      </c>
      <c r="C142" s="316"/>
      <c r="D142" s="243">
        <v>0</v>
      </c>
      <c r="E142" s="243">
        <v>0</v>
      </c>
      <c r="F142" s="243">
        <v>0</v>
      </c>
      <c r="G142" s="243">
        <v>0</v>
      </c>
      <c r="H142" s="243">
        <v>0</v>
      </c>
      <c r="I142" s="243">
        <f t="shared" si="17"/>
        <v>0</v>
      </c>
      <c r="J142" s="243">
        <v>0</v>
      </c>
      <c r="K142" s="243">
        <f t="shared" si="12"/>
        <v>0</v>
      </c>
      <c r="L142" s="244" t="e">
        <f t="shared" si="13"/>
        <v>#DIV/0!</v>
      </c>
      <c r="M142" s="245" t="e">
        <f t="shared" si="14"/>
        <v>#DIV/0!</v>
      </c>
      <c r="N142" s="245" t="e">
        <f t="shared" si="15"/>
        <v>#DIV/0!</v>
      </c>
      <c r="O142" s="245" t="e">
        <f t="shared" si="16"/>
        <v>#DIV/0!</v>
      </c>
      <c r="P142" s="5" t="s">
        <v>41</v>
      </c>
    </row>
    <row r="143" spans="1:16" x14ac:dyDescent="0.25">
      <c r="A143" s="23">
        <v>87</v>
      </c>
      <c r="B143" s="315" t="s">
        <v>721</v>
      </c>
      <c r="C143" s="316"/>
      <c r="D143" s="243">
        <v>55</v>
      </c>
      <c r="E143" s="243">
        <v>35</v>
      </c>
      <c r="F143" s="243">
        <v>0</v>
      </c>
      <c r="G143" s="243">
        <v>0</v>
      </c>
      <c r="H143" s="243">
        <v>0</v>
      </c>
      <c r="I143" s="243">
        <f t="shared" si="17"/>
        <v>0</v>
      </c>
      <c r="J143" s="243">
        <v>0</v>
      </c>
      <c r="K143" s="243">
        <f t="shared" si="12"/>
        <v>35</v>
      </c>
      <c r="L143" s="244">
        <f t="shared" si="13"/>
        <v>0</v>
      </c>
      <c r="M143" s="245">
        <f t="shared" si="14"/>
        <v>0</v>
      </c>
      <c r="N143" s="245">
        <f t="shared" si="15"/>
        <v>1</v>
      </c>
      <c r="O143" s="245">
        <f t="shared" si="16"/>
        <v>1</v>
      </c>
      <c r="P143" s="5" t="s">
        <v>41</v>
      </c>
    </row>
    <row r="144" spans="1:16" x14ac:dyDescent="0.25">
      <c r="A144" s="23">
        <v>88</v>
      </c>
      <c r="B144" s="315" t="s">
        <v>722</v>
      </c>
      <c r="C144" s="316"/>
      <c r="D144" s="243">
        <v>7</v>
      </c>
      <c r="E144" s="243">
        <v>11</v>
      </c>
      <c r="F144" s="243">
        <v>0</v>
      </c>
      <c r="G144" s="243">
        <v>0</v>
      </c>
      <c r="H144" s="243">
        <v>0</v>
      </c>
      <c r="I144" s="243">
        <f t="shared" si="17"/>
        <v>0</v>
      </c>
      <c r="J144" s="243">
        <v>0</v>
      </c>
      <c r="K144" s="243">
        <f t="shared" si="12"/>
        <v>11</v>
      </c>
      <c r="L144" s="244">
        <f t="shared" si="13"/>
        <v>0</v>
      </c>
      <c r="M144" s="245">
        <f t="shared" si="14"/>
        <v>0</v>
      </c>
      <c r="N144" s="245">
        <f t="shared" si="15"/>
        <v>1</v>
      </c>
      <c r="O144" s="245">
        <f t="shared" si="16"/>
        <v>1</v>
      </c>
      <c r="P144" s="5" t="s">
        <v>41</v>
      </c>
    </row>
    <row r="145" spans="1:16" ht="60" x14ac:dyDescent="0.25">
      <c r="A145" s="23">
        <v>89</v>
      </c>
      <c r="B145" s="315" t="s">
        <v>723</v>
      </c>
      <c r="C145" s="316"/>
      <c r="D145" s="243">
        <v>80</v>
      </c>
      <c r="E145" s="243">
        <v>80</v>
      </c>
      <c r="F145" s="243">
        <v>0</v>
      </c>
      <c r="G145" s="243">
        <v>5</v>
      </c>
      <c r="H145" s="243"/>
      <c r="I145" s="243">
        <v>5</v>
      </c>
      <c r="J145" s="243">
        <v>0</v>
      </c>
      <c r="K145" s="243">
        <f t="shared" si="12"/>
        <v>75</v>
      </c>
      <c r="L145" s="244">
        <f t="shared" si="13"/>
        <v>6.25E-2</v>
      </c>
      <c r="M145" s="245">
        <f t="shared" si="14"/>
        <v>0</v>
      </c>
      <c r="N145" s="245">
        <f t="shared" si="15"/>
        <v>0.9375</v>
      </c>
      <c r="O145" s="245">
        <f t="shared" si="16"/>
        <v>0.9375</v>
      </c>
      <c r="P145" s="3" t="s">
        <v>724</v>
      </c>
    </row>
    <row r="146" spans="1:16" x14ac:dyDescent="0.25">
      <c r="A146" s="23">
        <v>90</v>
      </c>
      <c r="B146" s="315" t="s">
        <v>725</v>
      </c>
      <c r="C146" s="316"/>
      <c r="D146" s="243">
        <v>0</v>
      </c>
      <c r="E146" s="243">
        <v>0</v>
      </c>
      <c r="F146" s="243">
        <v>0</v>
      </c>
      <c r="G146" s="243">
        <v>0</v>
      </c>
      <c r="H146" s="243">
        <v>0</v>
      </c>
      <c r="I146" s="243">
        <f t="shared" si="17"/>
        <v>0</v>
      </c>
      <c r="J146" s="243">
        <v>0</v>
      </c>
      <c r="K146" s="243">
        <f t="shared" si="12"/>
        <v>0</v>
      </c>
      <c r="L146" s="244" t="e">
        <f t="shared" si="13"/>
        <v>#DIV/0!</v>
      </c>
      <c r="M146" s="245" t="e">
        <f t="shared" si="14"/>
        <v>#DIV/0!</v>
      </c>
      <c r="N146" s="245" t="e">
        <f t="shared" si="15"/>
        <v>#DIV/0!</v>
      </c>
      <c r="O146" s="245" t="e">
        <f t="shared" si="16"/>
        <v>#DIV/0!</v>
      </c>
      <c r="P146" s="5"/>
    </row>
    <row r="147" spans="1:16" x14ac:dyDescent="0.25">
      <c r="A147" s="23">
        <v>91</v>
      </c>
      <c r="B147" s="315" t="s">
        <v>726</v>
      </c>
      <c r="C147" s="316"/>
      <c r="D147" s="243">
        <v>0</v>
      </c>
      <c r="E147" s="243">
        <v>0</v>
      </c>
      <c r="F147" s="243">
        <v>0</v>
      </c>
      <c r="G147" s="243">
        <v>0</v>
      </c>
      <c r="H147" s="243">
        <v>0</v>
      </c>
      <c r="I147" s="243">
        <f t="shared" si="17"/>
        <v>0</v>
      </c>
      <c r="J147" s="243">
        <v>0</v>
      </c>
      <c r="K147" s="243">
        <f t="shared" si="12"/>
        <v>0</v>
      </c>
      <c r="L147" s="244" t="e">
        <f t="shared" si="13"/>
        <v>#DIV/0!</v>
      </c>
      <c r="M147" s="245" t="e">
        <f t="shared" si="14"/>
        <v>#DIV/0!</v>
      </c>
      <c r="N147" s="245" t="e">
        <f t="shared" si="15"/>
        <v>#DIV/0!</v>
      </c>
      <c r="O147" s="245" t="e">
        <f t="shared" si="16"/>
        <v>#DIV/0!</v>
      </c>
      <c r="P147" s="5" t="s">
        <v>41</v>
      </c>
    </row>
    <row r="148" spans="1:16" x14ac:dyDescent="0.25">
      <c r="A148" s="23">
        <v>92</v>
      </c>
      <c r="B148" s="315" t="s">
        <v>727</v>
      </c>
      <c r="C148" s="316"/>
      <c r="D148" s="243">
        <v>0</v>
      </c>
      <c r="E148" s="243">
        <v>0</v>
      </c>
      <c r="F148" s="243">
        <v>0</v>
      </c>
      <c r="G148" s="243">
        <v>0</v>
      </c>
      <c r="H148" s="243">
        <v>0</v>
      </c>
      <c r="I148" s="243">
        <f t="shared" si="17"/>
        <v>0</v>
      </c>
      <c r="J148" s="243">
        <v>0</v>
      </c>
      <c r="K148" s="243">
        <f t="shared" si="12"/>
        <v>0</v>
      </c>
      <c r="L148" s="244" t="e">
        <f t="shared" si="13"/>
        <v>#DIV/0!</v>
      </c>
      <c r="M148" s="245" t="e">
        <f t="shared" si="14"/>
        <v>#DIV/0!</v>
      </c>
      <c r="N148" s="245" t="e">
        <f t="shared" si="15"/>
        <v>#DIV/0!</v>
      </c>
      <c r="O148" s="245" t="e">
        <f t="shared" si="16"/>
        <v>#DIV/0!</v>
      </c>
      <c r="P148" s="5" t="s">
        <v>41</v>
      </c>
    </row>
    <row r="149" spans="1:16" x14ac:dyDescent="0.25">
      <c r="A149" s="23">
        <v>93</v>
      </c>
      <c r="B149" s="315" t="s">
        <v>728</v>
      </c>
      <c r="C149" s="316"/>
      <c r="D149" s="243">
        <v>0</v>
      </c>
      <c r="E149" s="243">
        <v>0</v>
      </c>
      <c r="F149" s="243">
        <v>0</v>
      </c>
      <c r="G149" s="243">
        <v>0</v>
      </c>
      <c r="H149" s="243">
        <v>0</v>
      </c>
      <c r="I149" s="243">
        <f t="shared" si="17"/>
        <v>0</v>
      </c>
      <c r="J149" s="243">
        <v>0</v>
      </c>
      <c r="K149" s="243">
        <f t="shared" si="12"/>
        <v>0</v>
      </c>
      <c r="L149" s="244" t="e">
        <f t="shared" si="13"/>
        <v>#DIV/0!</v>
      </c>
      <c r="M149" s="245" t="e">
        <f t="shared" si="14"/>
        <v>#DIV/0!</v>
      </c>
      <c r="N149" s="245" t="e">
        <f t="shared" si="15"/>
        <v>#DIV/0!</v>
      </c>
      <c r="O149" s="245" t="e">
        <f t="shared" si="16"/>
        <v>#DIV/0!</v>
      </c>
      <c r="P149" s="5" t="s">
        <v>41</v>
      </c>
    </row>
    <row r="150" spans="1:16" x14ac:dyDescent="0.25">
      <c r="A150" s="23">
        <v>94</v>
      </c>
      <c r="B150" s="315" t="s">
        <v>729</v>
      </c>
      <c r="C150" s="316"/>
      <c r="D150" s="243">
        <v>0</v>
      </c>
      <c r="E150" s="243">
        <v>0</v>
      </c>
      <c r="F150" s="243">
        <v>0</v>
      </c>
      <c r="G150" s="243">
        <v>0</v>
      </c>
      <c r="H150" s="243">
        <v>0</v>
      </c>
      <c r="I150" s="243">
        <f t="shared" si="17"/>
        <v>0</v>
      </c>
      <c r="J150" s="243">
        <v>0</v>
      </c>
      <c r="K150" s="243">
        <f t="shared" si="12"/>
        <v>0</v>
      </c>
      <c r="L150" s="244" t="e">
        <f t="shared" si="13"/>
        <v>#DIV/0!</v>
      </c>
      <c r="M150" s="245" t="e">
        <f t="shared" si="14"/>
        <v>#DIV/0!</v>
      </c>
      <c r="N150" s="245" t="e">
        <f t="shared" si="15"/>
        <v>#DIV/0!</v>
      </c>
      <c r="O150" s="245" t="e">
        <f t="shared" si="16"/>
        <v>#DIV/0!</v>
      </c>
      <c r="P150" s="5" t="s">
        <v>41</v>
      </c>
    </row>
    <row r="151" spans="1:16" x14ac:dyDescent="0.25">
      <c r="A151" s="23">
        <v>95</v>
      </c>
      <c r="B151" s="315" t="s">
        <v>730</v>
      </c>
      <c r="C151" s="316"/>
      <c r="D151" s="243">
        <v>0</v>
      </c>
      <c r="E151" s="243">
        <v>0</v>
      </c>
      <c r="F151" s="243">
        <v>0</v>
      </c>
      <c r="G151" s="243">
        <v>0</v>
      </c>
      <c r="H151" s="243">
        <v>0</v>
      </c>
      <c r="I151" s="243">
        <f t="shared" si="17"/>
        <v>0</v>
      </c>
      <c r="J151" s="243">
        <v>0</v>
      </c>
      <c r="K151" s="243">
        <f t="shared" si="12"/>
        <v>0</v>
      </c>
      <c r="L151" s="244" t="e">
        <f t="shared" si="13"/>
        <v>#DIV/0!</v>
      </c>
      <c r="M151" s="245" t="e">
        <f t="shared" si="14"/>
        <v>#DIV/0!</v>
      </c>
      <c r="N151" s="245" t="e">
        <f t="shared" si="15"/>
        <v>#DIV/0!</v>
      </c>
      <c r="O151" s="245" t="e">
        <f t="shared" si="16"/>
        <v>#DIV/0!</v>
      </c>
      <c r="P151" s="5" t="s">
        <v>41</v>
      </c>
    </row>
    <row r="152" spans="1:16" x14ac:dyDescent="0.25">
      <c r="A152" s="23">
        <v>96</v>
      </c>
      <c r="B152" s="315" t="s">
        <v>731</v>
      </c>
      <c r="C152" s="316"/>
      <c r="D152" s="243">
        <v>60</v>
      </c>
      <c r="E152" s="243">
        <v>139</v>
      </c>
      <c r="F152" s="243">
        <v>0</v>
      </c>
      <c r="G152" s="243">
        <v>0</v>
      </c>
      <c r="H152" s="243">
        <v>0</v>
      </c>
      <c r="I152" s="243">
        <f t="shared" si="17"/>
        <v>0</v>
      </c>
      <c r="J152" s="243">
        <v>0</v>
      </c>
      <c r="K152" s="243">
        <f t="shared" si="12"/>
        <v>139</v>
      </c>
      <c r="L152" s="244">
        <f t="shared" si="13"/>
        <v>0</v>
      </c>
      <c r="M152" s="245">
        <f t="shared" si="14"/>
        <v>0</v>
      </c>
      <c r="N152" s="245">
        <f t="shared" si="15"/>
        <v>1</v>
      </c>
      <c r="O152" s="245">
        <f t="shared" si="16"/>
        <v>1</v>
      </c>
      <c r="P152" s="5" t="s">
        <v>41</v>
      </c>
    </row>
    <row r="153" spans="1:16" x14ac:dyDescent="0.25">
      <c r="A153" s="23">
        <v>97</v>
      </c>
      <c r="B153" s="315" t="s">
        <v>732</v>
      </c>
      <c r="C153" s="316"/>
      <c r="D153" s="243">
        <v>0</v>
      </c>
      <c r="E153" s="243">
        <v>0</v>
      </c>
      <c r="F153" s="243">
        <v>0</v>
      </c>
      <c r="G153" s="243">
        <v>0</v>
      </c>
      <c r="H153" s="243">
        <v>0</v>
      </c>
      <c r="I153" s="243">
        <f t="shared" si="17"/>
        <v>0</v>
      </c>
      <c r="J153" s="243">
        <v>0</v>
      </c>
      <c r="K153" s="243">
        <f t="shared" si="12"/>
        <v>0</v>
      </c>
      <c r="L153" s="244" t="e">
        <f t="shared" si="13"/>
        <v>#DIV/0!</v>
      </c>
      <c r="M153" s="245" t="e">
        <f t="shared" si="14"/>
        <v>#DIV/0!</v>
      </c>
      <c r="N153" s="245" t="e">
        <f t="shared" si="15"/>
        <v>#DIV/0!</v>
      </c>
      <c r="O153" s="245" t="e">
        <f t="shared" si="16"/>
        <v>#DIV/0!</v>
      </c>
      <c r="P153" s="5" t="s">
        <v>41</v>
      </c>
    </row>
    <row r="154" spans="1:16" ht="75" x14ac:dyDescent="0.25">
      <c r="A154" s="23">
        <v>98</v>
      </c>
      <c r="B154" s="315" t="s">
        <v>733</v>
      </c>
      <c r="C154" s="316"/>
      <c r="D154" s="243"/>
      <c r="E154" s="243">
        <v>1789</v>
      </c>
      <c r="F154" s="243">
        <v>2</v>
      </c>
      <c r="G154" s="243">
        <v>0</v>
      </c>
      <c r="H154" s="243">
        <v>0</v>
      </c>
      <c r="I154" s="243">
        <f t="shared" si="17"/>
        <v>2</v>
      </c>
      <c r="J154" s="243">
        <v>0</v>
      </c>
      <c r="K154" s="243">
        <f t="shared" si="12"/>
        <v>1787</v>
      </c>
      <c r="L154" s="244">
        <f t="shared" si="13"/>
        <v>1.1179429849077697E-3</v>
      </c>
      <c r="M154" s="245">
        <f t="shared" si="14"/>
        <v>0</v>
      </c>
      <c r="N154" s="245">
        <f t="shared" si="15"/>
        <v>0.99888205701509225</v>
      </c>
      <c r="O154" s="245">
        <f t="shared" si="16"/>
        <v>0.99888205701509225</v>
      </c>
      <c r="P154" s="5" t="s">
        <v>734</v>
      </c>
    </row>
    <row r="155" spans="1:16" x14ac:dyDescent="0.25">
      <c r="A155" s="23">
        <v>99</v>
      </c>
      <c r="B155" s="315" t="s">
        <v>735</v>
      </c>
      <c r="C155" s="316"/>
      <c r="D155" s="243"/>
      <c r="E155" s="243">
        <v>64</v>
      </c>
      <c r="F155" s="243"/>
      <c r="G155" s="243">
        <v>0</v>
      </c>
      <c r="H155" s="243">
        <v>0</v>
      </c>
      <c r="I155" s="243">
        <f t="shared" si="17"/>
        <v>0</v>
      </c>
      <c r="J155" s="243">
        <v>0</v>
      </c>
      <c r="K155" s="243">
        <f t="shared" si="12"/>
        <v>64</v>
      </c>
      <c r="L155" s="244">
        <f t="shared" si="13"/>
        <v>0</v>
      </c>
      <c r="M155" s="245">
        <f t="shared" si="14"/>
        <v>0</v>
      </c>
      <c r="N155" s="245">
        <f t="shared" si="15"/>
        <v>1</v>
      </c>
      <c r="O155" s="245">
        <f t="shared" si="16"/>
        <v>1</v>
      </c>
      <c r="P155" s="5"/>
    </row>
    <row r="156" spans="1:16" ht="45" x14ac:dyDescent="0.25">
      <c r="A156" s="23">
        <v>100</v>
      </c>
      <c r="B156" s="315" t="s">
        <v>736</v>
      </c>
      <c r="C156" s="316"/>
      <c r="D156" s="243"/>
      <c r="E156" s="243">
        <v>763</v>
      </c>
      <c r="F156" s="243">
        <v>2</v>
      </c>
      <c r="G156" s="243">
        <v>0</v>
      </c>
      <c r="H156" s="243">
        <v>0</v>
      </c>
      <c r="I156" s="243">
        <f t="shared" si="17"/>
        <v>2</v>
      </c>
      <c r="J156" s="243">
        <v>0</v>
      </c>
      <c r="K156" s="243">
        <f t="shared" si="12"/>
        <v>761</v>
      </c>
      <c r="L156" s="244">
        <f t="shared" si="13"/>
        <v>2.6212319790301442E-3</v>
      </c>
      <c r="M156" s="245">
        <f t="shared" si="14"/>
        <v>0</v>
      </c>
      <c r="N156" s="245">
        <f t="shared" si="15"/>
        <v>0.99737876802096981</v>
      </c>
      <c r="O156" s="245">
        <f t="shared" si="16"/>
        <v>0.99737876802096981</v>
      </c>
      <c r="P156" s="5" t="s">
        <v>737</v>
      </c>
    </row>
    <row r="157" spans="1:16" x14ac:dyDescent="0.25">
      <c r="A157" s="23">
        <v>101</v>
      </c>
      <c r="B157" s="315" t="s">
        <v>738</v>
      </c>
      <c r="C157" s="316"/>
      <c r="D157" s="243">
        <v>0</v>
      </c>
      <c r="E157" s="243">
        <v>0</v>
      </c>
      <c r="F157" s="243">
        <v>0</v>
      </c>
      <c r="G157" s="243">
        <v>0</v>
      </c>
      <c r="H157" s="243">
        <v>0</v>
      </c>
      <c r="I157" s="243">
        <f t="shared" si="17"/>
        <v>0</v>
      </c>
      <c r="J157" s="243">
        <v>0</v>
      </c>
      <c r="K157" s="243">
        <f t="shared" si="12"/>
        <v>0</v>
      </c>
      <c r="L157" s="244" t="e">
        <f t="shared" si="13"/>
        <v>#DIV/0!</v>
      </c>
      <c r="M157" s="245" t="e">
        <f t="shared" si="14"/>
        <v>#DIV/0!</v>
      </c>
      <c r="N157" s="245" t="e">
        <f t="shared" si="15"/>
        <v>#DIV/0!</v>
      </c>
      <c r="O157" s="245" t="e">
        <f t="shared" si="16"/>
        <v>#DIV/0!</v>
      </c>
      <c r="P157" s="5" t="s">
        <v>41</v>
      </c>
    </row>
    <row r="158" spans="1:16" x14ac:dyDescent="0.25">
      <c r="A158" s="23">
        <v>102</v>
      </c>
      <c r="B158" s="315" t="s">
        <v>739</v>
      </c>
      <c r="C158" s="316"/>
      <c r="D158" s="243">
        <v>0</v>
      </c>
      <c r="E158" s="243">
        <v>0</v>
      </c>
      <c r="F158" s="243">
        <v>0</v>
      </c>
      <c r="G158" s="243">
        <v>0</v>
      </c>
      <c r="H158" s="243">
        <v>0</v>
      </c>
      <c r="I158" s="243">
        <f t="shared" si="17"/>
        <v>0</v>
      </c>
      <c r="J158" s="243">
        <v>0</v>
      </c>
      <c r="K158" s="243">
        <f t="shared" si="12"/>
        <v>0</v>
      </c>
      <c r="L158" s="244" t="e">
        <f t="shared" si="13"/>
        <v>#DIV/0!</v>
      </c>
      <c r="M158" s="245" t="e">
        <f t="shared" si="14"/>
        <v>#DIV/0!</v>
      </c>
      <c r="N158" s="245" t="e">
        <f t="shared" si="15"/>
        <v>#DIV/0!</v>
      </c>
      <c r="O158" s="245" t="e">
        <f t="shared" si="16"/>
        <v>#DIV/0!</v>
      </c>
      <c r="P158" s="5" t="s">
        <v>41</v>
      </c>
    </row>
    <row r="159" spans="1:16" x14ac:dyDescent="0.25">
      <c r="A159" s="23">
        <v>103</v>
      </c>
      <c r="B159" s="315" t="s">
        <v>740</v>
      </c>
      <c r="C159" s="316"/>
      <c r="D159" s="243">
        <v>0</v>
      </c>
      <c r="E159" s="243">
        <v>0</v>
      </c>
      <c r="F159" s="243">
        <v>0</v>
      </c>
      <c r="G159" s="243">
        <v>0</v>
      </c>
      <c r="H159" s="243">
        <v>0</v>
      </c>
      <c r="I159" s="243">
        <f t="shared" si="17"/>
        <v>0</v>
      </c>
      <c r="J159" s="243">
        <v>0</v>
      </c>
      <c r="K159" s="243">
        <f t="shared" si="12"/>
        <v>0</v>
      </c>
      <c r="L159" s="244" t="e">
        <f t="shared" si="13"/>
        <v>#DIV/0!</v>
      </c>
      <c r="M159" s="245" t="e">
        <f t="shared" si="14"/>
        <v>#DIV/0!</v>
      </c>
      <c r="N159" s="245" t="e">
        <f t="shared" si="15"/>
        <v>#DIV/0!</v>
      </c>
      <c r="O159" s="245" t="e">
        <f t="shared" si="16"/>
        <v>#DIV/0!</v>
      </c>
      <c r="P159" s="5" t="s">
        <v>41</v>
      </c>
    </row>
    <row r="160" spans="1:16" x14ac:dyDescent="0.25">
      <c r="A160" s="23">
        <v>104</v>
      </c>
      <c r="B160" s="315" t="s">
        <v>741</v>
      </c>
      <c r="C160" s="316"/>
      <c r="D160" s="243">
        <v>408</v>
      </c>
      <c r="E160" s="243">
        <v>569</v>
      </c>
      <c r="F160" s="243">
        <v>0</v>
      </c>
      <c r="G160" s="243">
        <v>0</v>
      </c>
      <c r="H160" s="243">
        <v>0</v>
      </c>
      <c r="I160" s="243">
        <f t="shared" si="17"/>
        <v>0</v>
      </c>
      <c r="J160" s="243">
        <v>0</v>
      </c>
      <c r="K160" s="243">
        <f t="shared" si="12"/>
        <v>569</v>
      </c>
      <c r="L160" s="244">
        <f t="shared" si="13"/>
        <v>0</v>
      </c>
      <c r="M160" s="245">
        <f t="shared" si="14"/>
        <v>0</v>
      </c>
      <c r="N160" s="245">
        <f t="shared" si="15"/>
        <v>1</v>
      </c>
      <c r="O160" s="245">
        <f t="shared" si="16"/>
        <v>1</v>
      </c>
      <c r="P160" s="5" t="s">
        <v>41</v>
      </c>
    </row>
    <row r="161" spans="1:16" x14ac:dyDescent="0.25">
      <c r="A161" s="23">
        <v>105</v>
      </c>
      <c r="B161" s="315" t="s">
        <v>742</v>
      </c>
      <c r="C161" s="316"/>
      <c r="D161" s="243">
        <v>0</v>
      </c>
      <c r="E161" s="243">
        <v>0</v>
      </c>
      <c r="F161" s="243">
        <v>0</v>
      </c>
      <c r="G161" s="243">
        <v>0</v>
      </c>
      <c r="H161" s="243">
        <v>0</v>
      </c>
      <c r="I161" s="243">
        <f t="shared" si="17"/>
        <v>0</v>
      </c>
      <c r="J161" s="243">
        <v>0</v>
      </c>
      <c r="K161" s="243">
        <f t="shared" si="12"/>
        <v>0</v>
      </c>
      <c r="L161" s="244" t="e">
        <f t="shared" si="13"/>
        <v>#DIV/0!</v>
      </c>
      <c r="M161" s="245" t="e">
        <f t="shared" si="14"/>
        <v>#DIV/0!</v>
      </c>
      <c r="N161" s="245" t="e">
        <f t="shared" si="15"/>
        <v>#DIV/0!</v>
      </c>
      <c r="O161" s="245" t="e">
        <f t="shared" si="16"/>
        <v>#DIV/0!</v>
      </c>
      <c r="P161" s="5" t="s">
        <v>41</v>
      </c>
    </row>
    <row r="162" spans="1:16" x14ac:dyDescent="0.25">
      <c r="A162" s="23">
        <v>106</v>
      </c>
      <c r="B162" s="315" t="s">
        <v>743</v>
      </c>
      <c r="C162" s="316"/>
      <c r="D162" s="243">
        <v>0</v>
      </c>
      <c r="E162" s="243">
        <v>0</v>
      </c>
      <c r="F162" s="243">
        <v>0</v>
      </c>
      <c r="G162" s="243">
        <v>0</v>
      </c>
      <c r="H162" s="243">
        <v>0</v>
      </c>
      <c r="I162" s="243">
        <f t="shared" si="17"/>
        <v>0</v>
      </c>
      <c r="J162" s="243">
        <v>0</v>
      </c>
      <c r="K162" s="243">
        <f t="shared" si="12"/>
        <v>0</v>
      </c>
      <c r="L162" s="244" t="e">
        <f t="shared" si="13"/>
        <v>#DIV/0!</v>
      </c>
      <c r="M162" s="245" t="e">
        <f t="shared" si="14"/>
        <v>#DIV/0!</v>
      </c>
      <c r="N162" s="245" t="e">
        <f t="shared" si="15"/>
        <v>#DIV/0!</v>
      </c>
      <c r="O162" s="245" t="e">
        <f t="shared" si="16"/>
        <v>#DIV/0!</v>
      </c>
      <c r="P162" s="5" t="s">
        <v>41</v>
      </c>
    </row>
    <row r="163" spans="1:16" x14ac:dyDescent="0.25">
      <c r="A163" s="23">
        <v>107</v>
      </c>
      <c r="B163" s="315" t="s">
        <v>744</v>
      </c>
      <c r="C163" s="316"/>
      <c r="D163" s="243">
        <v>0</v>
      </c>
      <c r="E163" s="243">
        <v>0</v>
      </c>
      <c r="F163" s="243">
        <v>0</v>
      </c>
      <c r="G163" s="243">
        <v>0</v>
      </c>
      <c r="H163" s="243">
        <v>0</v>
      </c>
      <c r="I163" s="243">
        <f t="shared" si="17"/>
        <v>0</v>
      </c>
      <c r="J163" s="243">
        <v>0</v>
      </c>
      <c r="K163" s="243">
        <f t="shared" si="12"/>
        <v>0</v>
      </c>
      <c r="L163" s="244" t="e">
        <f t="shared" si="13"/>
        <v>#DIV/0!</v>
      </c>
      <c r="M163" s="245" t="e">
        <f t="shared" si="14"/>
        <v>#DIV/0!</v>
      </c>
      <c r="N163" s="245" t="e">
        <f t="shared" si="15"/>
        <v>#DIV/0!</v>
      </c>
      <c r="O163" s="245" t="e">
        <f t="shared" si="16"/>
        <v>#DIV/0!</v>
      </c>
      <c r="P163" s="5" t="s">
        <v>41</v>
      </c>
    </row>
    <row r="164" spans="1:16" x14ac:dyDescent="0.25">
      <c r="A164" s="23">
        <v>108</v>
      </c>
      <c r="B164" s="315" t="s">
        <v>745</v>
      </c>
      <c r="C164" s="316"/>
      <c r="D164" s="243">
        <v>0</v>
      </c>
      <c r="E164" s="243">
        <v>0</v>
      </c>
      <c r="F164" s="243">
        <v>0</v>
      </c>
      <c r="G164" s="243">
        <v>0</v>
      </c>
      <c r="H164" s="243">
        <v>0</v>
      </c>
      <c r="I164" s="243">
        <f t="shared" si="17"/>
        <v>0</v>
      </c>
      <c r="J164" s="243">
        <v>0</v>
      </c>
      <c r="K164" s="243">
        <f t="shared" si="12"/>
        <v>0</v>
      </c>
      <c r="L164" s="244" t="e">
        <f t="shared" si="13"/>
        <v>#DIV/0!</v>
      </c>
      <c r="M164" s="245" t="e">
        <f t="shared" si="14"/>
        <v>#DIV/0!</v>
      </c>
      <c r="N164" s="245" t="e">
        <f t="shared" si="15"/>
        <v>#DIV/0!</v>
      </c>
      <c r="O164" s="245" t="e">
        <f t="shared" si="16"/>
        <v>#DIV/0!</v>
      </c>
      <c r="P164" s="5" t="s">
        <v>41</v>
      </c>
    </row>
    <row r="165" spans="1:16" x14ac:dyDescent="0.25">
      <c r="A165" s="23">
        <v>109</v>
      </c>
      <c r="B165" s="315" t="s">
        <v>746</v>
      </c>
      <c r="C165" s="316"/>
      <c r="D165" s="243">
        <v>0</v>
      </c>
      <c r="E165" s="243">
        <v>0</v>
      </c>
      <c r="F165" s="243">
        <v>0</v>
      </c>
      <c r="G165" s="243">
        <v>0</v>
      </c>
      <c r="H165" s="243">
        <v>0</v>
      </c>
      <c r="I165" s="243">
        <f t="shared" si="17"/>
        <v>0</v>
      </c>
      <c r="J165" s="243">
        <v>0</v>
      </c>
      <c r="K165" s="243">
        <f t="shared" si="12"/>
        <v>0</v>
      </c>
      <c r="L165" s="244" t="e">
        <f t="shared" si="13"/>
        <v>#DIV/0!</v>
      </c>
      <c r="M165" s="245" t="e">
        <f t="shared" si="14"/>
        <v>#DIV/0!</v>
      </c>
      <c r="N165" s="245" t="e">
        <f t="shared" si="15"/>
        <v>#DIV/0!</v>
      </c>
      <c r="O165" s="245" t="e">
        <f t="shared" si="16"/>
        <v>#DIV/0!</v>
      </c>
      <c r="P165" s="5" t="s">
        <v>41</v>
      </c>
    </row>
    <row r="166" spans="1:16" x14ac:dyDescent="0.25">
      <c r="A166" s="23">
        <v>110</v>
      </c>
      <c r="B166" s="315" t="s">
        <v>747</v>
      </c>
      <c r="C166" s="316"/>
      <c r="D166" s="243">
        <v>0</v>
      </c>
      <c r="E166" s="243">
        <v>0</v>
      </c>
      <c r="F166" s="243">
        <v>0</v>
      </c>
      <c r="G166" s="243">
        <v>0</v>
      </c>
      <c r="H166" s="243">
        <v>0</v>
      </c>
      <c r="I166" s="243">
        <f t="shared" si="17"/>
        <v>0</v>
      </c>
      <c r="J166" s="243">
        <v>0</v>
      </c>
      <c r="K166" s="243">
        <f t="shared" si="12"/>
        <v>0</v>
      </c>
      <c r="L166" s="244" t="e">
        <f t="shared" si="13"/>
        <v>#DIV/0!</v>
      </c>
      <c r="M166" s="245" t="e">
        <f t="shared" si="14"/>
        <v>#DIV/0!</v>
      </c>
      <c r="N166" s="245" t="e">
        <f t="shared" si="15"/>
        <v>#DIV/0!</v>
      </c>
      <c r="O166" s="245" t="e">
        <f t="shared" si="16"/>
        <v>#DIV/0!</v>
      </c>
      <c r="P166" s="5" t="s">
        <v>41</v>
      </c>
    </row>
    <row r="167" spans="1:16" ht="30" x14ac:dyDescent="0.25">
      <c r="A167" s="23">
        <v>111</v>
      </c>
      <c r="B167" s="315" t="s">
        <v>748</v>
      </c>
      <c r="C167" s="316"/>
      <c r="D167" s="243">
        <v>3</v>
      </c>
      <c r="E167" s="243">
        <v>1</v>
      </c>
      <c r="F167" s="243">
        <v>1</v>
      </c>
      <c r="G167" s="243">
        <v>0</v>
      </c>
      <c r="H167" s="243">
        <v>0</v>
      </c>
      <c r="I167" s="243">
        <f t="shared" si="17"/>
        <v>1</v>
      </c>
      <c r="J167" s="243">
        <v>0</v>
      </c>
      <c r="K167" s="243">
        <f t="shared" si="12"/>
        <v>0</v>
      </c>
      <c r="L167" s="244">
        <f t="shared" si="13"/>
        <v>1</v>
      </c>
      <c r="M167" s="245">
        <f t="shared" si="14"/>
        <v>0</v>
      </c>
      <c r="N167" s="245">
        <f t="shared" si="15"/>
        <v>0</v>
      </c>
      <c r="O167" s="245">
        <f t="shared" si="16"/>
        <v>0</v>
      </c>
      <c r="P167" s="5" t="s">
        <v>749</v>
      </c>
    </row>
    <row r="168" spans="1:16" ht="90" x14ac:dyDescent="0.25">
      <c r="A168" s="23">
        <v>112</v>
      </c>
      <c r="B168" s="315" t="s">
        <v>750</v>
      </c>
      <c r="C168" s="316"/>
      <c r="D168" s="243">
        <v>0</v>
      </c>
      <c r="E168" s="243">
        <v>23</v>
      </c>
      <c r="F168" s="243">
        <v>2</v>
      </c>
      <c r="G168" s="243">
        <v>0</v>
      </c>
      <c r="H168" s="243">
        <v>0</v>
      </c>
      <c r="I168" s="243">
        <f t="shared" si="17"/>
        <v>2</v>
      </c>
      <c r="J168" s="243">
        <v>0</v>
      </c>
      <c r="K168" s="243">
        <f t="shared" si="12"/>
        <v>21</v>
      </c>
      <c r="L168" s="244">
        <f t="shared" si="13"/>
        <v>8.6956521739130432E-2</v>
      </c>
      <c r="M168" s="245">
        <f t="shared" si="14"/>
        <v>0</v>
      </c>
      <c r="N168" s="245">
        <f t="shared" si="15"/>
        <v>0.91304347826086951</v>
      </c>
      <c r="O168" s="245">
        <f t="shared" si="16"/>
        <v>0.91304347826086951</v>
      </c>
      <c r="P168" s="5" t="s">
        <v>751</v>
      </c>
    </row>
    <row r="169" spans="1:16" x14ac:dyDescent="0.25">
      <c r="A169" s="269">
        <v>113</v>
      </c>
      <c r="B169" s="315" t="s">
        <v>752</v>
      </c>
      <c r="C169" s="316"/>
      <c r="D169" s="243">
        <v>0</v>
      </c>
      <c r="E169" s="243">
        <v>0</v>
      </c>
      <c r="F169" s="243">
        <v>0</v>
      </c>
      <c r="G169" s="243">
        <v>0</v>
      </c>
      <c r="H169" s="243">
        <v>0</v>
      </c>
      <c r="I169" s="243">
        <f t="shared" si="17"/>
        <v>0</v>
      </c>
      <c r="J169" s="243">
        <v>0</v>
      </c>
      <c r="K169" s="243">
        <f t="shared" si="12"/>
        <v>0</v>
      </c>
      <c r="L169" s="244" t="e">
        <f t="shared" si="13"/>
        <v>#DIV/0!</v>
      </c>
      <c r="M169" s="245" t="e">
        <f t="shared" si="14"/>
        <v>#DIV/0!</v>
      </c>
      <c r="N169" s="245" t="e">
        <f t="shared" si="15"/>
        <v>#DIV/0!</v>
      </c>
      <c r="O169" s="245" t="e">
        <f t="shared" si="16"/>
        <v>#DIV/0!</v>
      </c>
      <c r="P169" s="5" t="s">
        <v>41</v>
      </c>
    </row>
    <row r="170" spans="1:16" x14ac:dyDescent="0.25">
      <c r="A170" s="269">
        <v>114</v>
      </c>
      <c r="B170" s="315" t="s">
        <v>753</v>
      </c>
      <c r="C170" s="316"/>
      <c r="D170" s="243">
        <v>0</v>
      </c>
      <c r="E170" s="243">
        <v>0</v>
      </c>
      <c r="F170" s="243">
        <v>0</v>
      </c>
      <c r="G170" s="243">
        <v>0</v>
      </c>
      <c r="H170" s="243">
        <v>0</v>
      </c>
      <c r="I170" s="243">
        <f t="shared" si="17"/>
        <v>0</v>
      </c>
      <c r="J170" s="243">
        <v>0</v>
      </c>
      <c r="K170" s="243">
        <f t="shared" si="12"/>
        <v>0</v>
      </c>
      <c r="L170" s="244" t="e">
        <f t="shared" si="13"/>
        <v>#DIV/0!</v>
      </c>
      <c r="M170" s="245" t="e">
        <f t="shared" si="14"/>
        <v>#DIV/0!</v>
      </c>
      <c r="N170" s="245" t="e">
        <f t="shared" si="15"/>
        <v>#DIV/0!</v>
      </c>
      <c r="O170" s="245" t="e">
        <f t="shared" si="16"/>
        <v>#DIV/0!</v>
      </c>
      <c r="P170" s="5" t="s">
        <v>41</v>
      </c>
    </row>
  </sheetData>
  <mergeCells count="115">
    <mergeCell ref="A2:P2"/>
    <mergeCell ref="A6:A11"/>
    <mergeCell ref="A12:A15"/>
    <mergeCell ref="A16:A21"/>
    <mergeCell ref="A22:A26"/>
    <mergeCell ref="A27:A29"/>
    <mergeCell ref="A57:A58"/>
    <mergeCell ref="A59:A61"/>
    <mergeCell ref="A62:A64"/>
    <mergeCell ref="A65:A67"/>
    <mergeCell ref="B69:C69"/>
    <mergeCell ref="B70:C70"/>
    <mergeCell ref="A30:A35"/>
    <mergeCell ref="A36:A40"/>
    <mergeCell ref="A41:A43"/>
    <mergeCell ref="A44:A48"/>
    <mergeCell ref="A49:A53"/>
    <mergeCell ref="A54:A56"/>
    <mergeCell ref="B77:C77"/>
    <mergeCell ref="B78:C78"/>
    <mergeCell ref="B79:C79"/>
    <mergeCell ref="B80:C80"/>
    <mergeCell ref="B82:C82"/>
    <mergeCell ref="B83:C83"/>
    <mergeCell ref="B71:C71"/>
    <mergeCell ref="B72:C72"/>
    <mergeCell ref="B73:C73"/>
    <mergeCell ref="B74:C74"/>
    <mergeCell ref="B75:C75"/>
    <mergeCell ref="B76:C76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9:C89"/>
    <mergeCell ref="B90:C90"/>
    <mergeCell ref="B103:C103"/>
    <mergeCell ref="B104:C104"/>
    <mergeCell ref="B105:C105"/>
    <mergeCell ref="B106:C106"/>
    <mergeCell ref="B107:C107"/>
    <mergeCell ref="B109:C109"/>
    <mergeCell ref="B97:C97"/>
    <mergeCell ref="B98:C98"/>
    <mergeCell ref="B99:C99"/>
    <mergeCell ref="B100:C100"/>
    <mergeCell ref="B101:C101"/>
    <mergeCell ref="B102:C102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70:C170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</mergeCells>
  <dataValidations count="1">
    <dataValidation type="whole" allowBlank="1" showInputMessage="1" showErrorMessage="1" sqref="D7:K170" xr:uid="{CC92B26A-0E54-4215-9F91-552807E30F43}">
      <formula1>0</formula1>
      <formula2>50000</formula2>
    </dataValidation>
  </dataValidations>
  <pageMargins left="0.7" right="0.7" top="0.75" bottom="0.75" header="0.3" footer="0.3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>
      <pane ySplit="3" topLeftCell="A4" activePane="bottomLeft" state="frozen"/>
      <selection pane="bottomLeft" activeCell="H11" sqref="H11"/>
    </sheetView>
  </sheetViews>
  <sheetFormatPr defaultRowHeight="15" x14ac:dyDescent="0.25"/>
  <cols>
    <col min="1" max="1" width="6.42578125" customWidth="1"/>
    <col min="2" max="2" width="22.85546875" customWidth="1"/>
    <col min="3" max="3" width="10.5703125" customWidth="1"/>
    <col min="4" max="4" width="11.7109375" customWidth="1"/>
    <col min="9" max="9" width="11.140625" customWidth="1"/>
    <col min="12" max="12" width="17.140625" customWidth="1"/>
  </cols>
  <sheetData>
    <row r="1" spans="1:12" ht="29.25" customHeight="1" x14ac:dyDescent="0.25">
      <c r="A1" s="325" t="s">
        <v>128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</row>
    <row r="2" spans="1:12" ht="19.5" customHeight="1" x14ac:dyDescent="0.25">
      <c r="A2" s="326" t="s">
        <v>58</v>
      </c>
      <c r="B2" s="327" t="s">
        <v>129</v>
      </c>
      <c r="C2" s="326" t="s">
        <v>2</v>
      </c>
      <c r="D2" s="326"/>
      <c r="E2" s="326" t="s">
        <v>130</v>
      </c>
      <c r="F2" s="326"/>
      <c r="G2" s="326"/>
      <c r="H2" s="326"/>
      <c r="I2" s="326"/>
      <c r="J2" s="326" t="s">
        <v>130</v>
      </c>
      <c r="K2" s="328" t="s">
        <v>136</v>
      </c>
      <c r="L2" s="326" t="s">
        <v>134</v>
      </c>
    </row>
    <row r="3" spans="1:12" x14ac:dyDescent="0.25">
      <c r="A3" s="326"/>
      <c r="B3" s="327"/>
      <c r="C3" s="83" t="s">
        <v>131</v>
      </c>
      <c r="D3" s="83" t="s">
        <v>132</v>
      </c>
      <c r="E3" s="83" t="s">
        <v>12</v>
      </c>
      <c r="F3" s="83" t="s">
        <v>13</v>
      </c>
      <c r="G3" s="83" t="s">
        <v>133</v>
      </c>
      <c r="H3" s="83" t="s">
        <v>20</v>
      </c>
      <c r="I3" s="83" t="s">
        <v>127</v>
      </c>
      <c r="J3" s="326"/>
      <c r="K3" s="329"/>
      <c r="L3" s="326"/>
    </row>
    <row r="4" spans="1:12" ht="53.25" customHeight="1" x14ac:dyDescent="0.25">
      <c r="A4" s="85">
        <v>1</v>
      </c>
      <c r="B4" s="86" t="s">
        <v>528</v>
      </c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 ht="59.25" customHeight="1" x14ac:dyDescent="0.25">
      <c r="A5" s="85">
        <v>2</v>
      </c>
      <c r="B5" s="86" t="s">
        <v>529</v>
      </c>
      <c r="C5" s="84"/>
      <c r="D5" s="84"/>
      <c r="E5" s="84"/>
      <c r="F5" s="84" t="s">
        <v>135</v>
      </c>
      <c r="G5" s="84"/>
      <c r="H5" s="84"/>
      <c r="I5" s="84"/>
      <c r="J5" s="84"/>
      <c r="K5" s="84"/>
      <c r="L5" s="84"/>
    </row>
    <row r="6" spans="1:12" x14ac:dyDescent="0.25">
      <c r="A6" s="85">
        <v>3</v>
      </c>
      <c r="B6" s="86" t="s">
        <v>530</v>
      </c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>
        <v>4</v>
      </c>
      <c r="B7" s="86" t="s">
        <v>531</v>
      </c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 x14ac:dyDescent="0.25">
      <c r="A8" s="85">
        <v>5</v>
      </c>
      <c r="B8" s="86" t="s">
        <v>532</v>
      </c>
      <c r="C8" s="84"/>
      <c r="D8" s="84"/>
      <c r="E8" s="84"/>
      <c r="F8" s="84"/>
      <c r="G8" s="84"/>
      <c r="H8" s="84"/>
      <c r="I8" s="84"/>
      <c r="J8" s="84"/>
      <c r="K8" s="84"/>
      <c r="L8" s="84"/>
    </row>
    <row r="9" spans="1:12" ht="45" x14ac:dyDescent="0.25">
      <c r="A9" s="85">
        <v>6</v>
      </c>
      <c r="B9" s="86" t="s">
        <v>533</v>
      </c>
      <c r="C9" s="84"/>
      <c r="D9" s="85">
        <v>3</v>
      </c>
      <c r="E9" s="84"/>
      <c r="F9" s="84"/>
      <c r="G9" s="84"/>
      <c r="H9" s="84"/>
      <c r="I9" s="84"/>
      <c r="J9" s="85">
        <v>1</v>
      </c>
      <c r="K9" s="85">
        <v>2</v>
      </c>
      <c r="L9" s="87" t="s">
        <v>137</v>
      </c>
    </row>
    <row r="10" spans="1:12" ht="36.75" customHeight="1" x14ac:dyDescent="0.25">
      <c r="A10" s="85">
        <v>7</v>
      </c>
      <c r="B10" s="86" t="s">
        <v>534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</row>
  </sheetData>
  <mergeCells count="8">
    <mergeCell ref="A1:L1"/>
    <mergeCell ref="A2:A3"/>
    <mergeCell ref="B2:B3"/>
    <mergeCell ref="C2:D2"/>
    <mergeCell ref="E2:I2"/>
    <mergeCell ref="J2:J3"/>
    <mergeCell ref="K2:K3"/>
    <mergeCell ref="L2:L3"/>
  </mergeCells>
  <phoneticPr fontId="28" type="noConversion"/>
  <pageMargins left="1.1023622047244095" right="0.70866141732283472" top="1.1417322834645669" bottom="0.74803149606299213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 Vehicle</vt:lpstr>
      <vt:lpstr>B Vehicle</vt:lpstr>
      <vt:lpstr>C Vehicle</vt:lpstr>
      <vt:lpstr>ARMT</vt:lpstr>
      <vt:lpstr>SA</vt:lpstr>
      <vt:lpstr>INSTS</vt:lpstr>
      <vt:lpstr>CBRN</vt:lpstr>
      <vt:lpstr>'A Vehicle'!Print_Area</vt:lpstr>
      <vt:lpstr>ARMT!Print_Area</vt:lpstr>
      <vt:lpstr>'B Vehicle'!Print_Area</vt:lpstr>
      <vt:lpstr>'C Vehicle'!Print_Area</vt:lpstr>
      <vt:lpstr>SA!Print_Area</vt:lpstr>
      <vt:lpstr>'A Vehicle'!Print_Titles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clk4emebr_33c</dc:creator>
  <cp:lastModifiedBy>Suman Biswas</cp:lastModifiedBy>
  <cp:lastPrinted>2026-01-02T04:46:45Z</cp:lastPrinted>
  <dcterms:created xsi:type="dcterms:W3CDTF">2015-06-05T18:17:20Z</dcterms:created>
  <dcterms:modified xsi:type="dcterms:W3CDTF">2026-03-25T03:36:12Z</dcterms:modified>
</cp:coreProperties>
</file>