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A6BBFCFD-C61A-4EA9-918B-81AB57E7BE67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Appx A (A veh)  " sheetId="20" r:id="rId1"/>
    <sheet name="Appx A (B veh)" sheetId="12" r:id="rId2"/>
    <sheet name="Appx A (C veh)," sheetId="25" r:id="rId3"/>
    <sheet name="Appx B" sheetId="2" r:id="rId4"/>
    <sheet name="Appx C" sheetId="3" r:id="rId5"/>
    <sheet name="Appx D" sheetId="21" r:id="rId6"/>
    <sheet name="Appx E" sheetId="8" r:id="rId7"/>
    <sheet name="Appx F" sheetId="23" r:id="rId8"/>
    <sheet name="Appx G " sheetId="27" r:id="rId9"/>
    <sheet name="CBRN" sheetId="29" r:id="rId10"/>
  </sheets>
  <definedNames>
    <definedName name="_xlnm._FilterDatabase" localSheetId="1" hidden="1">'Appx A (B veh)'!$A$4:$J$137</definedName>
    <definedName name="_xlnm._FilterDatabase" localSheetId="2" hidden="1">'Appx A (C veh),'!$A$2:$M$234</definedName>
    <definedName name="_xlnm._FilterDatabase" localSheetId="3" hidden="1">'Appx B'!$A$6:$T$29</definedName>
    <definedName name="_xlnm._FilterDatabase" localSheetId="4" hidden="1">'Appx C'!$A$5:$Q$76</definedName>
    <definedName name="_xlnm._FilterDatabase" localSheetId="5" hidden="1">'Appx D'!$A$3:$R$226</definedName>
    <definedName name="_xlnm._FilterDatabase" localSheetId="6" hidden="1">'Appx E'!$A$5:$P$171</definedName>
    <definedName name="_xlnm._FilterDatabase" localSheetId="8" hidden="1">'Appx G '!$A$7:$J$123</definedName>
    <definedName name="_xlnm._FilterDatabase" localSheetId="9" hidden="1">CBRN!$A$3:$J$11</definedName>
    <definedName name="_xlnm.Print_Area" localSheetId="0">'Appx A (A veh)  '!$A$1:$V$46</definedName>
    <definedName name="_xlnm.Print_Area" localSheetId="1">'Appx A (B veh)'!$A$1:$J$138</definedName>
    <definedName name="_xlnm.Print_Area" localSheetId="2">'Appx A (C veh),'!$A$1:$J$242</definedName>
    <definedName name="_xlnm.Print_Area" localSheetId="3">'Appx B'!$A$1:$T$28</definedName>
    <definedName name="_xlnm.Print_Area" localSheetId="4">'Appx C'!$A$1:$Q$74</definedName>
    <definedName name="_xlnm.Print_Area" localSheetId="5">'Appx D'!$A$1:$R$226</definedName>
    <definedName name="_xlnm.Print_Area" localSheetId="6">'Appx E'!$A$1:$P$171</definedName>
    <definedName name="_xlnm.Print_Area" localSheetId="7">'Appx F'!$A$1:$T$39</definedName>
    <definedName name="_xlnm.Print_Area" localSheetId="8">'Appx G '!$A$1:$J$123</definedName>
    <definedName name="_xlnm.Print_Area" localSheetId="9">CBRN!$A$1:$L$11</definedName>
    <definedName name="_xlnm.Print_Titles" localSheetId="0">'Appx A (A veh)  '!$4:$5</definedName>
    <definedName name="_xlnm.Print_Titles" localSheetId="4">'Appx C'!$3:$4</definedName>
    <definedName name="_xlnm.Print_Titles" localSheetId="5">'Appx D'!$3:$4</definedName>
    <definedName name="_xlnm.Print_Titles" localSheetId="6">'Appx E'!$3:$4</definedName>
  </definedNames>
  <calcPr calcId="191029"/>
  <fileRecoveryPr autoRecover="0"/>
</workbook>
</file>

<file path=xl/calcChain.xml><?xml version="1.0" encoding="utf-8"?>
<calcChain xmlns="http://schemas.openxmlformats.org/spreadsheetml/2006/main">
  <c r="D28" i="2" l="1"/>
  <c r="E28" i="2"/>
  <c r="F28" i="2"/>
  <c r="G28" i="2"/>
  <c r="H28" i="2"/>
  <c r="I28" i="2"/>
  <c r="J28" i="2"/>
  <c r="K28" i="2"/>
  <c r="L28" i="2"/>
  <c r="M28" i="2"/>
  <c r="N28" i="2"/>
  <c r="O28" i="2"/>
  <c r="C28" i="2"/>
  <c r="P27" i="2"/>
  <c r="Q27" i="2"/>
  <c r="S27" i="2" s="1"/>
  <c r="R27" i="2"/>
  <c r="R26" i="2"/>
  <c r="Q26" i="2"/>
  <c r="S26" i="2" s="1"/>
  <c r="P26" i="2"/>
  <c r="C74" i="3" l="1"/>
  <c r="D171" i="8"/>
  <c r="E171" i="8"/>
  <c r="M116" i="21"/>
  <c r="K114" i="8" l="1"/>
  <c r="K171" i="8" s="1"/>
  <c r="N225" i="21"/>
  <c r="O225" i="21"/>
  <c r="P225" i="21"/>
  <c r="N224" i="21"/>
  <c r="O224" i="21"/>
  <c r="P224" i="21"/>
  <c r="D226" i="21"/>
  <c r="M226" i="21"/>
  <c r="K226" i="21"/>
  <c r="F226" i="21"/>
  <c r="C226" i="21"/>
  <c r="Q225" i="21" l="1"/>
  <c r="Q224" i="21"/>
  <c r="N223" i="21"/>
  <c r="O223" i="21"/>
  <c r="P223" i="21"/>
  <c r="P78" i="21"/>
  <c r="O78" i="21"/>
  <c r="N78" i="21"/>
  <c r="Q78" i="21" l="1"/>
  <c r="Q223" i="21"/>
  <c r="N20" i="21"/>
  <c r="O20" i="21"/>
  <c r="P20" i="21"/>
  <c r="N17" i="21"/>
  <c r="P153" i="21"/>
  <c r="O153" i="21"/>
  <c r="N153" i="21"/>
  <c r="P103" i="21"/>
  <c r="O103" i="21"/>
  <c r="N103" i="21"/>
  <c r="P105" i="21"/>
  <c r="O105" i="21"/>
  <c r="N105" i="21"/>
  <c r="Q153" i="21" l="1"/>
  <c r="Q20" i="21"/>
  <c r="Q103" i="21"/>
  <c r="Q105" i="21"/>
  <c r="N171" i="8" l="1"/>
  <c r="M171" i="8"/>
  <c r="L171" i="8"/>
  <c r="N131" i="8"/>
  <c r="M131" i="8"/>
  <c r="L131" i="8"/>
  <c r="N126" i="8"/>
  <c r="M126" i="8"/>
  <c r="O126" i="8" s="1"/>
  <c r="L126" i="8"/>
  <c r="N121" i="8"/>
  <c r="M121" i="8"/>
  <c r="L121" i="8"/>
  <c r="N118" i="8"/>
  <c r="M118" i="8"/>
  <c r="L118" i="8"/>
  <c r="N114" i="8"/>
  <c r="M114" i="8"/>
  <c r="L114" i="8"/>
  <c r="N109" i="8"/>
  <c r="M109" i="8"/>
  <c r="L109" i="8"/>
  <c r="N106" i="8"/>
  <c r="M106" i="8"/>
  <c r="L106" i="8"/>
  <c r="N92" i="8"/>
  <c r="M92" i="8"/>
  <c r="L92" i="8"/>
  <c r="N91" i="8"/>
  <c r="M91" i="8"/>
  <c r="L91" i="8"/>
  <c r="N90" i="8"/>
  <c r="M90" i="8"/>
  <c r="L90" i="8"/>
  <c r="N82" i="8"/>
  <c r="M82" i="8"/>
  <c r="L82" i="8"/>
  <c r="N74" i="8"/>
  <c r="M74" i="8"/>
  <c r="L74" i="8"/>
  <c r="N73" i="8"/>
  <c r="M73" i="8"/>
  <c r="N72" i="8"/>
  <c r="M72" i="8"/>
  <c r="L72" i="8"/>
  <c r="P222" i="21"/>
  <c r="O222" i="21"/>
  <c r="N222" i="21"/>
  <c r="P116" i="21"/>
  <c r="O116" i="21"/>
  <c r="N116" i="21"/>
  <c r="P74" i="21"/>
  <c r="O74" i="21"/>
  <c r="N74" i="21"/>
  <c r="P21" i="21"/>
  <c r="O21" i="21"/>
  <c r="N21" i="21"/>
  <c r="P17" i="21"/>
  <c r="O17" i="21"/>
  <c r="P16" i="21"/>
  <c r="O16" i="21"/>
  <c r="N16" i="21"/>
  <c r="D74" i="3"/>
  <c r="E74" i="3"/>
  <c r="F74" i="3"/>
  <c r="G74" i="3"/>
  <c r="H74" i="3"/>
  <c r="I74" i="3"/>
  <c r="J74" i="3"/>
  <c r="K74" i="3"/>
  <c r="L74" i="3"/>
  <c r="O73" i="3"/>
  <c r="N73" i="3"/>
  <c r="M73" i="3"/>
  <c r="O62" i="3"/>
  <c r="N62" i="3"/>
  <c r="M62" i="3"/>
  <c r="O31" i="3"/>
  <c r="N31" i="3"/>
  <c r="P31" i="3" s="1"/>
  <c r="M31" i="3"/>
  <c r="O29" i="3"/>
  <c r="N29" i="3"/>
  <c r="M29" i="3"/>
  <c r="O27" i="3"/>
  <c r="N27" i="3"/>
  <c r="M27" i="3"/>
  <c r="O26" i="3"/>
  <c r="N26" i="3"/>
  <c r="M26" i="3"/>
  <c r="P25" i="3"/>
  <c r="O25" i="3"/>
  <c r="N25" i="3"/>
  <c r="M25" i="3"/>
  <c r="P24" i="3"/>
  <c r="O24" i="3"/>
  <c r="N24" i="3"/>
  <c r="M24" i="3"/>
  <c r="O15" i="3"/>
  <c r="N15" i="3"/>
  <c r="P15" i="3" s="1"/>
  <c r="M15" i="3"/>
  <c r="O11" i="3"/>
  <c r="N11" i="3"/>
  <c r="M11" i="3"/>
  <c r="O118" i="8" l="1"/>
  <c r="P62" i="3"/>
  <c r="O171" i="8"/>
  <c r="O92" i="8"/>
  <c r="O74" i="8"/>
  <c r="O106" i="8"/>
  <c r="O90" i="8"/>
  <c r="O114" i="8"/>
  <c r="Q16" i="21"/>
  <c r="Q21" i="21"/>
  <c r="P27" i="3"/>
  <c r="O73" i="8"/>
  <c r="O91" i="8"/>
  <c r="O121" i="8"/>
  <c r="O72" i="8"/>
  <c r="O82" i="8"/>
  <c r="O109" i="8"/>
  <c r="O131" i="8"/>
  <c r="Q17" i="21"/>
  <c r="Q116" i="21"/>
  <c r="Q222" i="21"/>
  <c r="Q74" i="21"/>
  <c r="P26" i="3"/>
  <c r="P73" i="3"/>
  <c r="P11" i="3"/>
  <c r="P29" i="3"/>
  <c r="L96" i="23" l="1"/>
</calcChain>
</file>

<file path=xl/sharedStrings.xml><?xml version="1.0" encoding="utf-8"?>
<sst xmlns="http://schemas.openxmlformats.org/spreadsheetml/2006/main" count="1451" uniqueCount="1121">
  <si>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</si>
  <si>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</si>
  <si>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</si>
  <si>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</si>
  <si>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</si>
  <si>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</si>
  <si>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</si>
  <si>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</si>
  <si>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</si>
  <si>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</si>
  <si>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</si>
  <si>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</si>
  <si>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</si>
  <si>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</si>
  <si>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</si>
  <si>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</si>
  <si>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>HRV AV-15</t>
  </si>
  <si>
    <t>Tk T-72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</si>
  <si>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</si>
  <si>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</si>
  <si>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</si>
  <si>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</si>
  <si>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</si>
  <si>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</si>
  <si>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</si>
  <si>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</si>
  <si>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</si>
  <si>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</si>
  <si>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</si>
  <si>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</si>
  <si>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</si>
  <si>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</si>
  <si>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</si>
  <si>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</si>
  <si>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</si>
  <si>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</si>
  <si>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</si>
  <si>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</si>
  <si>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</si>
  <si>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</si>
  <si>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</si>
  <si>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</si>
  <si>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</si>
  <si>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</si>
  <si>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</si>
  <si>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</si>
  <si>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Tk T-90S/SK</t>
  </si>
  <si>
    <t>Tk T-72 Trawls</t>
  </si>
  <si>
    <t>Tk T-55</t>
  </si>
  <si>
    <t>MBT ARJUN</t>
  </si>
  <si>
    <t>ICV BMP-I</t>
  </si>
  <si>
    <t>ICV BMP-II / II K</t>
  </si>
  <si>
    <t>CMT</t>
  </si>
  <si>
    <t>Armd Amb Tr</t>
  </si>
  <si>
    <t>AERV</t>
  </si>
  <si>
    <t>NBC Recce Veh</t>
  </si>
  <si>
    <t>ARV VT-72B</t>
  </si>
  <si>
    <t>ARV VT-55</t>
  </si>
  <si>
    <t>ARV WZT-2</t>
  </si>
  <si>
    <t>ARV/WZT-3</t>
  </si>
  <si>
    <t xml:space="preserve">BLG-60 M2 </t>
  </si>
  <si>
    <t xml:space="preserve">BRDM (Striker)          </t>
  </si>
  <si>
    <t>BRDM (RECCE)</t>
  </si>
  <si>
    <t>Strella 10M</t>
  </si>
  <si>
    <t>Tanguska</t>
  </si>
  <si>
    <t>CET</t>
  </si>
  <si>
    <t>Schilka</t>
  </si>
  <si>
    <t>KPMSO1 MO2 
(Tech Sp Veh for 
Tk T-90)</t>
  </si>
  <si>
    <t>MRS-AR Ly for 
Tk T-90</t>
  </si>
  <si>
    <t>MTO-AT Ly for 
Tk T-90</t>
  </si>
  <si>
    <t>TRM-AT Ly for 
Tk T-90</t>
  </si>
  <si>
    <t>UMV for MBT Arjun</t>
  </si>
  <si>
    <t>URV for MBT Arjun</t>
  </si>
  <si>
    <t>NBC ACADA</t>
  </si>
  <si>
    <t>NBC CAM</t>
  </si>
  <si>
    <t>NBC ICAD</t>
  </si>
  <si>
    <t>RPL DOSIMETER</t>
  </si>
  <si>
    <t>NBC IFS</t>
  </si>
  <si>
    <t>Water Purification Sys</t>
  </si>
  <si>
    <t>LCV Eicher Canter</t>
  </si>
  <si>
    <t>Zil-131</t>
  </si>
  <si>
    <t>Chg Set 2.5 KW</t>
  </si>
  <si>
    <t>FMN READINESS STATE  : ARMT</t>
  </si>
  <si>
    <t>105/37 mm IFG</t>
  </si>
  <si>
    <t>105/37 mm  LFG</t>
  </si>
  <si>
    <t>155 mm FH 77 BO2 (BOFORS )</t>
  </si>
  <si>
    <t>122 mm HOW</t>
  </si>
  <si>
    <t>130 mm Fd Gun</t>
  </si>
  <si>
    <t>155 mm (SOLTAM)</t>
  </si>
  <si>
    <t>160 mmTempella</t>
  </si>
  <si>
    <t>122 mm MBRL</t>
  </si>
  <si>
    <t>120 mm Mortar</t>
  </si>
  <si>
    <t>106/32 mm RCL</t>
  </si>
  <si>
    <t>QF 40mm L/ 70</t>
  </si>
  <si>
    <t>23 mm Twin Gun</t>
  </si>
  <si>
    <t>Shilka</t>
  </si>
  <si>
    <t>105/53 mm 2A (Up Gunned)</t>
  </si>
  <si>
    <t>125 MM Smooth Bore Tk T-72</t>
  </si>
  <si>
    <t>30 MM ICV BMP-II</t>
  </si>
  <si>
    <t>14.5 mm Fd Arty Trainer</t>
  </si>
  <si>
    <t>FMN READINESS STATE  : SMALL ARMS</t>
  </si>
  <si>
    <t>30 mm AGL (AGS-30)</t>
  </si>
  <si>
    <t>40 mm MGL</t>
  </si>
  <si>
    <t>40 mm UBGL</t>
  </si>
  <si>
    <t>14.5/20 mm AMR</t>
  </si>
  <si>
    <t>7.62MM GALIL Snipper Riffle</t>
  </si>
  <si>
    <t>7.62mm Tavour Assault Rifle</t>
  </si>
  <si>
    <t>Pistol Browing (All Marks)</t>
  </si>
  <si>
    <t>9 mm Pistol Auto 1A</t>
  </si>
  <si>
    <t>9 mm Pistol Bretta</t>
  </si>
  <si>
    <t>Rifle 7.62mm 1A1</t>
  </si>
  <si>
    <t>Rifle 7.62mm L1A1</t>
  </si>
  <si>
    <t>Rifle 7.62mm Sniper Dragunov</t>
  </si>
  <si>
    <t>Rifle 7.62mm AK- 47</t>
  </si>
  <si>
    <t>Rifle 5.56mm INSAS 1A</t>
  </si>
  <si>
    <t>Rifle 5.56mm INSAS 1A1</t>
  </si>
  <si>
    <t>Rifle 5.56mm INSAS 1B</t>
  </si>
  <si>
    <t>Rifle 5.56mm INSAS 1B1</t>
  </si>
  <si>
    <t>9mm Carbine Machine  1A &amp; I A I</t>
  </si>
  <si>
    <t>9mm Carbine Machine 2A &amp; 2 A I</t>
  </si>
  <si>
    <t>Gun Machine 5.56mm INSAS</t>
  </si>
  <si>
    <t>Gun Machine 7.62mm  (All marks)</t>
  </si>
  <si>
    <t>Gun Machine 7.62mm -MG8 &amp; K-59</t>
  </si>
  <si>
    <t xml:space="preserve">Gun Machine 7.62mm  PK (Ground role) </t>
  </si>
  <si>
    <t>Gun Machine 7.62mm PKT (coaxial)</t>
  </si>
  <si>
    <t xml:space="preserve">Gun Machine 7.62mm PKT (Dvr) </t>
  </si>
  <si>
    <t>Gun Machine Browing Cal 30"</t>
  </si>
  <si>
    <t>Gun Machine Browing Cal 50"</t>
  </si>
  <si>
    <t>Gun Machine (MAG) 7.62mm (3A to 7A)</t>
  </si>
  <si>
    <t xml:space="preserve">Gun Machine 7.62mm(SGMT) </t>
  </si>
  <si>
    <t>Gun Machine 14.5mm KPVT/KPWT</t>
  </si>
  <si>
    <t>51mm Mortar E-1</t>
  </si>
  <si>
    <t>81mm Mortar E-1</t>
  </si>
  <si>
    <t>84mm RL Carl Gustev - Mk - II</t>
  </si>
  <si>
    <t>30mm AGL (AGS - 17)</t>
  </si>
  <si>
    <t>2" Inf Mortar</t>
  </si>
  <si>
    <t>Gm 12.7mm HCB  AA ARV WZT-2</t>
  </si>
  <si>
    <t xml:space="preserve">GM  12.7mm (NSVT) </t>
  </si>
  <si>
    <t xml:space="preserve">GM  12.7mm (NSVT)  ARV VT-72B </t>
  </si>
  <si>
    <t xml:space="preserve">RPG                            </t>
  </si>
  <si>
    <t>Gun Machine 7.62 mm 1B
With Spare barrel</t>
  </si>
  <si>
    <t>Projector Pyrotechnic Hand 13mm (Mini Player)</t>
  </si>
  <si>
    <t>Rif No 2 MK -4 1A(.22'' )</t>
  </si>
  <si>
    <t>Rif 12 Bore DBBL</t>
  </si>
  <si>
    <t>Rifle 7.62 mm SVDN/SVD</t>
  </si>
  <si>
    <t>Pistol Rocket Line Crossing</t>
  </si>
  <si>
    <t>Mtg Tripod L4A1</t>
  </si>
  <si>
    <t>9MM Sub Calibore</t>
  </si>
  <si>
    <t>Rifle 7.62mm1C</t>
  </si>
  <si>
    <t>Projector Miniflare</t>
  </si>
  <si>
    <t>Tele Set 5B</t>
  </si>
  <si>
    <t>BLT MT-55</t>
  </si>
  <si>
    <t>BLT T-72</t>
  </si>
  <si>
    <t>WE Eqpt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</si>
  <si>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</si>
  <si>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</si>
  <si>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</si>
  <si>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</si>
  <si>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>Tk T-72 (Gnr Sight)</t>
  </si>
  <si>
    <t>LRF TPDK-I</t>
  </si>
  <si>
    <t>TPN-1-49-23</t>
  </si>
  <si>
    <t>TISAS (U)</t>
  </si>
  <si>
    <t>Tk T-72 (Cdr Sight)</t>
  </si>
  <si>
    <t>TNPO-160</t>
  </si>
  <si>
    <t>Episcope</t>
  </si>
  <si>
    <t>Tk T-72 (Dvr Sight)</t>
  </si>
  <si>
    <t>TVNE-4B</t>
  </si>
  <si>
    <t>TVNE-4PA</t>
  </si>
  <si>
    <t>TVNE-4B (M1)</t>
  </si>
  <si>
    <t>TNPA-65</t>
  </si>
  <si>
    <t>TNPO-168B</t>
  </si>
  <si>
    <t>Tk T-90 (Gnr Sight)</t>
  </si>
  <si>
    <t>1G-46</t>
  </si>
  <si>
    <t>TI ESSA</t>
  </si>
  <si>
    <t>PZU-7</t>
  </si>
  <si>
    <t>MRS</t>
  </si>
  <si>
    <t>Tk T-90 (Cdr Sight)</t>
  </si>
  <si>
    <t>TKN-4S</t>
  </si>
  <si>
    <t>TNPO-165</t>
  </si>
  <si>
    <t>Tk T-90 (Dvr Sight)</t>
  </si>
  <si>
    <t>TVNE-5</t>
  </si>
  <si>
    <t>TVNE-4B (M2)</t>
  </si>
  <si>
    <t>TNP-168B</t>
  </si>
  <si>
    <t xml:space="preserve">TNPA-65 </t>
  </si>
  <si>
    <t>ICV BMP-I/II/IIK(Gnr Sight)</t>
  </si>
  <si>
    <t>BPK-2-42</t>
  </si>
  <si>
    <t>IPN-22-M2</t>
  </si>
  <si>
    <t>BMP TIM</t>
  </si>
  <si>
    <t>9SH 119M</t>
  </si>
  <si>
    <t>ICV BMP-I/II/IIK (Cdr Sight)</t>
  </si>
  <si>
    <t>TKN-3B</t>
  </si>
  <si>
    <t>IP-3-3</t>
  </si>
  <si>
    <t>ICV BMP-I/II/IIK (Dvr Sight)</t>
  </si>
  <si>
    <t>TVNE-1PA</t>
  </si>
  <si>
    <t>TVNE-4PA (Retrofitted)</t>
  </si>
  <si>
    <t>TVNO-2</t>
  </si>
  <si>
    <t>TNP-350B</t>
  </si>
  <si>
    <t>MBT ARJUN (Gnr Sight)</t>
  </si>
  <si>
    <t>GAS</t>
  </si>
  <si>
    <t xml:space="preserve">GMS </t>
  </si>
  <si>
    <t>Gnr Utility Window</t>
  </si>
  <si>
    <t>MBT ARJUN (Cdr Sight)</t>
  </si>
  <si>
    <t>Panoramic Sight</t>
  </si>
  <si>
    <t>MBT ARJUN (Dvr Sight)</t>
  </si>
  <si>
    <t>Dvrs Passive Ni Sight</t>
  </si>
  <si>
    <t>Tk T-55(Gnr Sight)</t>
  </si>
  <si>
    <t xml:space="preserve">Hinged Telescope </t>
  </si>
  <si>
    <t>IPN-1-22-M1</t>
  </si>
  <si>
    <t>TK T-55 (Cdr Sight)</t>
  </si>
  <si>
    <t>TKN-1S</t>
  </si>
  <si>
    <t>TPKU-2B</t>
  </si>
  <si>
    <t>Tk T-55 (Dvr Sight)</t>
  </si>
  <si>
    <t>TVN-2</t>
  </si>
  <si>
    <t>Devise Vision</t>
  </si>
  <si>
    <t>SVL / OBSN / SIGHTING EQPTS (THERMAL IMAGING)</t>
  </si>
  <si>
    <t>HHTI (Ex France)</t>
  </si>
  <si>
    <t>TIIOE</t>
  </si>
  <si>
    <t>ARTIMLR</t>
  </si>
  <si>
    <t>LORROS</t>
  </si>
  <si>
    <t>TI Sight for IGLA-1M</t>
  </si>
  <si>
    <t>MIRA Ni Sight</t>
  </si>
  <si>
    <t>TI Sight for ATGM Lr</t>
  </si>
  <si>
    <t>LASER BASED INSTS</t>
  </si>
  <si>
    <t>LRF LH-30</t>
  </si>
  <si>
    <t>Laser Tgt Designator (LTD)</t>
  </si>
  <si>
    <t>LDR 1D-20/22</t>
  </si>
  <si>
    <t>N/CROS</t>
  </si>
  <si>
    <t>Gap Measuring Device (GMD)</t>
  </si>
  <si>
    <t>Angle Measuring Device (AMD)</t>
  </si>
  <si>
    <t>PASSIVE NIGHT VISION DEVICES (PNVD)</t>
  </si>
  <si>
    <t>Googles Night Visison Passive 101A</t>
  </si>
  <si>
    <t>Googles Night Visison Passive 102A</t>
  </si>
  <si>
    <t>Passive Night Vission Goggle (Ex BEL)</t>
  </si>
  <si>
    <t>Binocular Night Vision Passive 101A</t>
  </si>
  <si>
    <t>Binocular Night Vision Passive OB-44B-01</t>
  </si>
  <si>
    <t>Night Observation Device Passive 102A</t>
  </si>
  <si>
    <t>Passive Night Sight  NK-24 (Bofors)</t>
  </si>
  <si>
    <t>CSWS AN/TVS/5</t>
  </si>
  <si>
    <t>PNS for Snipper Rif</t>
  </si>
  <si>
    <t>PNS AK-47</t>
  </si>
  <si>
    <t>PNS 7.62mm Rif/LMG</t>
  </si>
  <si>
    <t>PNS 84mm Carl Gustav</t>
  </si>
  <si>
    <t>PNS Sight 7.62mm (MAG) 101A</t>
  </si>
  <si>
    <t>PNS Mini N/SEAS</t>
  </si>
  <si>
    <t>PNS for 84mm RL</t>
  </si>
  <si>
    <t>PNVS for Rocket Lr (Ex BEL)</t>
  </si>
  <si>
    <t>Optical Insts</t>
  </si>
  <si>
    <t>High Resolution Binocular</t>
  </si>
  <si>
    <t>Dial Sight 103A</t>
  </si>
  <si>
    <t>Dial Sight 104A</t>
  </si>
  <si>
    <t>Dial Sight 51mm Mortar</t>
  </si>
  <si>
    <t xml:space="preserve">Director FC No 9 </t>
  </si>
  <si>
    <t xml:space="preserve">Spotters Scope </t>
  </si>
  <si>
    <t>Aiming Circle PAB-2</t>
  </si>
  <si>
    <t>Bino 81mm Mortar</t>
  </si>
  <si>
    <t xml:space="preserve">Compass Hand Held Digital </t>
  </si>
  <si>
    <t>Compass Sub Std Telescope</t>
  </si>
  <si>
    <t>Sight for 30mm AGL PAG 17</t>
  </si>
  <si>
    <t>Sight for 51 Mor 101A</t>
  </si>
  <si>
    <t>Sight Heavy Mortar Cased IC</t>
  </si>
  <si>
    <t>Sight PG-1 with Colimeter K1</t>
  </si>
  <si>
    <t>Sight Unit C2</t>
  </si>
  <si>
    <t>Telescope Sight 84mm RL</t>
  </si>
  <si>
    <t xml:space="preserve">Tele sight LMG 5.56 mm INSAS (day) </t>
  </si>
  <si>
    <t>Tele Sight Rif 5.56mm INSAS (day)</t>
  </si>
  <si>
    <t>Telescope 105/37mm IFG</t>
  </si>
  <si>
    <t>Telescope Auxillary Mk-I</t>
  </si>
  <si>
    <t>Telescope MMG</t>
  </si>
  <si>
    <t>Telescope Sight 14mm/20mm for AMR</t>
  </si>
  <si>
    <t>Telescope Sight 84mm RL (Day)</t>
  </si>
  <si>
    <t xml:space="preserve">Telescope Sight for Sniper Rif </t>
  </si>
  <si>
    <t>Range Finder No 12 / 13E</t>
  </si>
  <si>
    <t>Muzzle Bore Sight (MBS)</t>
  </si>
  <si>
    <t>Insts Fitted with TFS</t>
  </si>
  <si>
    <t>Miniscope</t>
  </si>
  <si>
    <t xml:space="preserve">Thedolites </t>
  </si>
  <si>
    <t>PINAKA MBRL Sys (Ex-L&amp;T)</t>
  </si>
  <si>
    <t>Tractor</t>
  </si>
  <si>
    <t>Maruti Omni</t>
  </si>
  <si>
    <t>Genr Set 3.5 KVA</t>
  </si>
  <si>
    <t>Genr Set 2.5 KVA</t>
  </si>
  <si>
    <t>Genr Set 1.5 KVA</t>
  </si>
  <si>
    <t xml:space="preserve"> </t>
  </si>
  <si>
    <t>Gun Machine (MAG) 7.62mm 2A &amp; 2A1 or MMG</t>
  </si>
  <si>
    <t>Sight Unit 102A/102B</t>
  </si>
  <si>
    <t>Auth 
(UE)</t>
  </si>
  <si>
    <t>Dial Sight 102 A/B all types</t>
  </si>
  <si>
    <t>Director FC  No 7 (All types)</t>
  </si>
  <si>
    <t>Binocular Prism ( All type)</t>
  </si>
  <si>
    <t>Total</t>
  </si>
  <si>
    <t>water Purification Sys</t>
  </si>
  <si>
    <t>Ser No</t>
  </si>
  <si>
    <t xml:space="preserve">PMC (Nos) </t>
  </si>
  <si>
    <t xml:space="preserve">M/C CD 100 Hero Honda </t>
  </si>
  <si>
    <t>M/C Hero 100 CD Delux</t>
  </si>
  <si>
    <t>M/C 350CC RE</t>
  </si>
  <si>
    <t>LIGHT VEHICLE</t>
  </si>
  <si>
    <t>Car Ciaz Maruti</t>
  </si>
  <si>
    <t xml:space="preserve">Car Maruti SX 4 </t>
  </si>
  <si>
    <t>Maruti Gypsy 413W/MPFI</t>
  </si>
  <si>
    <t>Maruti Swift Dezire</t>
  </si>
  <si>
    <t>Pajero</t>
  </si>
  <si>
    <t>Tata Indigo</t>
  </si>
  <si>
    <t>Tk 2.5 ton TATA TC</t>
  </si>
  <si>
    <t xml:space="preserve">LCV Swaraj Mazda </t>
  </si>
  <si>
    <t>FAT 3.5 Ton (Ex TATA)</t>
  </si>
  <si>
    <t>5/7.5 Ton ALS Topchi</t>
  </si>
  <si>
    <t xml:space="preserve">5/7.5 Ton ALS </t>
  </si>
  <si>
    <t>TATA 10 Ton 4x2 1615 TC</t>
  </si>
  <si>
    <t>Ashok Leyland 10 Ton GS</t>
  </si>
  <si>
    <t>ALS Med Amb 4x2</t>
  </si>
  <si>
    <t>ALS Med Amb 4x4</t>
  </si>
  <si>
    <t xml:space="preserve">Tata Sumo Lt Amb </t>
  </si>
  <si>
    <t xml:space="preserve">2.5 Ton Tata Amb </t>
  </si>
  <si>
    <t>Mahindra Rakshak (Lt Bullet Proof Veh)</t>
  </si>
  <si>
    <t>Tata Sumo ECM Jammer</t>
  </si>
  <si>
    <t>Remote Operated Vehicle (ROV) Daksh</t>
  </si>
  <si>
    <t>Tata (2 KL Water Bowser)</t>
  </si>
  <si>
    <t>ALS (5 KL Water Bowser)</t>
  </si>
  <si>
    <t>Bus TATA Pre-Fab long chassis</t>
  </si>
  <si>
    <t>Tata LPO1512 TC Bus</t>
  </si>
  <si>
    <t>ALS (Light Recovery Vehicle)</t>
  </si>
  <si>
    <t>Kraz-260</t>
  </si>
  <si>
    <t>Zil 157K</t>
  </si>
  <si>
    <t>Scania</t>
  </si>
  <si>
    <t>Caravan Mtd on 5/7.5 Ton ALS</t>
  </si>
  <si>
    <t>5/7.5 Ton Telecom Repair Ly</t>
  </si>
  <si>
    <t>5/7.5 Ton Machy Repair Ly</t>
  </si>
  <si>
    <t>Tir  50 Ton Wheeled</t>
  </si>
  <si>
    <t>Tir  20 Ton Wheeled</t>
  </si>
  <si>
    <t>Tk Fire Fighting Tata</t>
  </si>
  <si>
    <t>TATA 3 Way Tipper</t>
  </si>
  <si>
    <t>Excavator Loader</t>
  </si>
  <si>
    <t>Wheel Dozer</t>
  </si>
  <si>
    <t>Air Compressor</t>
  </si>
  <si>
    <t>Boat Recee</t>
  </si>
  <si>
    <t>Boat Recce 3 Men 2A</t>
  </si>
  <si>
    <t>Genr Set 3 KVA</t>
  </si>
  <si>
    <t>Genr Set 4 KVA</t>
  </si>
  <si>
    <t>Genr Set 4.5 KVA</t>
  </si>
  <si>
    <t>Genr Set 5.5 KVA</t>
  </si>
  <si>
    <t>Genr Set 62.5 KVA</t>
  </si>
  <si>
    <t>Genr Set 500 KVA</t>
  </si>
  <si>
    <t>Chg Set 500 W (All)</t>
  </si>
  <si>
    <t>Chg Set 1000 W (All)</t>
  </si>
  <si>
    <t>4 KL Air Craft Refuller</t>
  </si>
  <si>
    <t>Sudan Pump</t>
  </si>
  <si>
    <t>Pinjor rock drill</t>
  </si>
  <si>
    <t>Chain saw</t>
  </si>
  <si>
    <t>Aska Light</t>
  </si>
  <si>
    <t>Hammer Drill Pnuematic</t>
  </si>
  <si>
    <t>Mine Field Marking Equipment (MFME)</t>
  </si>
  <si>
    <t>Snow Mobile</t>
  </si>
  <si>
    <t>Plant Welding Gen Set</t>
  </si>
  <si>
    <t>Weld Genr Bed Mtd</t>
  </si>
  <si>
    <t>Plant Welding Deelting Oxy Actylene</t>
  </si>
  <si>
    <t>Lathe Machine</t>
  </si>
  <si>
    <t>Lubricating Unit</t>
  </si>
  <si>
    <t>Pumping Set 2 KL (Tata)</t>
  </si>
  <si>
    <t>Pumping Set 5 KL (ALS)</t>
  </si>
  <si>
    <t>Pumping Set No 4 Mk-I</t>
  </si>
  <si>
    <t>Flexible Drive 17mm 18 meter</t>
  </si>
  <si>
    <t>Flexible Drive 17.5mm 16 meter</t>
  </si>
  <si>
    <t>Flexible Drive 17.5mm 24 meter</t>
  </si>
  <si>
    <t>Flexible Drive 22mm 4 meter</t>
  </si>
  <si>
    <t>Flexible Drive 22mm 8 meter</t>
  </si>
  <si>
    <t>Air compressor Lubricating unit power</t>
  </si>
  <si>
    <t>Pumping Set No 4 Mk-II</t>
  </si>
  <si>
    <t>AVT (FR/LR)</t>
  </si>
  <si>
    <t>ALS CGT 6x6</t>
  </si>
  <si>
    <t>Gen Set Welding 33.6 KW</t>
  </si>
  <si>
    <t>Genr set welding 7.5 KVA</t>
  </si>
  <si>
    <t>SWBD Charger</t>
  </si>
  <si>
    <t>Mine Detector</t>
  </si>
  <si>
    <t>RL 84mm Mk IV</t>
  </si>
  <si>
    <t>SIG SAUER ASLT Rif</t>
  </si>
  <si>
    <t>Rif 5.56 mm TAVOR (Upgraded)</t>
  </si>
  <si>
    <t>Pistol silencer</t>
  </si>
  <si>
    <t>Rifle 7.62mm AK ex Romania</t>
  </si>
  <si>
    <t>Rifle 7.62mm AK 56</t>
  </si>
  <si>
    <t>TISAS (Old)</t>
  </si>
  <si>
    <t>TISAS (Upgrade)</t>
  </si>
  <si>
    <t>TKN-3 (CTI)</t>
  </si>
  <si>
    <t>HHTI BEL/ ELOP</t>
  </si>
  <si>
    <t>HHTI with LRF</t>
  </si>
  <si>
    <t>HHTI Bi-Ocular</t>
  </si>
  <si>
    <t>LORROS MK IV</t>
  </si>
  <si>
    <t>TIM</t>
  </si>
  <si>
    <t>TISK</t>
  </si>
  <si>
    <t>Projector Grenade 73mm</t>
  </si>
  <si>
    <t>ALS ILM</t>
  </si>
  <si>
    <t>Telescope sight USFM Rdr</t>
  </si>
  <si>
    <t>FMN READINESS STATE  : 'A' VEHS</t>
  </si>
  <si>
    <t>Dumpers</t>
  </si>
  <si>
    <t>Refuelling Reg</t>
  </si>
  <si>
    <t>SMG MP-9</t>
  </si>
  <si>
    <t>Rif 7.62 MM SLR (DP)</t>
  </si>
  <si>
    <t>GM 7.62mm 2A (DP)</t>
  </si>
  <si>
    <t>Gun machine 7.62mm LMG(DP)</t>
  </si>
  <si>
    <t>84mm RL Mk III/II</t>
  </si>
  <si>
    <t>LLLR (Bharni)</t>
  </si>
  <si>
    <t xml:space="preserve">Milan Firing Post </t>
  </si>
  <si>
    <t>Kornet LRs</t>
  </si>
  <si>
    <t>Unified Launcher (ATGM)</t>
  </si>
  <si>
    <t>Fagot  LRs</t>
  </si>
  <si>
    <t>Konkurs LRs</t>
  </si>
  <si>
    <t>Flame LRs MK-II</t>
  </si>
  <si>
    <t>Flame LRs MK-I</t>
  </si>
  <si>
    <t>MVR</t>
  </si>
  <si>
    <t>ISPTA Lakshya</t>
  </si>
  <si>
    <t>Tellurometer MRA-3 Mk-II</t>
  </si>
  <si>
    <t>Sound Ranging System 1 A</t>
  </si>
  <si>
    <t>Distance measuring eqpt, 1A</t>
  </si>
  <si>
    <t>Acoustic Miss Distance Indicator AS-100</t>
  </si>
  <si>
    <t>PU-12M (COMMAND POST)</t>
  </si>
  <si>
    <t>ATGM SP - 135 -M-1</t>
  </si>
  <si>
    <t>MALUTKA</t>
  </si>
  <si>
    <t>TANGUSHKA</t>
  </si>
  <si>
    <t>Kvadrat SPAGU</t>
  </si>
  <si>
    <t>Kvadrat SPL</t>
  </si>
  <si>
    <t>Kvadrat Msl</t>
  </si>
  <si>
    <t>Strella Combat Vehicles</t>
  </si>
  <si>
    <t>Strella-10M</t>
  </si>
  <si>
    <t>Strella-2M</t>
  </si>
  <si>
    <t>OSA AK PU-12M</t>
  </si>
  <si>
    <t>OSA AK Combat Vehicles</t>
  </si>
  <si>
    <t>OSA AK Msl</t>
  </si>
  <si>
    <t>Tunguska - M</t>
  </si>
  <si>
    <t>IGLA-1M (LM)</t>
  </si>
  <si>
    <t>WLR AN/TPQ 37A (V3)</t>
  </si>
  <si>
    <t xml:space="preserve">RDR BFSR(MR) </t>
  </si>
  <si>
    <t>RDR BFSR(SR) Indigenous</t>
  </si>
  <si>
    <t>RDR BFSR(SR) EX ELTA</t>
  </si>
  <si>
    <t>Radar Cymbeline</t>
  </si>
  <si>
    <t>STENTOR-C</t>
  </si>
  <si>
    <t>SPAGU</t>
  </si>
  <si>
    <t>PRV-16</t>
  </si>
  <si>
    <t>PRV--11</t>
  </si>
  <si>
    <t>RDR Indra-1</t>
  </si>
  <si>
    <t>RDR P-19</t>
  </si>
  <si>
    <t>RDR P-18</t>
  </si>
  <si>
    <t>RDR P-15</t>
  </si>
  <si>
    <t>IFF Flycatcher</t>
  </si>
  <si>
    <t>RDR Flycatcher</t>
  </si>
  <si>
    <t>RDR USFM</t>
  </si>
  <si>
    <t xml:space="preserve">TAURUS </t>
  </si>
  <si>
    <t>UGL</t>
  </si>
  <si>
    <t>RF Jammer Kavach</t>
  </si>
  <si>
    <t>ASHI PILLAI  (MP)</t>
  </si>
  <si>
    <t>ASHI PILLAI (VM)</t>
  </si>
  <si>
    <t>Gemini (MP)</t>
  </si>
  <si>
    <t>Gemini (VM)</t>
  </si>
  <si>
    <t>Libra</t>
  </si>
  <si>
    <t>ECM Jammer Mk-I  (Safari/Vasgar)</t>
  </si>
  <si>
    <t>ECM Jammer Mk II</t>
  </si>
  <si>
    <t>ROV (Daksh)</t>
  </si>
  <si>
    <t>ROV (Remotec)</t>
  </si>
  <si>
    <t xml:space="preserve">Visual Search Kit </t>
  </si>
  <si>
    <t>DFMD</t>
  </si>
  <si>
    <t>Mine Detector  (Schiebel)</t>
  </si>
  <si>
    <t>Mine Detector  Matex</t>
  </si>
  <si>
    <t>Hand Held Metal Detector</t>
  </si>
  <si>
    <t>NLJD</t>
  </si>
  <si>
    <t>EVD - 3000</t>
  </si>
  <si>
    <t xml:space="preserve">X-Ray Gen RTVS MK- IV </t>
  </si>
  <si>
    <t>Electronics Stethoscope</t>
  </si>
  <si>
    <t>Fibre Optical Svl Device (FOSD)</t>
  </si>
  <si>
    <t>Telescope Manuplator</t>
  </si>
  <si>
    <t xml:space="preserve">Bomb Supression Blanket </t>
  </si>
  <si>
    <t>Bomb Disposal Suit</t>
  </si>
  <si>
    <t>Tank Fire Control Sys (TFCS) 1B</t>
  </si>
  <si>
    <t>ALNS (Adv Land Navigation Sys)</t>
  </si>
  <si>
    <t>AMFDC (Automated Motor Fire Direction)</t>
  </si>
  <si>
    <t>CRI</t>
  </si>
  <si>
    <t>Switch Board 15 Line 3D/4A (ULSB)</t>
  </si>
  <si>
    <t>Mini EPABX</t>
  </si>
  <si>
    <t>INMARSAT</t>
  </si>
  <si>
    <t>Telephone (Beetel)</t>
  </si>
  <si>
    <t>Auto Telephone  (RAT)</t>
  </si>
  <si>
    <t>Tele set FDT 10</t>
  </si>
  <si>
    <t>Tele Set FD AUTO 1A/2A</t>
  </si>
  <si>
    <t>Tele Set 7A</t>
  </si>
  <si>
    <t>Tele Set 4A/5A</t>
  </si>
  <si>
    <t>Tele Fd Motor</t>
  </si>
  <si>
    <t>Telephone Set PTR 1000</t>
  </si>
  <si>
    <t>FASCON</t>
  </si>
  <si>
    <t>FCE (Field Cypher Eqpt)</t>
  </si>
  <si>
    <t>AES MK II</t>
  </si>
  <si>
    <t xml:space="preserve">AES MK I </t>
  </si>
  <si>
    <t>SESD (Subscriber End Secracy Device)</t>
  </si>
  <si>
    <t>BLUE STAR MID -3A</t>
  </si>
  <si>
    <t>TIDEX (40+12,80+24,160+48)</t>
  </si>
  <si>
    <t>SRAX Mk-II</t>
  </si>
  <si>
    <t>SRAX Mk-I</t>
  </si>
  <si>
    <t>Exch 40/50 LINES</t>
  </si>
  <si>
    <t>ULSB/Exch 10/15 LINES</t>
  </si>
  <si>
    <t>ULSB -4 A (MK-I)</t>
  </si>
  <si>
    <t>SWITEL  (40+12)</t>
  </si>
  <si>
    <t xml:space="preserve">STDM </t>
  </si>
  <si>
    <t>PSU 9A/10A</t>
  </si>
  <si>
    <t>ADM MUX 24 CH</t>
  </si>
  <si>
    <t>ADM MUX 12 CH</t>
  </si>
  <si>
    <t>ADM MUX 6 CH</t>
  </si>
  <si>
    <t>ACT (1+6+2)</t>
  </si>
  <si>
    <t>ACT( 1+4)1A,2A, &amp;3A</t>
  </si>
  <si>
    <t>Intelligent Message Terminal (IMT)</t>
  </si>
  <si>
    <t>DTU (Digital Trunk Unit)</t>
  </si>
  <si>
    <t>BEST Mk- II</t>
  </si>
  <si>
    <t xml:space="preserve">COMET </t>
  </si>
  <si>
    <t>Secracy for 2 MB PCM mux</t>
  </si>
  <si>
    <t>2 MB PCM Mux</t>
  </si>
  <si>
    <t>EC Fax 4618</t>
  </si>
  <si>
    <t>Aren Ascon Pipe Line Interface Unit  (AAPIU)</t>
  </si>
  <si>
    <t xml:space="preserve">Data Concentrator </t>
  </si>
  <si>
    <t>Delta Mux</t>
  </si>
  <si>
    <t>TP  T-1200</t>
  </si>
  <si>
    <t xml:space="preserve">DGPS Promark 3X Rover </t>
  </si>
  <si>
    <t xml:space="preserve">DGPS Promark X </t>
  </si>
  <si>
    <t>DGPS Rover Stn</t>
  </si>
  <si>
    <t xml:space="preserve">DGPS Base Stn </t>
  </si>
  <si>
    <t>GPS-MEGELLAN 315</t>
  </si>
  <si>
    <t>GPS- GARMIN 80</t>
  </si>
  <si>
    <t>GPS-GARMIN 12</t>
  </si>
  <si>
    <t>GPS 9312A/1A</t>
  </si>
  <si>
    <t>HHDF</t>
  </si>
  <si>
    <t>DFS BE PA-055</t>
  </si>
  <si>
    <t>EK-896</t>
  </si>
  <si>
    <t>Receiver HS -512</t>
  </si>
  <si>
    <t>Receiver HS 412</t>
  </si>
  <si>
    <t>AR -5000</t>
  </si>
  <si>
    <t>ICOM R-9000</t>
  </si>
  <si>
    <t>UGS</t>
  </si>
  <si>
    <t>ACME MK-II</t>
  </si>
  <si>
    <t>ACME MK-I</t>
  </si>
  <si>
    <t>SANSAR ( MID -4A)</t>
  </si>
  <si>
    <t>SANDHYA</t>
  </si>
  <si>
    <t xml:space="preserve">EQPT NISHA </t>
  </si>
  <si>
    <t>EQPT PRIME</t>
  </si>
  <si>
    <t>Eqpt SMART 1 A</t>
  </si>
  <si>
    <t xml:space="preserve">RTS </t>
  </si>
  <si>
    <t>RLS</t>
  </si>
  <si>
    <t>RWI</t>
  </si>
  <si>
    <t>ICOM Transreceiver</t>
  </si>
  <si>
    <t>Tx-30 ETP</t>
  </si>
  <si>
    <t>Transmitter Radio 4 KW</t>
  </si>
  <si>
    <t>Transmitter 1 KW HF</t>
  </si>
  <si>
    <t>Transmitter 500W</t>
  </si>
  <si>
    <t>TX 500 W( MHS 124)</t>
  </si>
  <si>
    <t>TX 125 W( MHS 124)</t>
  </si>
  <si>
    <t>RS VRC-353</t>
  </si>
  <si>
    <t xml:space="preserve">RS LUP 322 </t>
  </si>
  <si>
    <t>RS LUP 321 (UA)</t>
  </si>
  <si>
    <t>HF Rreceiver EK-896</t>
  </si>
  <si>
    <t>Digital Mobile Tropo GCC-22O</t>
  </si>
  <si>
    <t>Mobile Tropo GCC-210</t>
  </si>
  <si>
    <t>HHWT Motrola GP 2000</t>
  </si>
  <si>
    <t xml:space="preserve">RS MOTOROLA VHF </t>
  </si>
  <si>
    <t>RS MOTOROLA GP 338 Transreceiver</t>
  </si>
  <si>
    <t>Microcora (MW-15)</t>
  </si>
  <si>
    <t>Digicora &amp; OWFS (MW-11)</t>
  </si>
  <si>
    <t>RRX</t>
  </si>
  <si>
    <t>RS R-174</t>
  </si>
  <si>
    <t>RS R-173</t>
  </si>
  <si>
    <t>RS R-123</t>
  </si>
  <si>
    <t>RRF (HB)</t>
  </si>
  <si>
    <t>RRF (LB)</t>
  </si>
  <si>
    <t>RS VRC 6100M (100W)</t>
  </si>
  <si>
    <t>RS TADIRAN 50/50Watt</t>
  </si>
  <si>
    <t>RS TADIRAN 5 /50 Watt</t>
  </si>
  <si>
    <t>RS  TADIRAN 5 /20 Watt / CNR 900M</t>
  </si>
  <si>
    <t>RS HX/ RS PRC -6020A</t>
  </si>
  <si>
    <t>RS HC</t>
  </si>
  <si>
    <t>RS HB</t>
  </si>
  <si>
    <t>STARS V Mk-II 25 Watt</t>
  </si>
  <si>
    <t>STARS V Mk-II 5 Watt</t>
  </si>
  <si>
    <t>STARS V Mk-I 25 Watt</t>
  </si>
  <si>
    <t>STARS V Mk-I 5 Watt</t>
  </si>
  <si>
    <t>RS ANPRC WB</t>
  </si>
  <si>
    <t>RS ANPRC 25W MP</t>
  </si>
  <si>
    <t>RS VPS MK-III</t>
  </si>
  <si>
    <t>RS VPS MK-II</t>
  </si>
  <si>
    <t>RS VPS MK I</t>
  </si>
  <si>
    <t>RS VC</t>
  </si>
  <si>
    <t>RS VA/VB MK-II</t>
  </si>
  <si>
    <t xml:space="preserve">Comn Eqpt </t>
  </si>
  <si>
    <t>Spares/PCBs</t>
  </si>
  <si>
    <t>FMC
(Nos)</t>
  </si>
  <si>
    <t>FMN READINESS STATE  : TELECOM EQPT</t>
  </si>
  <si>
    <t>155mm/39 Cal A777 A2 ULH</t>
  </si>
  <si>
    <t>TELESCOPE  ANTTENA</t>
  </si>
  <si>
    <t>RX/TX600 IA (LHP 260)</t>
  </si>
  <si>
    <t>MULTIMETER DIGITAL</t>
  </si>
  <si>
    <t>LRF USFM</t>
  </si>
  <si>
    <t>Telescope Aux No 2</t>
  </si>
  <si>
    <t>Apparatus testing Mor sight MK-1</t>
  </si>
  <si>
    <t>TIFCS</t>
  </si>
  <si>
    <t>TOTAL</t>
  </si>
  <si>
    <t>Rifle 5.56 mm INSAS 1A Folded Butt</t>
  </si>
  <si>
    <t>5/7.5 Ton Rdr Repair Ly</t>
  </si>
  <si>
    <t xml:space="preserve"> Under OH /MR/R4/
FR/ Base Repair</t>
  </si>
  <si>
    <t>Eng/
 Brl</t>
  </si>
  <si>
    <t>Fogging Machine</t>
  </si>
  <si>
    <t>KLTE</t>
  </si>
  <si>
    <t>KMTE</t>
  </si>
  <si>
    <t>FLTE</t>
  </si>
  <si>
    <t>DCH</t>
  </si>
  <si>
    <t>HHC Mk-III (Project Shakti)</t>
  </si>
  <si>
    <t>NEGEV LMG 7.62 MM</t>
  </si>
  <si>
    <t>3D TCR</t>
  </si>
  <si>
    <t>RDR TC Reporter</t>
  </si>
  <si>
    <t>Tata Xenon Lt Amb</t>
  </si>
  <si>
    <t>Snow Cutter</t>
  </si>
  <si>
    <t>Units</t>
  </si>
  <si>
    <t>5/7.5 Ton 4x4 ALS MMTS Mounted Ly</t>
  </si>
  <si>
    <t>RS HX 20 W with HSDM</t>
  </si>
  <si>
    <t>TATA Safari Storme GS 800 (4x4)</t>
  </si>
  <si>
    <t>AFT 1000</t>
  </si>
  <si>
    <t>Washer Motor Veh 2 Gun trolley</t>
  </si>
  <si>
    <t>Washer motor 2 Gun mounted</t>
  </si>
  <si>
    <t>Binocular all type</t>
  </si>
  <si>
    <t>Converter fd Arty ceased 2A</t>
  </si>
  <si>
    <t>Electro Medical Eqpts</t>
  </si>
  <si>
    <t>Beacon Prism</t>
  </si>
  <si>
    <t>Stand Inst No 27 MK-262A (Arty Bd)</t>
  </si>
  <si>
    <t>Apparatus ILL inst 1 MK-I</t>
  </si>
  <si>
    <t>Flere Sight 84 mm RL</t>
  </si>
  <si>
    <t xml:space="preserve">                                                    </t>
  </si>
  <si>
    <t>Fast Track Proc/ Emergency Proc Eqpt</t>
  </si>
  <si>
    <t>Crawler Tractor Rock Drill Med</t>
  </si>
  <si>
    <t>Heavy Excavator 20 Ton</t>
  </si>
  <si>
    <t>Heavy Duty Wagon Drills</t>
  </si>
  <si>
    <t>Patrol Boats</t>
  </si>
  <si>
    <t>Landing Craft Assault (LCA)</t>
  </si>
  <si>
    <t>Spider Excavators</t>
  </si>
  <si>
    <t>Hydraulic mobile crane (Heavy Duty)</t>
  </si>
  <si>
    <t>High Head Water pump</t>
  </si>
  <si>
    <t>Light Strike Veh (LSV)</t>
  </si>
  <si>
    <t>QRFV (Med)</t>
  </si>
  <si>
    <t>QRFV (Hy)</t>
  </si>
  <si>
    <t>ATV</t>
  </si>
  <si>
    <t>Infantry Protected Mobility Veh (IPMV)</t>
  </si>
  <si>
    <t>Flat Bed Trucks (FBT)</t>
  </si>
  <si>
    <t>Comd Post Veh (CPV)</t>
  </si>
  <si>
    <t>Fuel Cell Based Bty Chg (Methanol Based)</t>
  </si>
  <si>
    <t>Mountain Foot Bridge</t>
  </si>
  <si>
    <t>Multiple Purpose Tractors (MPT)</t>
  </si>
  <si>
    <t>Interlocking Block Machine</t>
  </si>
  <si>
    <t>Concrete Pump</t>
  </si>
  <si>
    <t xml:space="preserve">Shelf loading Concrete Mixer </t>
  </si>
  <si>
    <t>Shot crate Machine</t>
  </si>
  <si>
    <t>Tunneling Jumbo With Power Propulsation</t>
  </si>
  <si>
    <t>TATA MHC 6x6</t>
  </si>
  <si>
    <t>ALS 8x8</t>
  </si>
  <si>
    <t>ALS 10x10</t>
  </si>
  <si>
    <t>IMPV</t>
  </si>
  <si>
    <t>Appx  F</t>
  </si>
  <si>
    <t>TATA Xenon Amb</t>
  </si>
  <si>
    <t>Skid Steer Loader (SSL) Bobcat</t>
  </si>
  <si>
    <t>PNS for 5.56mm INSAS Rif/LMG</t>
  </si>
  <si>
    <t>Softicated Eqpt</t>
  </si>
  <si>
    <t>FMN READINESS STATE :  FTP/EPE</t>
  </si>
  <si>
    <t>Non Electro Medical Eqpt</t>
  </si>
  <si>
    <t>RS TADIRAN 50W AFV</t>
  </si>
  <si>
    <t>Tata SCRV</t>
  </si>
  <si>
    <t xml:space="preserve">Kolos Tatra T-813,8x8 </t>
  </si>
  <si>
    <t>Kolos Tatra T-815,8x8</t>
  </si>
  <si>
    <t>TFF Ashok Leyland</t>
  </si>
  <si>
    <t>Tlr mtd/Skd mtd Gen Set 7.5 KVA</t>
  </si>
  <si>
    <t>Welding Gen 250A 30 VDC</t>
  </si>
  <si>
    <t>Vaccum cleaner</t>
  </si>
  <si>
    <t>Pumping set No.4 MK IV</t>
  </si>
  <si>
    <t>Pump Water centrifugal</t>
  </si>
  <si>
    <t>Vibrating Soil Compactor</t>
  </si>
  <si>
    <t>Air Compressure Atlas COPCO XA 146</t>
  </si>
  <si>
    <t>Spider Excavator</t>
  </si>
  <si>
    <t>SAKO Trg 42 Sniper Rifle</t>
  </si>
  <si>
    <t>ALS Tipper</t>
  </si>
  <si>
    <t>Ly LPT 10 Ton</t>
  </si>
  <si>
    <t>Digicora II (MW-15/ 41)</t>
  </si>
  <si>
    <t>BEACON MK-III</t>
  </si>
  <si>
    <t>ECL MK - IV/V</t>
  </si>
  <si>
    <t>DTMD</t>
  </si>
  <si>
    <t xml:space="preserve">Digital Mobile Radio </t>
  </si>
  <si>
    <t>URRF</t>
  </si>
  <si>
    <t>Panaramic sight for Bofors</t>
  </si>
  <si>
    <t>Direct sight for Bofors</t>
  </si>
  <si>
    <t>Ground Sight (ZU Gun 23 MM) Telescopic Sight</t>
  </si>
  <si>
    <t>Bore Sight (ZU Gun 23 MM) Collimeter Sight</t>
  </si>
  <si>
    <t>Rifle 7.62mm - 58 P&amp;V</t>
  </si>
  <si>
    <t>ULSB MK-III</t>
  </si>
  <si>
    <r>
      <t xml:space="preserve">Appx D
</t>
    </r>
    <r>
      <rPr>
        <u/>
        <sz val="12"/>
        <rFont val="Arial"/>
        <family val="2"/>
      </rPr>
      <t/>
    </r>
  </si>
  <si>
    <t xml:space="preserve">Appx E
</t>
  </si>
  <si>
    <t>Mobile Secure Sattellite Terminal (MSST)</t>
  </si>
  <si>
    <t>Tata 4 Ton</t>
  </si>
  <si>
    <t>LSV (Light Strike Veh) (Force motors)</t>
  </si>
  <si>
    <t>Light Special Veh (Mahindra)</t>
  </si>
  <si>
    <t>Special Vehicle</t>
  </si>
  <si>
    <t>Kraz-255B1</t>
  </si>
  <si>
    <t>Kraz-255B</t>
  </si>
  <si>
    <t>URAL</t>
  </si>
  <si>
    <t xml:space="preserve">Tatra T-815 4x4 </t>
  </si>
  <si>
    <t>Tatra T-815 4x4 (SMERCH)</t>
  </si>
  <si>
    <t>Tatra T-815 4x4 (Samyukta)</t>
  </si>
  <si>
    <t>BEML Tatra 815 6x6</t>
  </si>
  <si>
    <t>BEML Tatra 815 6x6 (PINAKA)</t>
  </si>
  <si>
    <t>BEML Tatra 815 6x6 (AKASH WPN SYS)</t>
  </si>
  <si>
    <t>BEML Tatra 815 6x6 (SMERCH)</t>
  </si>
  <si>
    <t>BEML Tatra 815 6x6 (Samyukta)</t>
  </si>
  <si>
    <t>BEML Tatra T-815 6x6 (WLR)</t>
  </si>
  <si>
    <t>BEML Tatra 815 6x6 with MHC</t>
  </si>
  <si>
    <t>Ashok Leyland 6x6 for GRAD BM-21 MBRLS</t>
  </si>
  <si>
    <t>Ashok Leyland FAT 6x6</t>
  </si>
  <si>
    <t>Ashok Leyland 6x6 GTV</t>
  </si>
  <si>
    <t>BEML Tatra 815 8x8</t>
  </si>
  <si>
    <t>BEML Tatra 815 8x8 (PINAKA)</t>
  </si>
  <si>
    <t>BEML Tatra 815 8x8 (AKASH WPN SYS)</t>
  </si>
  <si>
    <t>BEML Tatra 815 8x8 (BRAHMOS)</t>
  </si>
  <si>
    <t>BEML Tatra T-815 8x8 (WLR Swathi)</t>
  </si>
  <si>
    <t>BEML Tatra 815 8x8 (Samyukta)</t>
  </si>
  <si>
    <t>BEML Tatra T-815,8x8 (3D TCR)</t>
  </si>
  <si>
    <t>Kolos Tatra T-815,8x8 (3D TCR)</t>
  </si>
  <si>
    <t>Ashoka Layland HMV 8x8 with MHC</t>
  </si>
  <si>
    <t>TATA HMV 6x6 with MHC</t>
  </si>
  <si>
    <t>TFF Tata</t>
  </si>
  <si>
    <t>3/ 5/7.5 Ton FIP Repair Ly</t>
  </si>
  <si>
    <t>3 / 5/7.5 Ton Inst Repair Ly</t>
  </si>
  <si>
    <t>3 / 5/7.5 Ton Bty charger Ly</t>
  </si>
  <si>
    <t>Ambulance Vehs</t>
  </si>
  <si>
    <t>Swaraj Mazda Amb</t>
  </si>
  <si>
    <t xml:space="preserve">Tata Winger Amb </t>
  </si>
  <si>
    <t>Recovery Vehs</t>
  </si>
  <si>
    <t>NIV / CIV Pattern Vehs</t>
  </si>
  <si>
    <t>LBPV Rakshak Plus</t>
  </si>
  <si>
    <t>All Terrain Veh (ATV MRZR-4)</t>
  </si>
  <si>
    <t>Mahindra Scorpio (all variants excl S-11)</t>
  </si>
  <si>
    <t>Mahindra Scorpio S-11 (Lt Veh Hard Top 700-900 Kg))</t>
  </si>
  <si>
    <t>Tata Sumo</t>
  </si>
  <si>
    <t xml:space="preserve">Car Ambassador </t>
  </si>
  <si>
    <t>Bus TATA Pre-Fab Short chassis</t>
  </si>
  <si>
    <t>Bus Swaraj Mazada</t>
  </si>
  <si>
    <t>Trailer</t>
  </si>
  <si>
    <t>Misc Vehicles</t>
  </si>
  <si>
    <t>QRFV (Med) (Tata)</t>
  </si>
  <si>
    <t>QRFV (Hy) (Bharat Forge)</t>
  </si>
  <si>
    <t>Flat Bed Truck (FBT) Bharat Benz</t>
  </si>
  <si>
    <t>IPMV (Tata)</t>
  </si>
  <si>
    <t>MPV Casspir</t>
  </si>
  <si>
    <t>PLANT AND MACHY EQPT</t>
  </si>
  <si>
    <t>Tracked Dozer</t>
  </si>
  <si>
    <t>Crawler Tractor D80 A12</t>
  </si>
  <si>
    <t>BD 80 (BEML)</t>
  </si>
  <si>
    <t>Crawler Tractor D50 A15</t>
  </si>
  <si>
    <t>BD 50 (BEML)</t>
  </si>
  <si>
    <t>Combat Engineering</t>
  </si>
  <si>
    <t>Wheel Dozer Model G14D1</t>
  </si>
  <si>
    <t>Wheel Dozer BD14W (BEML)</t>
  </si>
  <si>
    <t>Excavator  Loader JCB 3 DX (Escort)</t>
  </si>
  <si>
    <t>Excavator  Loader JCB 3 DX (Upgraded Version)</t>
  </si>
  <si>
    <t>JCB 4DX</t>
  </si>
  <si>
    <t>Excavator  Loader Wheel mtd Tata JD 315 SE</t>
  </si>
  <si>
    <t>Excavator  Loader Wheel mtd Tata JD 315 SE Mark 1</t>
  </si>
  <si>
    <t>Excavator  Loader JCB JS 200 (Poclain)</t>
  </si>
  <si>
    <t>Excavator Loader Ex 70 (7/12  Ton) TATA Hitachi</t>
  </si>
  <si>
    <t>Construction Eqpt</t>
  </si>
  <si>
    <t>Motor Grader GD 605 R2</t>
  </si>
  <si>
    <t>Road Roller 8/10 Ton</t>
  </si>
  <si>
    <t>Skid Steer Loader (Vectra)</t>
  </si>
  <si>
    <t>Skid Steer Loader (Bobcat)</t>
  </si>
  <si>
    <t>Truck Mounting Lifting Device</t>
  </si>
  <si>
    <t>IFLT 2 Ton Mode AF 20d ACE</t>
  </si>
  <si>
    <t>Rough Terrain Fork Lifting Truck (RTFLT) 2 Ton</t>
  </si>
  <si>
    <t>Rough Terrain Fork Lifting Truck (RTFLT) 3 Ton</t>
  </si>
  <si>
    <t xml:space="preserve">Air Compressor CPS 260 (Askok Leyalnd 6 Cylinder) </t>
  </si>
  <si>
    <t xml:space="preserve">Air Compressor CPS 260 (Askok Leyalnd 4 Cylinder) </t>
  </si>
  <si>
    <t>Universal Nitrogen and Air Compressor (UNAC)</t>
  </si>
  <si>
    <t>Out Board Motor</t>
  </si>
  <si>
    <t>Quick Reaction Boat (QRT Boat)</t>
  </si>
  <si>
    <t>Petrol Boat</t>
  </si>
  <si>
    <t>Out Boat Motor 30 HP (Johnson)</t>
  </si>
  <si>
    <t>Out Boat Motor 30 HP (Mercury Mariner)</t>
  </si>
  <si>
    <t>Out Boat Motor 30 HP (Parsun)</t>
  </si>
  <si>
    <t>Out Boat Motor 35 HP (Johnson)</t>
  </si>
  <si>
    <t>Out Boat Motor  115 HP (Mercury)</t>
  </si>
  <si>
    <t>Out Boat Motor  115 HP (Johnson)</t>
  </si>
  <si>
    <t>Motor Tug Launch (MTL)</t>
  </si>
  <si>
    <t>Mining Eqpt</t>
  </si>
  <si>
    <t>Mechanical Mine Layer</t>
  </si>
  <si>
    <t>Hydrema Deming Eqpt</t>
  </si>
  <si>
    <t>Misc Eqpt</t>
  </si>
  <si>
    <t>Drill Rock Pionjar 120 Portable</t>
  </si>
  <si>
    <t>Tata 3 Way Tipper 4x4 SAK</t>
  </si>
  <si>
    <t>Vessel Purification Plant</t>
  </si>
  <si>
    <t>Heavy Wagon Rock Drill</t>
  </si>
  <si>
    <t xml:space="preserve">Crawler Tractor Rock Drill </t>
  </si>
  <si>
    <t>Inter Locking Blocking Machine</t>
  </si>
  <si>
    <t>High Head Water Pump with Accessories</t>
  </si>
  <si>
    <t>BRIDGING EQPT AND MOBILE MASTS</t>
  </si>
  <si>
    <t>Mobile Mast</t>
  </si>
  <si>
    <t>Mobile Mast 17 Mtr Mtd on Tatra 815 (8x8)</t>
  </si>
  <si>
    <t>Mob Mast 30Mtr Mtd on Tatra 815 (8x8)</t>
  </si>
  <si>
    <t>BRIDGING EQPT</t>
  </si>
  <si>
    <t>Bridge AM-50 (Mtd on T-813)</t>
  </si>
  <si>
    <t>Bridge AM-50 B (Mtd on T-815)</t>
  </si>
  <si>
    <t>PMS Bridge Set (Mtd on Tatra 813)</t>
  </si>
  <si>
    <t>PMS Bridge Set (Mtd on Tatra 815)</t>
  </si>
  <si>
    <t>PMP Bridge Set (Mtd on Kraz)</t>
  </si>
  <si>
    <t>Sarvatra Bridging System 15 mtr (Mtd on T-815)</t>
  </si>
  <si>
    <t>short Span Bridge 5 mtr (Mtd on T-815)</t>
  </si>
  <si>
    <t>short Span Bridge 10 mtr (Mtd on T-815)</t>
  </si>
  <si>
    <t>GENR SET AND CHG SET</t>
  </si>
  <si>
    <t>Gen Set 2 KVA (M/s Honda) LLLR Bharani</t>
  </si>
  <si>
    <t>Gen Set 2 KVA (M/s Aayur) ULH M777</t>
  </si>
  <si>
    <t>Bty Charger 2 Kw (M/s Honda) Pinaka Wpns Sys</t>
  </si>
  <si>
    <t>Genr Set 5 KVA (Lombardini) (MRSAM)</t>
  </si>
  <si>
    <t>Chg Set 5.6 KW (M/s Kirloskar) BFSR MR</t>
  </si>
  <si>
    <t>Chg Set 5.6 KW (M/s Greaves) Commercial</t>
  </si>
  <si>
    <t>Genr Set 5 KVA (Lister Petter) (Brahmos Wpn Sys)</t>
  </si>
  <si>
    <t>Genr Set 5 KVA (M/s Kirloskar) (L-70 Gun Upgraded)</t>
  </si>
  <si>
    <t>Genr Set 6.5 KVA (M/s Honda) (LICEW Sys)</t>
  </si>
  <si>
    <t>Genr Set 7.5 KVA (M/s Usha (Commerical)</t>
  </si>
  <si>
    <t>Genr Set 8.5 KW (Yanmar) (Smerch Wpn Sys)</t>
  </si>
  <si>
    <t>Genr Set 9 KW (Yanmar) (Smerch Wpn Sys)</t>
  </si>
  <si>
    <t>Genr Set 10 KVA (M/s Kirloskar) (MRPI Taurus)</t>
  </si>
  <si>
    <t>Genr Set 11 KVA (M/s Trading Engr) (Commerical)</t>
  </si>
  <si>
    <t>Genr Set 11 KVA (M/s Prakash Diesel) (Commerical)</t>
  </si>
  <si>
    <t>Genr Set 11 KVA (M/s Greaves) (Commerical)</t>
  </si>
  <si>
    <t>Genr Set 11.2 KVA (M/s Paras) (Commerical)</t>
  </si>
  <si>
    <t>Genr Set 11.2 KVA (M/s Kirloskar) (Commerical)</t>
  </si>
  <si>
    <t>Genr Set 15 KVA (M/s Kirloskar) (Project samvhoak)</t>
  </si>
  <si>
    <t>Genr Set 15 KVA (M/s Mak Control Ltd) (LIC EW Sys)</t>
  </si>
  <si>
    <t>Genr Set 15 KVA (M/s Kubota) (Pinaka Wpn Sys)</t>
  </si>
  <si>
    <t>Genr Set 15 KVA (Cooper) (Akash Wpn Sys)</t>
  </si>
  <si>
    <t>Alternator 16 KW (Yanmar) (Smerch Amn Sys)</t>
  </si>
  <si>
    <t>Alternator 18 KW (Yanmar) (Smerch Amn Sys)</t>
  </si>
  <si>
    <t>Genr Set 15 KVA (M/s Graves) (Commercial)</t>
  </si>
  <si>
    <t>Genr Set 19 KVA (M/s Kirlosakar) (Lorros)</t>
  </si>
  <si>
    <t>Genr Set 19 KVA (Volkswagen) (Radar fly Catcher)</t>
  </si>
  <si>
    <t>Genr Set 19 KVA (Deutz) (Radar fly Catcher)</t>
  </si>
  <si>
    <t>Genr Set 19 KVA (M/s Graves) (Commercial)</t>
  </si>
  <si>
    <t>Genr Set 19 KVA (M/s Trading Engr) (Commercial)</t>
  </si>
  <si>
    <t>Genr Set 20 KVA (Deutz) (Brahmos Wpn Sys)</t>
  </si>
  <si>
    <t>Genr Set 25 KVA (M/s TASL &amp; M/s L&amp;T)</t>
  </si>
  <si>
    <t>Genr Set 25 KVA (M/s Kirloskar) (Akash Wpn Sys)</t>
  </si>
  <si>
    <t>Genr Set 25 KVA (M/s Honda) (Akash Wpn Sys)</t>
  </si>
  <si>
    <t>Genr Set 25 KVA (M/s Mak Control Ltd) (LIC EW Sys)</t>
  </si>
  <si>
    <t>Genr Set 30 KVA (M/s Kubota) (Brahmos Wpn Sys)</t>
  </si>
  <si>
    <t>Genr Set 30 KVA (M/s Trading Engr) (Commercial)</t>
  </si>
  <si>
    <t>Genr Set 30 KVA (M/s Graves) (Commercial)</t>
  </si>
  <si>
    <t>Genr Set 30 KVA (Deutz) (Akash Wpn Sys)</t>
  </si>
  <si>
    <t>Genr Set 40 KVA (M/s Deutz) (Brahmos Wpn Sys)</t>
  </si>
  <si>
    <t>Genr Set 40 KVA (M/s Graves) (Commercial)</t>
  </si>
  <si>
    <t>Genr Set 90 KVA (Deutz) (Akash Wpn Sys)</t>
  </si>
  <si>
    <t>Genr Set 100 KVA (M/s Kirloaskar) (3D TCR)</t>
  </si>
  <si>
    <t>Genr Set 100 KVA (M/s BEML) (OSA-AK Wpn Sys)</t>
  </si>
  <si>
    <t>Genr Set 100 KVA (M/s Mak Control Ltd)</t>
  </si>
  <si>
    <t>Genr Set 115 KVA (M/s Kirloskar) (WLR)</t>
  </si>
  <si>
    <t>Genr Set 225 KVA (M/s Mak Control Ltd)</t>
  </si>
  <si>
    <t>Hyd Mob Crane Hy duty</t>
  </si>
  <si>
    <t>Tractor 6x6 Brake down Hy</t>
  </si>
  <si>
    <t>Tlr 1 Ton 2 WH Wksp servicing</t>
  </si>
  <si>
    <t>Tlr 500 Kg 2 WH Electric welding</t>
  </si>
  <si>
    <t>Ly 10 Ton 6x6 BLT</t>
  </si>
  <si>
    <t>Tlr 1 Ton 2 WH Water 1000 Ltr</t>
  </si>
  <si>
    <t>Tlr 1 Ton 2 WH 11.2 KVA</t>
  </si>
  <si>
    <t>Tlr 2 Ton 4 Wheeled</t>
  </si>
  <si>
    <t>Tlr 1 Ton 2 Wheeled</t>
  </si>
  <si>
    <t>Tlr 3 Ton 4 Wheeled</t>
  </si>
  <si>
    <t>Genr Set 12 KVA</t>
  </si>
  <si>
    <t>Welding Genr</t>
  </si>
  <si>
    <t>5 KVA Gen Set (krikoskar)</t>
  </si>
  <si>
    <t>750 V Amp (Honda)</t>
  </si>
  <si>
    <t>Genr set 5 KVA</t>
  </si>
  <si>
    <t>OBM 4 BHP (Tohatsu) Model No M4CS</t>
  </si>
  <si>
    <t xml:space="preserve">OMB 3.3 HP Marriner </t>
  </si>
  <si>
    <t xml:space="preserve">Genr set 25 KVA </t>
  </si>
  <si>
    <t>Genr set 5.5 KVA</t>
  </si>
  <si>
    <t>Genr Set 2.2 KVA</t>
  </si>
  <si>
    <t>Genr Set 2 KVA</t>
  </si>
  <si>
    <t xml:space="preserve">Genr set 125 kVA </t>
  </si>
  <si>
    <t>Genr set 12.5 KVA</t>
  </si>
  <si>
    <t>Genr Set 15 KVA</t>
  </si>
  <si>
    <t xml:space="preserve">Plant Spraying Paint </t>
  </si>
  <si>
    <t>Plant Washing Two Gun Floor Mtd Motor Driven</t>
  </si>
  <si>
    <t>Wksp Serviceing Tlr 1 Ton</t>
  </si>
  <si>
    <t>Tracked light Dozer</t>
  </si>
  <si>
    <t>Crawler tractor Size II with AD &amp; Winch</t>
  </si>
  <si>
    <t>Crawler tractor Size II with AD &amp;Gainy Riper</t>
  </si>
  <si>
    <t xml:space="preserve">Air compressor Guru Kripa (Indian made) </t>
  </si>
  <si>
    <t>Air compressor (ELGI Eqpt Limt Coimbatore Indian)</t>
  </si>
  <si>
    <t>Pick and carry Crane</t>
  </si>
  <si>
    <t>Night sight SRS-5</t>
  </si>
  <si>
    <t>Bino Prism COD 40mm</t>
  </si>
  <si>
    <t>Bino hand with Rdr USFM</t>
  </si>
  <si>
    <t>Thermametr all type</t>
  </si>
  <si>
    <t>Tlr 1 Ton 2 Wheel Elect Welding</t>
  </si>
  <si>
    <t>FLTs 3 Ton</t>
  </si>
  <si>
    <t>Cicago Pneumatic</t>
  </si>
  <si>
    <t>Camopflate  eqpt</t>
  </si>
  <si>
    <t>Mine Deecting Set Sciebel 19/2AN/Matex</t>
  </si>
  <si>
    <t>Shaft assy Flexible 17.5 mm x 2440mm</t>
  </si>
  <si>
    <t>Shaft assy Flexible 17.5 mm x 4880mm</t>
  </si>
  <si>
    <t>Shaft assy Flexible 17.5 mm x 7320mm</t>
  </si>
  <si>
    <t>Shaft assy Flexible 22 mm x 1220mm</t>
  </si>
  <si>
    <t>Shaft assy Flexible 22 mm x 2440mm</t>
  </si>
  <si>
    <t>Bty Charger 5.56 KW</t>
  </si>
  <si>
    <t>30 KVA (Ruston)</t>
  </si>
  <si>
    <t>30 KVA (Ready Poer)</t>
  </si>
  <si>
    <t>30 KVA(Almot)</t>
  </si>
  <si>
    <t>Chg Set 2 KW</t>
  </si>
  <si>
    <t>Gen Set5 KVA (Honda)</t>
  </si>
  <si>
    <t>FMN READINESS STATE :  C VEHS</t>
  </si>
  <si>
    <t>Mine prodder ID Mk-II</t>
  </si>
  <si>
    <r>
      <rPr>
        <b/>
        <u/>
        <sz val="12"/>
        <rFont val="Arial"/>
        <family val="2"/>
      </rPr>
      <t>Appx C</t>
    </r>
    <r>
      <rPr>
        <u/>
        <sz val="12"/>
        <rFont val="Arial"/>
        <family val="2"/>
      </rPr>
      <t xml:space="preserve">
</t>
    </r>
  </si>
  <si>
    <t>Appx A (A veh)</t>
  </si>
  <si>
    <t>Gen Set 11 KVA (Ready Power)</t>
  </si>
  <si>
    <t xml:space="preserve">Remarks
(Demand details of VOR/EOA ) </t>
  </si>
  <si>
    <t>Pneumatic Boat  Assault Universal type</t>
  </si>
  <si>
    <t xml:space="preserve">Boat Assault Light Weight Universal/1A </t>
  </si>
  <si>
    <t xml:space="preserve">RRV 5/7.5 Ton </t>
  </si>
  <si>
    <t>RRV 2.5 Ton</t>
  </si>
  <si>
    <t>RRV MG</t>
  </si>
  <si>
    <t>Multi Purpose Power Tractor</t>
  </si>
  <si>
    <t>Addl Eqpt</t>
  </si>
  <si>
    <t>Water Browser</t>
  </si>
  <si>
    <t>Landing Craft Assualt</t>
  </si>
  <si>
    <t>Reflex Sight (holographic) for INSAS Rif</t>
  </si>
  <si>
    <t>Jeep Tlr 500 Kg</t>
  </si>
  <si>
    <t>Gen Set 11 KVA Tlr Mtd</t>
  </si>
  <si>
    <t>Gen Set 5.6 KW (Project Shakti)</t>
  </si>
  <si>
    <t>Commercial Honda EXK 2800 (2.4 for BFSR EL/M)</t>
  </si>
  <si>
    <t>Gen Set 5.6 KW (Bty Charger)</t>
  </si>
  <si>
    <t>7.62mm AK-203 Aslt Rif</t>
  </si>
  <si>
    <t>Genr Set 7.5 KVA</t>
  </si>
  <si>
    <t>Genr Set 17 KVA</t>
  </si>
  <si>
    <t>Honda Power Gen Model EM4500 SX (4.5 KVA for LORROS &amp; Digicora)</t>
  </si>
  <si>
    <t>Appx  G</t>
  </si>
  <si>
    <t>FMN READINESS STATE :  NGEs</t>
  </si>
  <si>
    <t>Serviceability State</t>
  </si>
  <si>
    <t>Defect</t>
  </si>
  <si>
    <t>Date of EOA</t>
  </si>
  <si>
    <t>NMC</t>
  </si>
  <si>
    <t>PMC</t>
  </si>
  <si>
    <t>Svl Copter</t>
  </si>
  <si>
    <t>Ballistic Helmet for SIKH Tps</t>
  </si>
  <si>
    <t>Body Worn Camera Sys</t>
  </si>
  <si>
    <t>ALS GS Mk-IV (Amn veh)</t>
  </si>
  <si>
    <t>Hydraulic Mech Crane</t>
  </si>
  <si>
    <t>Ashok Leyland 10 x10 with MHC (SMERCH)</t>
  </si>
  <si>
    <t>BEML Tatra 816 12 x12 (BRAHMOS)</t>
  </si>
  <si>
    <t>Ashok Leyland 10 x10 without MHC (SMERCH)</t>
  </si>
  <si>
    <t>Inertial Navigation Sys (INS)</t>
  </si>
  <si>
    <t>Grnd Sp Eqpt (GSE) of Ae Tgt Sys (ATS)</t>
  </si>
  <si>
    <t>Upgraded Long Rg Sys (ULRS)</t>
  </si>
  <si>
    <t>Tk 2.5 Ton TATA Trl Mtd with GSE of ATS</t>
  </si>
  <si>
    <t>Multipurpose Thermal Monocular Sight with LRF (MTMSL)</t>
  </si>
  <si>
    <t>Double Drum Roller</t>
  </si>
  <si>
    <t>TV Camera</t>
  </si>
  <si>
    <t>TI Camera (Rdr FWCS)</t>
  </si>
  <si>
    <t xml:space="preserve">Remarks (To incl present loc of eqpt EOA)
 </t>
  </si>
  <si>
    <t xml:space="preserve">Remarks (To incl present loc of eqpt EOA) 
                       </t>
  </si>
  <si>
    <t>HHC MK-II (Project Shakti)</t>
  </si>
  <si>
    <t>ETC MK-II &amp; III (Project Shakti)</t>
  </si>
  <si>
    <t>ETC MK-IV&amp;V (Project Shakti)</t>
  </si>
  <si>
    <t>GDU Mk-II&amp;III (Project Shakti)</t>
  </si>
  <si>
    <t>LIU/LTU MK-II&amp;III (Project Shakti)</t>
  </si>
  <si>
    <t>MINI RPAs</t>
  </si>
  <si>
    <t xml:space="preserve">Micro RPA (Black Hornet ) </t>
  </si>
  <si>
    <t>155/39 mm 
M777 A2 ULH</t>
  </si>
  <si>
    <t>Spotter Scope With Digital Camera</t>
  </si>
  <si>
    <t xml:space="preserve">NIMBUS </t>
  </si>
  <si>
    <t xml:space="preserve">BELUGA  </t>
  </si>
  <si>
    <t>Loiter Munition Sys</t>
  </si>
  <si>
    <t>Lgs Drone (Med Alt)</t>
  </si>
  <si>
    <t>Lgs Drone (High Alt)</t>
  </si>
  <si>
    <t>SIG SAUER 716
 ASLT RIF</t>
  </si>
  <si>
    <t>NEGEV LMG 
7.62 MM</t>
  </si>
  <si>
    <t>8.6MM Sniper SAKO TRG-42</t>
  </si>
  <si>
    <t xml:space="preserve">AK-203 Rif </t>
  </si>
  <si>
    <t>RIF 12 BORE SHORT GUN (PUMP ACTION)</t>
  </si>
  <si>
    <t>Loiter Munition (Trg Bird)</t>
  </si>
  <si>
    <t>Holographic Sight for 5.56mm INSAS Rif</t>
  </si>
  <si>
    <t>84mm RL Mk-IV (Lt Wt RL)</t>
  </si>
  <si>
    <t>Fork Multi Purpose Tractor</t>
  </si>
  <si>
    <t>Spider Excavator Kaiser S2 (10 Ton)</t>
  </si>
  <si>
    <t>Crawler Tractor with Rock drill Med</t>
  </si>
  <si>
    <t>High Head Water Pump</t>
  </si>
  <si>
    <t>HHTI (Uncooled)</t>
  </si>
  <si>
    <t>LRSS RAJAK</t>
  </si>
  <si>
    <t>Proj Shakti (Ph- III)</t>
  </si>
  <si>
    <t>DMEU</t>
  </si>
  <si>
    <t>Radio Squad Version Handheld (UHF)</t>
  </si>
  <si>
    <t>Radio very High Frequency (VHF)</t>
  </si>
  <si>
    <t>HF/VHF Manpack Version</t>
  </si>
  <si>
    <t>Radio Squad Team Leader Vehicular ver</t>
  </si>
  <si>
    <t>Portabel Fuel Cell Based Bty Charger</t>
  </si>
  <si>
    <t>Fuel Cell Genr</t>
  </si>
  <si>
    <t>Fuel Cell Charger</t>
  </si>
  <si>
    <t xml:space="preserve">Veh Satl Comn Sys </t>
  </si>
  <si>
    <t>Remotely Piloted Aerial Veh (RPAV)</t>
  </si>
  <si>
    <t>Reflex Sight (Holographic)</t>
  </si>
  <si>
    <t>GPADS (Microfly)</t>
  </si>
  <si>
    <t>Mini UAV (Switch)</t>
  </si>
  <si>
    <t>Quadcopter (Low End)</t>
  </si>
  <si>
    <t>Robotic Mule</t>
  </si>
  <si>
    <t>Black Hornet Nano Drone</t>
  </si>
  <si>
    <t>Long Range Svl Sys TATA RAJAK</t>
  </si>
  <si>
    <t>Aerial Tgt Sys with 120x Loitering Munition</t>
  </si>
  <si>
    <t>Avl  Rescue Rdr</t>
  </si>
  <si>
    <t>HHTI Uncooled</t>
  </si>
  <si>
    <t>GPS (Rover) (Differential Global Positioning Sys)</t>
  </si>
  <si>
    <t>Multi Purpose Thermal Monocular sight with LRF (MTMSL)</t>
  </si>
  <si>
    <t>AMFDC Mk-III (Automated Mortar Fire Data Controller)</t>
  </si>
  <si>
    <t>Reflex Sight (Holographic Sight)</t>
  </si>
  <si>
    <t>MKBT (Main-Portable Ku-Band Satellite Comn)</t>
  </si>
  <si>
    <t>Rif 7.62MM AK-203</t>
  </si>
  <si>
    <t>7.62MM Aslf Rif Sig 716</t>
  </si>
  <si>
    <t>7.62MM Negev LMG</t>
  </si>
  <si>
    <t>0.338" SAKO Trg 42 Sniper Rif</t>
  </si>
  <si>
    <t>IDD &amp; IS</t>
  </si>
  <si>
    <t>MSST</t>
  </si>
  <si>
    <t>Akashteer</t>
  </si>
  <si>
    <t>Unmanned Aerial veh Launched precision guided MSls (ULPGM)</t>
  </si>
  <si>
    <t>Nano Drone</t>
  </si>
  <si>
    <t>Tethered drone</t>
  </si>
  <si>
    <t>MPCDS</t>
  </si>
  <si>
    <t>ULPGM</t>
  </si>
  <si>
    <t>Quadcopter (High End)</t>
  </si>
  <si>
    <t>Hiornet</t>
  </si>
  <si>
    <t>Spike Lr</t>
  </si>
  <si>
    <t>Ni Si (TI) for MMG</t>
  </si>
  <si>
    <t>Drone Jx</t>
  </si>
  <si>
    <t>Drone Spoofer</t>
  </si>
  <si>
    <t>Veh Comn Sys (UHF/ VHF</t>
  </si>
  <si>
    <t>Soldier Comn Sys</t>
  </si>
  <si>
    <t>Leader (Sqn/Tp/Team) Comn Sys Hand Held</t>
  </si>
  <si>
    <t>HF/VHF/M/P Comn with 150W</t>
  </si>
  <si>
    <t>M/P &amp; Veh salt Comn Sys</t>
  </si>
  <si>
    <t>Lg Rg Svl Sys</t>
  </si>
  <si>
    <t>TIM/ TISK</t>
  </si>
  <si>
    <t>BAMI (Boot Anti Mine Inf)</t>
  </si>
  <si>
    <t>ALNS</t>
  </si>
  <si>
    <t>RCWS</t>
  </si>
  <si>
    <t>Dvr Ni Si</t>
  </si>
  <si>
    <t>MST</t>
  </si>
  <si>
    <t>Any other svl eqpt</t>
  </si>
  <si>
    <t>xxxxxx</t>
  </si>
  <si>
    <t xml:space="preserve"> NGEs</t>
  </si>
  <si>
    <t>NGVs</t>
  </si>
  <si>
    <t>Lt Strike Veh</t>
  </si>
  <si>
    <t>Lt Spl Veh</t>
  </si>
  <si>
    <t>ATV RZR X4 PRO</t>
  </si>
  <si>
    <t>ATV Big Boss
(Op Wks)</t>
  </si>
  <si>
    <t>ATV MRZR-4</t>
  </si>
  <si>
    <t>SSL (BOBCAT)</t>
  </si>
  <si>
    <t>FBT (Bharat Benz)</t>
  </si>
  <si>
    <t>Lgs Rough Trn Vehs</t>
  </si>
  <si>
    <t>Tactical Load  Hauler</t>
  </si>
  <si>
    <t>Spider Excavator Kiser S2</t>
  </si>
  <si>
    <t>High Head water pump with Acessories</t>
  </si>
  <si>
    <t>Spl Mob Veh (SMV)</t>
  </si>
  <si>
    <t>IPMV</t>
  </si>
  <si>
    <t>HMRV (High Mobility Reece Veh)</t>
  </si>
  <si>
    <t>Interlocking Block Machin</t>
  </si>
  <si>
    <t>Patrol Boat</t>
  </si>
  <si>
    <t>Heavy Excavator</t>
  </si>
  <si>
    <t>Heavy Duty Wagon Drill</t>
  </si>
  <si>
    <t>VMIMS (VENERO)</t>
  </si>
  <si>
    <t>10MM  Short Span Bridge</t>
  </si>
  <si>
    <t>RCIED</t>
  </si>
  <si>
    <t>Genr Set 13 KVA (Yanmar)</t>
  </si>
  <si>
    <t>Genr D-120 (TLV)</t>
  </si>
  <si>
    <t>-</t>
  </si>
  <si>
    <t>206 x Rif 5.56mm INSAS of 1872 Rkt Regt held in lieu of Assault Rif.</t>
  </si>
  <si>
    <t>Sub Caliber Adoptor for 84mm RL</t>
  </si>
  <si>
    <t>MET Radar</t>
  </si>
  <si>
    <t>Gen Set 19 KVA (M/s kirloskar) Commercial</t>
  </si>
  <si>
    <t>Smerch MRLS</t>
  </si>
  <si>
    <t>01 x NMC for Control unit, SOCRIGS &amp; Block AP faulty &amp; demanded. 
01 x PMC for Control Unit demanded.</t>
  </si>
  <si>
    <t>01x veh EOA due to Crane Portion UNSV. Case has been taken up for incl in BOH. Consideration for incl in yr 2026-27 has been recd vide hQ BWG letter No 70303/HRV AV-15/P1B dt 26 Jun 2025.</t>
  </si>
  <si>
    <t>MET-I &amp; MET-II</t>
  </si>
  <si>
    <t>BEMLTatra T-816 10 x10 (SMERCH)</t>
  </si>
  <si>
    <t xml:space="preserve">Appx B
                                                                                                                                                                                                                          </t>
  </si>
  <si>
    <t>ULSB MK-II</t>
  </si>
  <si>
    <t>Compass Prism Liquid MK-III</t>
  </si>
  <si>
    <t>01x WWR</t>
  </si>
  <si>
    <t>FILL GUN STARS V MK-I/II (5W/25W)</t>
  </si>
  <si>
    <t>Genr Set 1 KVA (Mini RPAS)</t>
  </si>
  <si>
    <t>Fitted on CSV &amp; MRS</t>
  </si>
  <si>
    <t>Fitted on MET</t>
  </si>
  <si>
    <t>Fitted on MRS</t>
  </si>
  <si>
    <t>Mast Telescopic 11.4 Mtr</t>
  </si>
  <si>
    <t>Genr Set 5.6 KVA with Tlr</t>
  </si>
  <si>
    <t>Sub Caliber Tube 9P623</t>
  </si>
  <si>
    <t>Eqpt incl as per EME-1 return Sep 2025.
01xSub Caliber tube EOA since 2013.</t>
  </si>
  <si>
    <t>02 x VOR for Electronic Control Unit (ECU) demanded for TLV &amp; LV.</t>
  </si>
  <si>
    <t>Held qty inreased in EME-1 Return</t>
  </si>
  <si>
    <t>FMN READINESS STATE : 'B' VEH OF 174 (I) RKT REGT WKSP (SMERCH) FOR THE MONTH OF Oct 2025</t>
  </si>
  <si>
    <t>Appx  D</t>
  </si>
  <si>
    <t>STATUS OF DEFECT RECORS OF CBRN EQPT TO BE SUSTAINED BY EME</t>
  </si>
  <si>
    <t>S/No</t>
  </si>
  <si>
    <t xml:space="preserve">Make &amp; Type </t>
  </si>
  <si>
    <t>Remarks</t>
  </si>
  <si>
    <t xml:space="preserve">Reader for Personal Dosimeter ( RPL Dosimeter Reader Mk- II) </t>
  </si>
  <si>
    <t>Automated Chemical Agent Detection &amp; Alarm Sys (ACADA)</t>
  </si>
  <si>
    <t>Chemical Agent Monitor (CAM)</t>
  </si>
  <si>
    <t>Individual Chemical Agent Detector (ICAD)</t>
  </si>
  <si>
    <t>Multi purpose Decn Sys (MPDS)</t>
  </si>
  <si>
    <t>Integrated Field Selter (IFS)</t>
  </si>
  <si>
    <t>CBRN Water Purification Sys Stallion Mounted</t>
  </si>
  <si>
    <t xml:space="preserve">Dependency </t>
  </si>
  <si>
    <t>UNSV</t>
  </si>
  <si>
    <t xml:space="preserve">Auth </t>
  </si>
  <si>
    <t>Held</t>
  </si>
  <si>
    <t>DRWO</t>
  </si>
  <si>
    <t>DR Raised</t>
  </si>
  <si>
    <t>S'</t>
  </si>
  <si>
    <r>
      <rPr>
        <sz val="12"/>
        <rFont val="Arial"/>
        <family val="2"/>
      </rPr>
      <t>02 x Maruti Jimny held against ACSFP Store.</t>
    </r>
    <r>
      <rPr>
        <sz val="12"/>
        <color rgb="FFFF0000"/>
        <rFont val="Arial"/>
        <family val="2"/>
      </rPr>
      <t xml:space="preserve">
02 Bolero Pick up collected from 41 Veh coy Guwahati on 23 Oct 25 against ACSFP Store.</t>
    </r>
  </si>
  <si>
    <t>(a) 05 x CSV.
(b) 03 x MRS-AR</t>
  </si>
  <si>
    <t xml:space="preserve">03x CM decl R4 { (Retaining Cap) RRC sear off }    during AI Insp of Small Arms of 1872 Rkt Regt </t>
  </si>
  <si>
    <t>Card recd from 33 CZW on 24 Nov 2025. Eqpt ser</t>
  </si>
  <si>
    <t xml:space="preserve">Regd No 0666, 01 x A2FH card fwd to 33 CZW on 28 Aug 25. 01x A2FH Card recd.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</si>
</sst>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1"/>
      <color indexed="8"/>
      <name val="Calibri"/>
      <family val="2"/>
    </font>
    <font>
      <b/>
      <u/>
      <sz val="14"/>
      <name val="Arial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3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</cellStyleXfs>
  <cellXfs count="4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/>
    <xf numFmtId="0" fontId="3" fillId="2" borderId="0" xfId="5" applyFont="1" applyFill="1" applyAlignment="1">
      <alignment vertical="center"/>
    </xf>
    <xf numFmtId="0" fontId="3" fillId="2" borderId="1" xfId="2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10" fontId="9" fillId="2" borderId="3" xfId="3" applyNumberFormat="1" applyFont="1" applyFill="1" applyBorder="1" applyAlignment="1" applyProtection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justify" vertical="center" wrapText="1"/>
      <protection locked="0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11" fillId="3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indent="2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vertical="top" wrapText="1"/>
      <protection locked="0"/>
    </xf>
    <xf numFmtId="49" fontId="3" fillId="2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wrapText="1"/>
    </xf>
    <xf numFmtId="0" fontId="10" fillId="2" borderId="0" xfId="0" applyFont="1" applyFill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 indent="2"/>
    </xf>
    <xf numFmtId="0" fontId="4" fillId="2" borderId="0" xfId="0" applyFont="1" applyFill="1" applyAlignment="1">
      <alignment horizontal="center"/>
    </xf>
    <xf numFmtId="0" fontId="5" fillId="2" borderId="4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3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8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left" vertical="center"/>
    </xf>
    <xf numFmtId="0" fontId="3" fillId="2" borderId="4" xfId="0" applyFont="1" applyFill="1" applyBorder="1"/>
    <xf numFmtId="0" fontId="3" fillId="2" borderId="5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horizontal="left" wrapText="1" indent="2"/>
      <protection locked="0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90"/>
    </xf>
    <xf numFmtId="1" fontId="4" fillId="2" borderId="1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/>
    <xf numFmtId="0" fontId="16" fillId="2" borderId="0" xfId="0" applyFont="1" applyFill="1"/>
    <xf numFmtId="0" fontId="16" fillId="2" borderId="0" xfId="0" applyFont="1" applyFill="1" applyAlignment="1">
      <alignment vertical="center"/>
    </xf>
    <xf numFmtId="0" fontId="3" fillId="2" borderId="0" xfId="0" applyFont="1" applyFill="1" applyAlignment="1">
      <alignment vertical="top" wrapText="1"/>
    </xf>
    <xf numFmtId="10" fontId="3" fillId="2" borderId="2" xfId="3" applyNumberFormat="1" applyFont="1" applyFill="1" applyBorder="1" applyAlignment="1" applyProtection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top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top"/>
    </xf>
    <xf numFmtId="1" fontId="3" fillId="2" borderId="1" xfId="0" applyNumberFormat="1" applyFont="1" applyFill="1" applyBorder="1" applyAlignment="1">
      <alignment horizontal="center"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wrapText="1"/>
      <protection locked="0"/>
    </xf>
    <xf numFmtId="0" fontId="3" fillId="2" borderId="1" xfId="5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>
      <alignment horizontal="left" vertical="top" wrapText="1"/>
    </xf>
    <xf numFmtId="0" fontId="3" fillId="2" borderId="5" xfId="0" applyFont="1" applyFill="1" applyBorder="1" applyAlignment="1" applyProtection="1">
      <alignment wrapText="1"/>
      <protection locked="0"/>
    </xf>
    <xf numFmtId="0" fontId="3" fillId="2" borderId="1" xfId="0" applyFont="1" applyFill="1" applyBorder="1" applyAlignment="1" applyProtection="1">
      <alignment horizontal="center" vertical="top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Protection="1">
      <protection locked="0"/>
    </xf>
    <xf numFmtId="0" fontId="12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5" applyFont="1" applyFill="1" applyBorder="1" applyAlignment="1" applyProtection="1">
      <alignment vertical="top" wrapText="1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5" applyFont="1" applyFill="1" applyBorder="1" applyAlignment="1" applyProtection="1">
      <alignment vertical="top"/>
      <protection locked="0"/>
    </xf>
    <xf numFmtId="0" fontId="4" fillId="2" borderId="1" xfId="0" applyFont="1" applyFill="1" applyBorder="1" applyAlignment="1" applyProtection="1">
      <alignment horizontal="center" wrapText="1"/>
      <protection locked="0"/>
    </xf>
    <xf numFmtId="0" fontId="16" fillId="2" borderId="1" xfId="0" applyFont="1" applyFill="1" applyBorder="1" applyAlignment="1" applyProtection="1">
      <alignment vertical="top" wrapText="1"/>
      <protection locked="0"/>
    </xf>
    <xf numFmtId="0" fontId="3" fillId="2" borderId="0" xfId="0" applyFont="1" applyFill="1" applyProtection="1">
      <protection locked="0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3" fillId="2" borderId="4" xfId="0" applyFont="1" applyFill="1" applyBorder="1" applyProtection="1">
      <protection locked="0"/>
    </xf>
    <xf numFmtId="0" fontId="6" fillId="2" borderId="0" xfId="0" applyFont="1" applyFill="1" applyAlignment="1">
      <alignment vertical="top" wrapText="1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 indent="2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2" fontId="3" fillId="2" borderId="0" xfId="0" applyNumberFormat="1" applyFont="1" applyFill="1" applyAlignment="1">
      <alignment horizont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2" fontId="3" fillId="2" borderId="12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3" fillId="2" borderId="1" xfId="5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0" fontId="3" fillId="2" borderId="1" xfId="5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top"/>
      <protection locked="0"/>
    </xf>
    <xf numFmtId="1" fontId="3" fillId="2" borderId="5" xfId="0" applyNumberFormat="1" applyFont="1" applyFill="1" applyBorder="1" applyAlignment="1">
      <alignment vertical="top" wrapText="1"/>
    </xf>
    <xf numFmtId="1" fontId="3" fillId="2" borderId="5" xfId="0" applyNumberFormat="1" applyFont="1" applyFill="1" applyBorder="1" applyAlignment="1">
      <alignment vertical="center" wrapText="1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3" fillId="2" borderId="1" xfId="5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 applyProtection="1">
      <alignment horizontal="left" vertical="center"/>
      <protection locked="0"/>
    </xf>
    <xf numFmtId="0" fontId="5" fillId="2" borderId="1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7" fillId="2" borderId="1" xfId="0" applyFont="1" applyFill="1" applyBorder="1" applyAlignment="1" applyProtection="1">
      <alignment horizontal="left" vertical="top" wrapText="1"/>
      <protection locked="0"/>
    </xf>
    <xf numFmtId="0" fontId="17" fillId="2" borderId="1" xfId="5" applyFont="1" applyFill="1" applyBorder="1" applyAlignment="1" applyProtection="1">
      <alignment horizontal="left" vertical="center" wrapText="1"/>
      <protection locked="0"/>
    </xf>
    <xf numFmtId="0" fontId="17" fillId="2" borderId="1" xfId="5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3" fillId="4" borderId="0" xfId="5" applyFont="1" applyFill="1" applyAlignment="1">
      <alignment vertical="center"/>
    </xf>
    <xf numFmtId="0" fontId="4" fillId="4" borderId="0" xfId="0" applyFont="1" applyFill="1" applyAlignment="1">
      <alignment horizontal="center" vertical="center" wrapText="1" readingOrder="1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/>
      <protection locked="0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16" fillId="4" borderId="0" xfId="0" applyFont="1" applyFill="1"/>
    <xf numFmtId="0" fontId="17" fillId="2" borderId="1" xfId="0" applyFont="1" applyFill="1" applyBorder="1" applyAlignment="1">
      <alignment horizontal="left" vertical="center" wrapText="1"/>
    </xf>
    <xf numFmtId="0" fontId="17" fillId="2" borderId="1" xfId="5" applyFont="1" applyFill="1" applyBorder="1" applyAlignment="1">
      <alignment horizontal="left" vertical="center" wrapText="1"/>
    </xf>
    <xf numFmtId="0" fontId="17" fillId="2" borderId="1" xfId="0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wrapText="1"/>
    </xf>
    <xf numFmtId="15" fontId="9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10" fontId="17" fillId="2" borderId="4" xfId="3" applyNumberFormat="1" applyFont="1" applyFill="1" applyBorder="1" applyAlignment="1" applyProtection="1">
      <alignment horizontal="left" vertical="center" wrapText="1"/>
    </xf>
    <xf numFmtId="10" fontId="3" fillId="2" borderId="0" xfId="3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1" xfId="5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Protection="1">
      <protection locked="0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center"/>
    </xf>
    <xf numFmtId="0" fontId="18" fillId="2" borderId="1" xfId="0" applyFont="1" applyFill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3" fillId="0" borderId="1" xfId="5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0" fontId="18" fillId="0" borderId="1" xfId="0" applyFont="1" applyBorder="1" applyAlignment="1" applyProtection="1">
      <alignment horizontal="left" vertical="top" wrapText="1"/>
      <protection locked="0"/>
    </xf>
    <xf numFmtId="0" fontId="17" fillId="0" borderId="1" xfId="0" applyFont="1" applyBorder="1" applyAlignment="1">
      <alignment horizontal="left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2" xfId="0" applyFont="1" applyBorder="1"/>
    <xf numFmtId="0" fontId="3" fillId="0" borderId="1" xfId="0" applyFont="1" applyBorder="1" applyAlignment="1">
      <alignment horizontal="left" vertical="center"/>
    </xf>
    <xf numFmtId="0" fontId="17" fillId="2" borderId="1" xfId="0" applyFont="1" applyFill="1" applyBorder="1" applyAlignment="1" applyProtection="1">
      <alignment horizontal="left" vertical="top"/>
      <protection locked="0"/>
    </xf>
    <xf numFmtId="0" fontId="19" fillId="2" borderId="0" xfId="0" applyFont="1" applyFill="1"/>
    <xf numFmtId="10" fontId="3" fillId="2" borderId="1" xfId="3" applyNumberFormat="1" applyFont="1" applyFill="1" applyBorder="1" applyAlignment="1" applyProtection="1">
      <alignment horizontal="center" vertical="top"/>
    </xf>
    <xf numFmtId="1" fontId="3" fillId="2" borderId="1" xfId="0" applyNumberFormat="1" applyFont="1" applyFill="1" applyBorder="1" applyAlignment="1" applyProtection="1">
      <alignment horizontal="center" vertical="top"/>
      <protection locked="0"/>
    </xf>
    <xf numFmtId="1" fontId="3" fillId="2" borderId="1" xfId="0" applyNumberFormat="1" applyFont="1" applyFill="1" applyBorder="1" applyAlignment="1">
      <alignment horizontal="center" vertical="top" wrapText="1"/>
    </xf>
    <xf numFmtId="0" fontId="21" fillId="2" borderId="0" xfId="0" applyFont="1" applyFill="1" applyAlignment="1">
      <alignment horizontal="left" indent="2"/>
    </xf>
    <xf numFmtId="0" fontId="17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17" fillId="0" borderId="0" xfId="0" applyFont="1"/>
    <xf numFmtId="0" fontId="3" fillId="0" borderId="1" xfId="2" applyFont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wrapText="1"/>
    </xf>
    <xf numFmtId="0" fontId="3" fillId="2" borderId="1" xfId="6" applyFont="1" applyFill="1" applyBorder="1" applyAlignment="1">
      <alignment vertical="top" wrapText="1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20" fillId="2" borderId="1" xfId="0" applyFont="1" applyFill="1" applyBorder="1" applyAlignment="1" applyProtection="1">
      <alignment vertical="top" wrapText="1"/>
      <protection locked="0"/>
    </xf>
    <xf numFmtId="1" fontId="4" fillId="2" borderId="1" xfId="0" applyNumberFormat="1" applyFont="1" applyFill="1" applyBorder="1" applyAlignment="1" applyProtection="1">
      <alignment horizontal="center" vertical="top"/>
      <protection locked="0"/>
    </xf>
    <xf numFmtId="1" fontId="4" fillId="2" borderId="1" xfId="0" applyNumberFormat="1" applyFont="1" applyFill="1" applyBorder="1" applyAlignment="1">
      <alignment horizontal="center" vertical="top"/>
    </xf>
    <xf numFmtId="1" fontId="4" fillId="2" borderId="1" xfId="0" applyNumberFormat="1" applyFont="1" applyFill="1" applyBorder="1" applyAlignment="1">
      <alignment horizontal="center" vertical="top" wrapText="1"/>
    </xf>
    <xf numFmtId="10" fontId="4" fillId="2" borderId="1" xfId="3" applyNumberFormat="1" applyFont="1" applyFill="1" applyBorder="1" applyAlignment="1" applyProtection="1">
      <alignment horizontal="center" vertical="top"/>
    </xf>
    <xf numFmtId="0" fontId="20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0" fillId="2" borderId="1" xfId="0" applyFont="1" applyFill="1" applyBorder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/>
    </xf>
    <xf numFmtId="0" fontId="20" fillId="2" borderId="1" xfId="0" applyFont="1" applyFill="1" applyBorder="1" applyAlignment="1" applyProtection="1">
      <alignment horizontal="left" vertical="top" wrapText="1"/>
      <protection locked="0"/>
    </xf>
    <xf numFmtId="0" fontId="23" fillId="2" borderId="0" xfId="0" applyFont="1" applyFill="1"/>
    <xf numFmtId="0" fontId="20" fillId="2" borderId="1" xfId="0" applyFont="1" applyFill="1" applyBorder="1" applyAlignment="1">
      <alignment vertical="top" wrapText="1"/>
    </xf>
    <xf numFmtId="0" fontId="23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1" fontId="3" fillId="2" borderId="3" xfId="0" applyNumberFormat="1" applyFont="1" applyFill="1" applyBorder="1" applyAlignment="1" applyProtection="1">
      <alignment horizontal="center" vertical="top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horizontal="left" wrapText="1"/>
      <protection locked="0"/>
    </xf>
    <xf numFmtId="0" fontId="22" fillId="2" borderId="0" xfId="0" applyFont="1" applyFill="1"/>
    <xf numFmtId="1" fontId="3" fillId="2" borderId="11" xfId="0" applyNumberFormat="1" applyFont="1" applyFill="1" applyBorder="1" applyAlignment="1" applyProtection="1">
      <alignment horizontal="center" vertical="center"/>
      <protection locked="0"/>
    </xf>
    <xf numFmtId="0" fontId="20" fillId="2" borderId="0" xfId="0" applyFont="1" applyFill="1"/>
    <xf numFmtId="10" fontId="17" fillId="2" borderId="1" xfId="3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" fontId="17" fillId="2" borderId="1" xfId="0" applyNumberFormat="1" applyFont="1" applyFill="1" applyBorder="1" applyAlignment="1" applyProtection="1">
      <alignment horizontal="center" vertical="center"/>
      <protection locked="0"/>
    </xf>
    <xf numFmtId="1" fontId="17" fillId="2" borderId="1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justify" vertical="center" wrapText="1"/>
    </xf>
    <xf numFmtId="0" fontId="17" fillId="2" borderId="1" xfId="0" applyFont="1" applyFill="1" applyBorder="1" applyAlignment="1" applyProtection="1">
      <alignment vertical="top" wrapText="1"/>
      <protection locked="0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9" fillId="2" borderId="4" xfId="0" applyFont="1" applyFill="1" applyBorder="1" applyAlignment="1" applyProtection="1">
      <alignment horizontal="left" vertical="top" wrapText="1"/>
      <protection locked="0"/>
    </xf>
    <xf numFmtId="0" fontId="9" fillId="2" borderId="5" xfId="0" applyFont="1" applyFill="1" applyBorder="1" applyAlignment="1" applyProtection="1">
      <alignment horizontal="left" vertical="top" wrapText="1"/>
      <protection locked="0"/>
    </xf>
    <xf numFmtId="0" fontId="3" fillId="2" borderId="4" xfId="0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5" fillId="2" borderId="4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</cellXfs>
  <cellStyles count="10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Percent" xfId="3" builtinId="5"/>
  </cellStyles>
  <dxfs count="0"/>
  <tableStyles count="0" defaultTableStyle="TableStyleMedium9" defaultPivotStyle="PivotStyleLight16"/>
  <colors>
    <mruColors>
      <color rgb="FF147216"/>
      <color rgb="FF0000FF"/>
      <color rgb="FF1DA3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V46"/>
  <sheetViews>
    <sheetView view="pageBreakPreview" zoomScaleSheetLayoutView="100" workbookViewId="0">
      <pane ySplit="5" topLeftCell="A6" activePane="bottomLeft" state="frozen"/>
      <selection pane="bottomLeft" activeCell="D8" sqref="D8"/>
    </sheetView>
  </sheetViews>
  <sheetFormatPr defaultRowHeight="15" x14ac:dyDescent="0.25"/>
  <cols>
    <col min="1" max="1" width="9.28515625" style="16" bestFit="1" customWidth="1"/>
    <col min="2" max="2" width="35.5703125" style="17" bestFit="1" customWidth="1"/>
    <col min="3" max="3" width="9.28515625" style="17" bestFit="1" customWidth="1"/>
    <col min="4" max="4" width="8.28515625" style="16" customWidth="1"/>
    <col min="5" max="5" width="8" style="16" customWidth="1"/>
    <col min="6" max="6" width="7.42578125" style="16" customWidth="1"/>
    <col min="7" max="7" width="7.28515625" style="16" customWidth="1"/>
    <col min="8" max="8" width="9.28515625" style="16" bestFit="1" customWidth="1"/>
    <col min="9" max="9" width="7.42578125" style="16" customWidth="1"/>
    <col min="10" max="10" width="6.5703125" style="16" customWidth="1"/>
    <col min="11" max="11" width="6.42578125" style="16" customWidth="1"/>
    <col min="12" max="12" width="6.28515625" style="16" customWidth="1"/>
    <col min="13" max="13" width="6.85546875" style="16" customWidth="1"/>
    <col min="14" max="14" width="9" style="16" customWidth="1"/>
    <col min="15" max="15" width="17.5703125" style="16" customWidth="1"/>
    <col min="16" max="16" width="7.7109375" style="17" bestFit="1" customWidth="1"/>
    <col min="17" max="17" width="11.5703125" style="17" bestFit="1" customWidth="1"/>
    <col min="18" max="18" width="9.7109375" style="17" customWidth="1"/>
    <col min="19" max="19" width="11" style="17" customWidth="1"/>
    <col min="20" max="20" width="10.42578125" style="17" customWidth="1"/>
    <col min="21" max="21" width="25" style="27" customWidth="1"/>
    <col min="22" max="16384" width="9.140625" style="17"/>
  </cols>
  <sheetData>
    <row r="1" spans="1:21" ht="21.75" customHeight="1" x14ac:dyDescent="0.25">
      <c r="T1" s="18"/>
      <c r="U1" s="91" t="s">
        <v>913</v>
      </c>
    </row>
    <row r="2" spans="1:21" ht="15" customHeight="1" x14ac:dyDescent="0.25">
      <c r="U2" s="92"/>
    </row>
    <row r="3" spans="1:21" ht="15.75" x14ac:dyDescent="0.25">
      <c r="A3" s="357" t="s">
        <v>392</v>
      </c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</row>
    <row r="4" spans="1:21" s="19" customFormat="1" ht="15.75" x14ac:dyDescent="0.25">
      <c r="A4" s="358" t="s">
        <v>0</v>
      </c>
      <c r="B4" s="356" t="s">
        <v>14</v>
      </c>
      <c r="C4" s="39"/>
      <c r="D4" s="358" t="s">
        <v>19</v>
      </c>
      <c r="E4" s="358"/>
      <c r="F4" s="358" t="s">
        <v>33</v>
      </c>
      <c r="G4" s="358"/>
      <c r="H4" s="358"/>
      <c r="I4" s="358"/>
      <c r="J4" s="358"/>
      <c r="K4" s="358"/>
      <c r="L4" s="358"/>
      <c r="M4" s="358"/>
      <c r="N4" s="356" t="s">
        <v>20</v>
      </c>
      <c r="O4" s="356" t="s">
        <v>34</v>
      </c>
      <c r="P4" s="358" t="s">
        <v>35</v>
      </c>
      <c r="Q4" s="356" t="s">
        <v>23</v>
      </c>
      <c r="R4" s="356" t="s">
        <v>24</v>
      </c>
      <c r="S4" s="356" t="s">
        <v>25</v>
      </c>
      <c r="T4" s="356" t="s">
        <v>26</v>
      </c>
      <c r="U4" s="356" t="s">
        <v>156</v>
      </c>
    </row>
    <row r="5" spans="1:21" s="19" customFormat="1" ht="41.25" customHeight="1" x14ac:dyDescent="0.25">
      <c r="A5" s="358"/>
      <c r="B5" s="356"/>
      <c r="C5" s="39" t="s">
        <v>612</v>
      </c>
      <c r="D5" s="39" t="s">
        <v>27</v>
      </c>
      <c r="E5" s="39" t="s">
        <v>28</v>
      </c>
      <c r="F5" s="40" t="s">
        <v>15</v>
      </c>
      <c r="G5" s="40" t="s">
        <v>36</v>
      </c>
      <c r="H5" s="40" t="s">
        <v>29</v>
      </c>
      <c r="I5" s="40" t="s">
        <v>37</v>
      </c>
      <c r="J5" s="40" t="s">
        <v>38</v>
      </c>
      <c r="K5" s="40" t="s">
        <v>39</v>
      </c>
      <c r="L5" s="40" t="s">
        <v>40</v>
      </c>
      <c r="M5" s="40" t="s">
        <v>30</v>
      </c>
      <c r="N5" s="356"/>
      <c r="O5" s="356"/>
      <c r="P5" s="358"/>
      <c r="Q5" s="356"/>
      <c r="R5" s="356"/>
      <c r="S5" s="356"/>
      <c r="T5" s="356"/>
      <c r="U5" s="356"/>
    </row>
    <row r="6" spans="1:21" s="19" customFormat="1" ht="15.75" x14ac:dyDescent="0.25">
      <c r="A6" s="40" t="s">
        <v>1</v>
      </c>
      <c r="B6" s="39" t="s">
        <v>2</v>
      </c>
      <c r="C6" s="39"/>
      <c r="D6" s="40" t="s">
        <v>3</v>
      </c>
      <c r="E6" s="40" t="s">
        <v>4</v>
      </c>
      <c r="F6" s="40" t="s">
        <v>5</v>
      </c>
      <c r="G6" s="40" t="s">
        <v>6</v>
      </c>
      <c r="H6" s="40" t="s">
        <v>7</v>
      </c>
      <c r="I6" s="40" t="s">
        <v>8</v>
      </c>
      <c r="J6" s="40" t="s">
        <v>9</v>
      </c>
      <c r="K6" s="40" t="s">
        <v>10</v>
      </c>
      <c r="L6" s="40" t="s">
        <v>11</v>
      </c>
      <c r="M6" s="40" t="s">
        <v>12</v>
      </c>
      <c r="N6" s="40" t="s">
        <v>13</v>
      </c>
      <c r="O6" s="40" t="s">
        <v>31</v>
      </c>
      <c r="P6" s="40" t="s">
        <v>32</v>
      </c>
      <c r="Q6" s="40" t="s">
        <v>41</v>
      </c>
      <c r="R6" s="40" t="s">
        <v>42</v>
      </c>
      <c r="S6" s="40" t="s">
        <v>43</v>
      </c>
      <c r="T6" s="40" t="s">
        <v>44</v>
      </c>
      <c r="U6" s="39" t="s">
        <v>45</v>
      </c>
    </row>
    <row r="7" spans="1:21" s="19" customFormat="1" ht="27.75" customHeight="1" x14ac:dyDescent="0.25">
      <c r="A7" s="355" t="s">
        <v>153</v>
      </c>
      <c r="B7" s="355"/>
      <c r="C7" s="46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39"/>
    </row>
    <row r="8" spans="1:21" ht="15.75" x14ac:dyDescent="0.25">
      <c r="A8" s="20">
        <v>1</v>
      </c>
      <c r="B8" s="41" t="s">
        <v>46</v>
      </c>
      <c r="C8" s="4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35"/>
    </row>
    <row r="9" spans="1:21" ht="15" customHeight="1" x14ac:dyDescent="0.25">
      <c r="A9" s="32">
        <v>2</v>
      </c>
      <c r="B9" s="33" t="s">
        <v>17</v>
      </c>
      <c r="C9" s="33"/>
      <c r="D9" s="31"/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0"/>
      <c r="Q9" s="21"/>
      <c r="R9" s="21"/>
      <c r="S9" s="21"/>
      <c r="T9" s="21"/>
      <c r="U9" s="47"/>
    </row>
    <row r="10" spans="1:21" ht="15" customHeight="1" x14ac:dyDescent="0.25">
      <c r="A10" s="20">
        <v>3</v>
      </c>
      <c r="B10" s="23" t="s">
        <v>47</v>
      </c>
      <c r="C10" s="2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47"/>
    </row>
    <row r="11" spans="1:21" ht="15" customHeight="1" x14ac:dyDescent="0.25">
      <c r="A11" s="20">
        <v>4</v>
      </c>
      <c r="B11" s="23" t="s">
        <v>48</v>
      </c>
      <c r="C11" s="2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47"/>
    </row>
    <row r="12" spans="1:21" ht="24.75" customHeight="1" x14ac:dyDescent="0.25">
      <c r="A12" s="20">
        <v>5</v>
      </c>
      <c r="B12" s="23" t="s">
        <v>49</v>
      </c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</row>
    <row r="13" spans="1:21" ht="24.75" customHeight="1" x14ac:dyDescent="0.25">
      <c r="A13" s="20">
        <v>6</v>
      </c>
      <c r="B13" s="23" t="s">
        <v>50</v>
      </c>
      <c r="C13" s="2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2"/>
    </row>
    <row r="14" spans="1:21" ht="24.75" customHeight="1" x14ac:dyDescent="0.25">
      <c r="A14" s="20">
        <v>7</v>
      </c>
      <c r="B14" s="23" t="s">
        <v>51</v>
      </c>
      <c r="C14" s="2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2"/>
    </row>
    <row r="15" spans="1:21" ht="24.75" customHeight="1" x14ac:dyDescent="0.25">
      <c r="A15" s="20">
        <v>8</v>
      </c>
      <c r="B15" s="23" t="s">
        <v>52</v>
      </c>
      <c r="C15" s="2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2"/>
    </row>
    <row r="16" spans="1:21" ht="24.75" customHeight="1" x14ac:dyDescent="0.25">
      <c r="A16" s="20">
        <v>9</v>
      </c>
      <c r="B16" s="23" t="s">
        <v>53</v>
      </c>
      <c r="C16" s="2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2"/>
    </row>
    <row r="17" spans="1:21" ht="24.75" customHeight="1" x14ac:dyDescent="0.25">
      <c r="A17" s="20">
        <v>10</v>
      </c>
      <c r="B17" s="23" t="s">
        <v>54</v>
      </c>
      <c r="C17" s="2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2"/>
    </row>
    <row r="18" spans="1:21" ht="24.75" customHeight="1" x14ac:dyDescent="0.25">
      <c r="A18" s="20">
        <v>11</v>
      </c>
      <c r="B18" s="23" t="s">
        <v>55</v>
      </c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2"/>
    </row>
    <row r="19" spans="1:21" ht="24.75" customHeight="1" x14ac:dyDescent="0.25">
      <c r="A19" s="20">
        <v>12</v>
      </c>
      <c r="B19" s="23" t="s">
        <v>56</v>
      </c>
      <c r="C19" s="2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2"/>
    </row>
    <row r="20" spans="1:21" ht="24.75" customHeight="1" x14ac:dyDescent="0.25">
      <c r="A20" s="20">
        <v>13</v>
      </c>
      <c r="B20" s="23" t="s">
        <v>57</v>
      </c>
      <c r="C20" s="2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2"/>
    </row>
    <row r="21" spans="1:21" ht="24.75" customHeight="1" x14ac:dyDescent="0.25">
      <c r="A21" s="20">
        <v>14</v>
      </c>
      <c r="B21" s="23" t="s">
        <v>58</v>
      </c>
      <c r="C21" s="2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2"/>
    </row>
    <row r="22" spans="1:21" ht="33" customHeight="1" x14ac:dyDescent="0.25">
      <c r="A22" s="20">
        <v>15</v>
      </c>
      <c r="B22" s="23" t="s">
        <v>59</v>
      </c>
      <c r="C22" s="2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4"/>
    </row>
    <row r="23" spans="1:21" ht="28.5" customHeight="1" x14ac:dyDescent="0.25">
      <c r="A23" s="20">
        <v>16</v>
      </c>
      <c r="B23" s="23" t="s">
        <v>368</v>
      </c>
      <c r="C23" s="2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5"/>
      <c r="S23" s="25"/>
      <c r="T23" s="25"/>
      <c r="U23" s="22"/>
    </row>
    <row r="24" spans="1:21" ht="25.5" customHeight="1" x14ac:dyDescent="0.25">
      <c r="A24" s="20">
        <v>17</v>
      </c>
      <c r="B24" s="23" t="s">
        <v>151</v>
      </c>
      <c r="C24" s="2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2"/>
    </row>
    <row r="25" spans="1:21" ht="25.5" customHeight="1" x14ac:dyDescent="0.25">
      <c r="A25" s="20">
        <v>18</v>
      </c>
      <c r="B25" s="23" t="s">
        <v>152</v>
      </c>
      <c r="C25" s="2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2"/>
    </row>
    <row r="26" spans="1:21" ht="25.5" customHeight="1" x14ac:dyDescent="0.25">
      <c r="A26" s="20">
        <v>19</v>
      </c>
      <c r="B26" s="23" t="s">
        <v>60</v>
      </c>
      <c r="C26" s="2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2"/>
    </row>
    <row r="27" spans="1:21" ht="25.5" customHeight="1" x14ac:dyDescent="0.25">
      <c r="A27" s="20">
        <v>20</v>
      </c>
      <c r="B27" s="23" t="s">
        <v>61</v>
      </c>
      <c r="C27" s="2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2"/>
    </row>
    <row r="28" spans="1:21" ht="25.5" customHeight="1" x14ac:dyDescent="0.25">
      <c r="A28" s="20">
        <v>21</v>
      </c>
      <c r="B28" s="23" t="s">
        <v>62</v>
      </c>
      <c r="C28" s="2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/>
    </row>
    <row r="29" spans="1:21" ht="25.5" customHeight="1" x14ac:dyDescent="0.25">
      <c r="A29" s="20">
        <v>22</v>
      </c>
      <c r="B29" s="23" t="s">
        <v>63</v>
      </c>
      <c r="C29" s="2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2"/>
    </row>
    <row r="30" spans="1:21" ht="25.5" customHeight="1" x14ac:dyDescent="0.25">
      <c r="A30" s="20">
        <v>23</v>
      </c>
      <c r="B30" s="23" t="s">
        <v>64</v>
      </c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2"/>
    </row>
    <row r="31" spans="1:21" ht="25.5" customHeight="1" x14ac:dyDescent="0.25">
      <c r="A31" s="20">
        <v>24</v>
      </c>
      <c r="B31" s="23" t="s">
        <v>65</v>
      </c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1" ht="25.5" customHeight="1" x14ac:dyDescent="0.25">
      <c r="A32" s="20">
        <v>25</v>
      </c>
      <c r="B32" s="23" t="s">
        <v>66</v>
      </c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2" ht="45" x14ac:dyDescent="0.25">
      <c r="A33" s="20">
        <v>26</v>
      </c>
      <c r="B33" s="23" t="s">
        <v>67</v>
      </c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2"/>
    </row>
    <row r="34" spans="1:22" ht="30" x14ac:dyDescent="0.25">
      <c r="A34" s="20">
        <v>27</v>
      </c>
      <c r="B34" s="23" t="s">
        <v>68</v>
      </c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2"/>
    </row>
    <row r="35" spans="1:22" ht="27" customHeight="1" x14ac:dyDescent="0.25">
      <c r="A35" s="20">
        <v>28</v>
      </c>
      <c r="B35" s="26" t="s">
        <v>69</v>
      </c>
      <c r="C35" s="26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2"/>
    </row>
    <row r="36" spans="1:22" ht="27" customHeight="1" x14ac:dyDescent="0.25">
      <c r="A36" s="20">
        <v>29</v>
      </c>
      <c r="B36" s="26" t="s">
        <v>70</v>
      </c>
      <c r="C36" s="26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/>
    </row>
    <row r="37" spans="1:22" ht="27" customHeight="1" x14ac:dyDescent="0.25">
      <c r="A37" s="20">
        <v>30</v>
      </c>
      <c r="B37" s="26" t="s">
        <v>290</v>
      </c>
      <c r="C37" s="26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2"/>
    </row>
    <row r="38" spans="1:22" ht="27" customHeight="1" x14ac:dyDescent="0.25">
      <c r="A38" s="20">
        <v>31</v>
      </c>
      <c r="B38" s="26" t="s">
        <v>68</v>
      </c>
      <c r="C38" s="26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2" ht="27" customHeight="1" x14ac:dyDescent="0.25">
      <c r="A39" s="20">
        <v>32</v>
      </c>
      <c r="B39" s="23" t="s">
        <v>71</v>
      </c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2" ht="27" customHeight="1" x14ac:dyDescent="0.25">
      <c r="A40" s="20">
        <v>33</v>
      </c>
      <c r="B40" s="23" t="s">
        <v>72</v>
      </c>
      <c r="C40" s="2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2"/>
    </row>
    <row r="41" spans="1:22" ht="27" customHeight="1" x14ac:dyDescent="0.25">
      <c r="A41" s="20">
        <v>34</v>
      </c>
      <c r="B41" s="23" t="s">
        <v>73</v>
      </c>
      <c r="C41" s="2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2"/>
    </row>
    <row r="42" spans="1:22" ht="27" customHeight="1" x14ac:dyDescent="0.25">
      <c r="A42" s="20">
        <v>35</v>
      </c>
      <c r="B42" s="23" t="s">
        <v>74</v>
      </c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2"/>
    </row>
    <row r="43" spans="1:22" ht="27" customHeight="1" x14ac:dyDescent="0.25">
      <c r="A43" s="20">
        <v>36</v>
      </c>
      <c r="B43" s="23" t="s">
        <v>75</v>
      </c>
      <c r="C43" s="2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2"/>
    </row>
    <row r="44" spans="1:22" ht="27" customHeight="1" x14ac:dyDescent="0.25">
      <c r="A44" s="20">
        <v>37</v>
      </c>
      <c r="B44" s="23" t="s">
        <v>76</v>
      </c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2"/>
    </row>
    <row r="45" spans="1:22" ht="27" customHeight="1" x14ac:dyDescent="0.25">
      <c r="A45" s="20">
        <v>38</v>
      </c>
      <c r="B45" s="23" t="s">
        <v>77</v>
      </c>
      <c r="C45" s="2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2" s="38" customFormat="1" ht="42" customHeight="1" x14ac:dyDescent="0.25">
      <c r="A46" s="40"/>
      <c r="B46" s="42" t="s">
        <v>596</v>
      </c>
      <c r="C46" s="42"/>
      <c r="D46" s="40"/>
      <c r="E46" s="28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3"/>
      <c r="Q46" s="21"/>
      <c r="R46" s="21"/>
      <c r="S46" s="21"/>
      <c r="T46" s="21"/>
      <c r="U46" s="44"/>
      <c r="V46" s="45"/>
    </row>
  </sheetData>
  <mergeCells count="14">
    <mergeCell ref="A7:B7"/>
    <mergeCell ref="S4:S5"/>
    <mergeCell ref="T4:T5"/>
    <mergeCell ref="U4:U5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</mergeCells>
  <dataValidations count="3">
    <dataValidation type="whole" allowBlank="1" showInputMessage="1" showErrorMessage="1" errorTitle="Wrong data" error="Enter  only number " sqref="D9:P9 D22:P23 P16" xr:uid="{00000000-0002-0000-0000-000000000000}">
      <formula1>0</formula1>
      <formula2>9.99999999999999E+42</formula2>
    </dataValidation>
    <dataValidation type="whole" allowBlank="1" showInputMessage="1" showErrorMessage="1" sqref="D65338:M65391" xr:uid="{00000000-0002-0000-0000-000001000000}">
      <formula1>0</formula1>
      <formula2>50000</formula2>
    </dataValidation>
    <dataValidation type="whole" allowBlank="1" showInputMessage="1" showErrorMessage="1" errorTitle="Value Between 0 to 200000" sqref="P65338:P65391" xr:uid="{00000000-0002-0000-0000-000002000000}">
      <formula1>0</formula1>
      <formula2>200000</formula2>
    </dataValidation>
  </dataValidations>
  <printOptions horizontalCentered="1"/>
  <pageMargins left="0.25" right="0.25" top="0.25" bottom="0.25" header="0.3" footer="0.3"/>
  <pageSetup paperSize="9" scale="44" orientation="landscape" r:id="rId1"/>
  <rowBreaks count="1" manualBreakCount="1">
    <brk id="31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AL137"/>
  <sheetViews>
    <sheetView tabSelected="1" view="pageBreakPreview" zoomScaleNormal="70" zoomScaleSheetLayoutView="100" workbookViewId="0">
      <pane ySplit="3" topLeftCell="A4" activePane="bottomLeft" state="frozen"/>
      <selection activeCell="C137" sqref="C137"/>
      <selection pane="bottomLeft" activeCell="I29" sqref="I29"/>
    </sheetView>
  </sheetViews>
  <sheetFormatPr defaultRowHeight="15" x14ac:dyDescent="0.2"/>
  <cols>
    <col min="1" max="1" width="8.7109375" style="6" customWidth="1"/>
    <col min="2" max="2" width="43" style="7" customWidth="1"/>
    <col min="3" max="3" width="11.42578125" style="6" customWidth="1"/>
    <col min="4" max="4" width="11.140625" style="218" customWidth="1"/>
    <col min="5" max="5" width="7.28515625" style="6" customWidth="1"/>
    <col min="6" max="6" width="5.7109375" style="6" customWidth="1"/>
    <col min="7" max="7" width="7.140625" style="6" customWidth="1"/>
    <col min="8" max="8" width="8.140625" style="6" customWidth="1"/>
    <col min="9" max="9" width="12.5703125" style="6" customWidth="1"/>
    <col min="10" max="10" width="54" style="37" customWidth="1"/>
    <col min="11" max="11" width="6.140625" style="6" customWidth="1"/>
    <col min="12" max="30" width="9.140625" style="6"/>
    <col min="31" max="31" width="9.140625" style="6" customWidth="1"/>
    <col min="32" max="16384" width="9.140625" style="6"/>
  </cols>
  <sheetData>
    <row r="1" spans="1:38" ht="24.75" customHeight="1" x14ac:dyDescent="0.25">
      <c r="A1" s="359" t="s">
        <v>1096</v>
      </c>
      <c r="B1" s="359"/>
      <c r="C1" s="359"/>
      <c r="D1" s="360"/>
      <c r="E1" s="359"/>
      <c r="F1" s="359"/>
      <c r="G1" s="359"/>
      <c r="H1" s="359"/>
      <c r="I1" s="359"/>
      <c r="J1" s="359"/>
    </row>
    <row r="2" spans="1:38" s="1" customFormat="1" ht="31.5" customHeight="1" x14ac:dyDescent="0.25">
      <c r="A2" s="240" t="s">
        <v>291</v>
      </c>
      <c r="B2" s="289" t="s">
        <v>14</v>
      </c>
      <c r="C2" s="362" t="s">
        <v>19</v>
      </c>
      <c r="D2" s="363"/>
      <c r="E2" s="361"/>
      <c r="F2" s="361"/>
      <c r="G2" s="361"/>
      <c r="H2" s="361"/>
      <c r="I2" s="162" t="s">
        <v>35</v>
      </c>
      <c r="J2" s="240" t="s">
        <v>156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s="1" customFormat="1" ht="31.5" x14ac:dyDescent="0.25">
      <c r="A3" s="79"/>
      <c r="B3" s="79"/>
      <c r="C3" s="240" t="s">
        <v>27</v>
      </c>
      <c r="D3" s="289" t="s">
        <v>28</v>
      </c>
      <c r="E3" s="162" t="s">
        <v>36</v>
      </c>
      <c r="F3" s="162" t="s">
        <v>37</v>
      </c>
      <c r="G3" s="162" t="s">
        <v>40</v>
      </c>
      <c r="H3" s="89" t="s">
        <v>289</v>
      </c>
      <c r="I3" s="106"/>
      <c r="J3" s="10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s="3" customFormat="1" ht="30" customHeight="1" x14ac:dyDescent="0.25">
      <c r="A4" s="1" t="s">
        <v>1</v>
      </c>
      <c r="B4" s="59" t="s">
        <v>2</v>
      </c>
      <c r="C4" s="1" t="s">
        <v>3</v>
      </c>
      <c r="D4" s="281" t="s">
        <v>4</v>
      </c>
      <c r="E4" s="1" t="s">
        <v>6</v>
      </c>
      <c r="F4" s="1" t="s">
        <v>8</v>
      </c>
      <c r="G4" s="1" t="s">
        <v>11</v>
      </c>
      <c r="H4" s="1" t="s">
        <v>12</v>
      </c>
      <c r="I4" s="1" t="s">
        <v>32</v>
      </c>
      <c r="J4" s="108" t="s">
        <v>45</v>
      </c>
    </row>
    <row r="5" spans="1:38" s="3" customFormat="1" ht="33" customHeight="1" x14ac:dyDescent="0.25">
      <c r="A5" s="60" t="s">
        <v>296</v>
      </c>
      <c r="B5" s="71"/>
      <c r="C5" s="164"/>
      <c r="D5" s="164"/>
      <c r="E5" s="164"/>
      <c r="F5" s="164"/>
      <c r="G5" s="164"/>
      <c r="H5" s="164"/>
      <c r="I5" s="164"/>
      <c r="J5" s="165"/>
    </row>
    <row r="6" spans="1:38" s="321" customFormat="1" ht="45" x14ac:dyDescent="0.25">
      <c r="A6" s="336">
        <v>1</v>
      </c>
      <c r="B6" s="263" t="s">
        <v>299</v>
      </c>
      <c r="C6" s="337">
        <v>23</v>
      </c>
      <c r="D6" s="338">
        <v>16</v>
      </c>
      <c r="E6" s="337"/>
      <c r="F6" s="337"/>
      <c r="G6" s="337"/>
      <c r="H6" s="336"/>
      <c r="I6" s="336">
        <v>16</v>
      </c>
      <c r="J6" s="251" t="s">
        <v>1116</v>
      </c>
    </row>
    <row r="7" spans="1:38" s="254" customFormat="1" x14ac:dyDescent="0.25">
      <c r="A7" s="59">
        <v>2</v>
      </c>
      <c r="B7" s="56" t="s">
        <v>303</v>
      </c>
      <c r="C7" s="52">
        <v>16</v>
      </c>
      <c r="D7" s="283">
        <v>13</v>
      </c>
      <c r="E7" s="52"/>
      <c r="F7" s="52"/>
      <c r="G7" s="52"/>
      <c r="H7" s="1"/>
      <c r="I7" s="1">
        <v>13</v>
      </c>
      <c r="J7" s="167"/>
    </row>
    <row r="8" spans="1:38" s="285" customFormat="1" x14ac:dyDescent="0.25">
      <c r="A8" s="281">
        <v>3</v>
      </c>
      <c r="B8" s="287" t="s">
        <v>307</v>
      </c>
      <c r="C8" s="283">
        <v>17</v>
      </c>
      <c r="D8" s="283">
        <v>13</v>
      </c>
      <c r="E8" s="283"/>
      <c r="F8" s="283"/>
      <c r="G8" s="283"/>
      <c r="H8" s="281"/>
      <c r="I8" s="281">
        <v>13</v>
      </c>
      <c r="J8" s="288"/>
    </row>
    <row r="9" spans="1:38" s="3" customFormat="1" ht="18" hidden="1" customHeight="1" x14ac:dyDescent="0.25">
      <c r="A9" s="59">
        <v>4</v>
      </c>
      <c r="B9" s="56" t="s">
        <v>308</v>
      </c>
      <c r="C9" s="52"/>
      <c r="D9" s="52"/>
      <c r="E9" s="52"/>
      <c r="F9" s="52"/>
      <c r="G9" s="52"/>
      <c r="H9" s="1"/>
      <c r="I9" s="1"/>
      <c r="J9" s="96"/>
    </row>
    <row r="10" spans="1:38" s="3" customFormat="1" ht="27" hidden="1" customHeight="1" x14ac:dyDescent="0.25">
      <c r="A10" s="1">
        <v>5</v>
      </c>
      <c r="B10" s="56" t="s">
        <v>309</v>
      </c>
      <c r="C10" s="52"/>
      <c r="D10" s="52"/>
      <c r="E10" s="52"/>
      <c r="F10" s="52"/>
      <c r="G10" s="52"/>
      <c r="H10" s="1"/>
      <c r="I10" s="1"/>
      <c r="J10" s="96"/>
    </row>
    <row r="11" spans="1:38" s="3" customFormat="1" ht="27" hidden="1" customHeight="1" x14ac:dyDescent="0.25">
      <c r="A11" s="59">
        <v>6</v>
      </c>
      <c r="B11" s="56" t="s">
        <v>693</v>
      </c>
      <c r="C11" s="52"/>
      <c r="D11" s="52"/>
      <c r="E11" s="52"/>
      <c r="F11" s="52"/>
      <c r="G11" s="52"/>
      <c r="H11" s="1"/>
      <c r="I11" s="1"/>
      <c r="J11" s="170"/>
    </row>
    <row r="12" spans="1:38" s="3" customFormat="1" ht="27" hidden="1" customHeight="1" x14ac:dyDescent="0.25">
      <c r="A12" s="1">
        <v>7</v>
      </c>
      <c r="B12" s="56" t="s">
        <v>79</v>
      </c>
      <c r="C12" s="52"/>
      <c r="D12" s="52"/>
      <c r="E12" s="52"/>
      <c r="F12" s="52"/>
      <c r="G12" s="52"/>
      <c r="H12" s="1"/>
      <c r="I12" s="1"/>
      <c r="J12" s="170"/>
    </row>
    <row r="13" spans="1:38" s="3" customFormat="1" ht="27" hidden="1" customHeight="1" x14ac:dyDescent="0.25">
      <c r="A13" s="59">
        <v>8</v>
      </c>
      <c r="B13" s="56" t="s">
        <v>304</v>
      </c>
      <c r="C13" s="52"/>
      <c r="D13" s="52"/>
      <c r="E13" s="52"/>
      <c r="F13" s="52"/>
      <c r="G13" s="52"/>
      <c r="H13" s="1"/>
      <c r="I13" s="1"/>
      <c r="J13" s="98"/>
    </row>
    <row r="14" spans="1:38" s="303" customFormat="1" ht="27" customHeight="1" x14ac:dyDescent="0.25">
      <c r="A14" s="1">
        <v>9</v>
      </c>
      <c r="B14" s="80" t="s">
        <v>694</v>
      </c>
      <c r="C14" s="52">
        <v>3</v>
      </c>
      <c r="D14" s="283">
        <v>3</v>
      </c>
      <c r="E14" s="52"/>
      <c r="F14" s="52"/>
      <c r="G14" s="52"/>
      <c r="H14" s="1"/>
      <c r="I14" s="1">
        <v>3</v>
      </c>
      <c r="J14" s="258"/>
    </row>
    <row r="15" spans="1:38" s="130" customFormat="1" ht="27" hidden="1" customHeight="1" x14ac:dyDescent="0.25">
      <c r="A15" s="59">
        <v>10</v>
      </c>
      <c r="B15" s="80" t="s">
        <v>695</v>
      </c>
      <c r="C15" s="52"/>
      <c r="D15" s="52"/>
      <c r="E15" s="52"/>
      <c r="F15" s="52"/>
      <c r="G15" s="52"/>
      <c r="H15" s="1"/>
      <c r="I15" s="1"/>
      <c r="J15" s="77"/>
    </row>
    <row r="16" spans="1:38" s="130" customFormat="1" ht="26.25" hidden="1" customHeight="1" x14ac:dyDescent="0.25">
      <c r="A16" s="71" t="s">
        <v>696</v>
      </c>
      <c r="B16" s="164"/>
      <c r="C16" s="210"/>
      <c r="D16" s="171"/>
      <c r="E16" s="171"/>
      <c r="F16" s="171"/>
      <c r="G16" s="171"/>
      <c r="H16" s="164"/>
      <c r="I16" s="164"/>
      <c r="J16" s="172"/>
    </row>
    <row r="17" spans="1:10" s="3" customFormat="1" ht="26.25" hidden="1" customHeight="1" x14ac:dyDescent="0.25">
      <c r="A17" s="1">
        <v>11</v>
      </c>
      <c r="B17" s="56" t="s">
        <v>698</v>
      </c>
      <c r="C17" s="52"/>
      <c r="D17" s="52"/>
      <c r="E17" s="52"/>
      <c r="F17" s="52"/>
      <c r="G17" s="52"/>
      <c r="H17" s="1"/>
      <c r="I17" s="1"/>
      <c r="J17" s="167"/>
    </row>
    <row r="18" spans="1:10" s="3" customFormat="1" ht="26.25" hidden="1" customHeight="1" x14ac:dyDescent="0.25">
      <c r="A18" s="1">
        <v>12</v>
      </c>
      <c r="B18" s="56" t="s">
        <v>697</v>
      </c>
      <c r="C18" s="52"/>
      <c r="D18" s="52"/>
      <c r="E18" s="52"/>
      <c r="F18" s="52"/>
      <c r="G18" s="52"/>
      <c r="H18" s="1"/>
      <c r="I18" s="1"/>
      <c r="J18" s="167"/>
    </row>
    <row r="19" spans="1:10" s="3" customFormat="1" ht="26.25" hidden="1" customHeight="1" x14ac:dyDescent="0.25">
      <c r="A19" s="1">
        <v>13</v>
      </c>
      <c r="B19" s="56" t="s">
        <v>322</v>
      </c>
      <c r="C19" s="52"/>
      <c r="D19" s="52"/>
      <c r="E19" s="52"/>
      <c r="F19" s="52"/>
      <c r="G19" s="52"/>
      <c r="H19" s="1"/>
      <c r="I19" s="1"/>
      <c r="J19" s="98"/>
    </row>
    <row r="20" spans="1:10" s="3" customFormat="1" ht="26.25" hidden="1" customHeight="1" x14ac:dyDescent="0.25">
      <c r="A20" s="1">
        <v>14</v>
      </c>
      <c r="B20" s="56" t="s">
        <v>80</v>
      </c>
      <c r="C20" s="52"/>
      <c r="D20" s="52"/>
      <c r="E20" s="52"/>
      <c r="F20" s="52"/>
      <c r="G20" s="52"/>
      <c r="H20" s="1"/>
      <c r="I20" s="1"/>
    </row>
    <row r="21" spans="1:10" s="3" customFormat="1" ht="26.25" hidden="1" customHeight="1" x14ac:dyDescent="0.25">
      <c r="A21" s="1">
        <v>15</v>
      </c>
      <c r="B21" s="56" t="s">
        <v>323</v>
      </c>
      <c r="C21" s="52"/>
      <c r="D21" s="52"/>
      <c r="E21" s="52"/>
      <c r="F21" s="52"/>
      <c r="G21" s="52"/>
      <c r="H21" s="1"/>
      <c r="I21" s="1"/>
      <c r="J21" s="173"/>
    </row>
    <row r="22" spans="1:10" s="3" customFormat="1" ht="26.25" hidden="1" customHeight="1" x14ac:dyDescent="0.25">
      <c r="A22" s="1">
        <v>16</v>
      </c>
      <c r="B22" s="56" t="s">
        <v>699</v>
      </c>
      <c r="C22" s="52"/>
      <c r="D22" s="52"/>
      <c r="E22" s="52"/>
      <c r="F22" s="52"/>
      <c r="G22" s="52"/>
      <c r="H22" s="1"/>
      <c r="I22" s="1"/>
      <c r="J22" s="173"/>
    </row>
    <row r="23" spans="1:10" s="254" customFormat="1" hidden="1" x14ac:dyDescent="0.25">
      <c r="A23" s="1">
        <v>17</v>
      </c>
      <c r="B23" s="56" t="s">
        <v>324</v>
      </c>
      <c r="C23" s="52"/>
      <c r="D23" s="52"/>
      <c r="E23" s="52"/>
      <c r="F23" s="52"/>
      <c r="G23" s="52"/>
      <c r="H23" s="1"/>
      <c r="I23" s="1"/>
      <c r="J23" s="56"/>
    </row>
    <row r="24" spans="1:10" s="3" customFormat="1" ht="23.25" hidden="1" customHeight="1" x14ac:dyDescent="0.25">
      <c r="A24" s="1">
        <v>18</v>
      </c>
      <c r="B24" s="80" t="s">
        <v>700</v>
      </c>
      <c r="C24" s="52"/>
      <c r="D24" s="52"/>
      <c r="E24" s="52"/>
      <c r="F24" s="52"/>
      <c r="G24" s="52"/>
      <c r="H24" s="1"/>
      <c r="I24" s="1"/>
      <c r="J24" s="55"/>
    </row>
    <row r="25" spans="1:10" s="3" customFormat="1" ht="23.25" customHeight="1" x14ac:dyDescent="0.25">
      <c r="A25" s="1">
        <v>19</v>
      </c>
      <c r="B25" s="80" t="s">
        <v>701</v>
      </c>
      <c r="C25" s="52">
        <v>6</v>
      </c>
      <c r="D25" s="283">
        <v>8</v>
      </c>
      <c r="E25" s="52"/>
      <c r="F25" s="52"/>
      <c r="G25" s="52"/>
      <c r="H25" s="1"/>
      <c r="I25" s="1">
        <v>8</v>
      </c>
      <c r="J25" s="55" t="s">
        <v>1079</v>
      </c>
    </row>
    <row r="26" spans="1:10" s="3" customFormat="1" x14ac:dyDescent="0.25">
      <c r="A26" s="1">
        <v>20</v>
      </c>
      <c r="B26" s="80" t="s">
        <v>702</v>
      </c>
      <c r="C26" s="52"/>
      <c r="D26" s="52"/>
      <c r="E26" s="52"/>
      <c r="F26" s="52"/>
      <c r="G26" s="52"/>
      <c r="H26" s="1"/>
      <c r="I26" s="1"/>
      <c r="J26" s="52"/>
    </row>
    <row r="27" spans="1:10" s="253" customFormat="1" ht="15.75" x14ac:dyDescent="0.25">
      <c r="A27" s="1">
        <v>21</v>
      </c>
      <c r="B27" s="56" t="s">
        <v>703</v>
      </c>
      <c r="C27" s="52"/>
      <c r="D27" s="52"/>
      <c r="E27" s="52"/>
      <c r="F27" s="52"/>
      <c r="G27" s="52"/>
      <c r="H27" s="1"/>
      <c r="I27" s="1"/>
      <c r="J27" s="263"/>
    </row>
    <row r="28" spans="1:10" s="95" customFormat="1" ht="15.75" x14ac:dyDescent="0.25">
      <c r="A28" s="1">
        <v>22</v>
      </c>
      <c r="B28" s="56" t="s">
        <v>704</v>
      </c>
      <c r="C28" s="52"/>
      <c r="D28" s="52"/>
      <c r="E28" s="52"/>
      <c r="F28" s="52"/>
      <c r="G28" s="52"/>
      <c r="H28" s="1"/>
      <c r="I28" s="1"/>
      <c r="J28" s="96"/>
    </row>
    <row r="29" spans="1:10" s="95" customFormat="1" ht="30" x14ac:dyDescent="0.25">
      <c r="A29" s="1">
        <v>23</v>
      </c>
      <c r="B29" s="56" t="s">
        <v>705</v>
      </c>
      <c r="C29" s="52"/>
      <c r="D29" s="52"/>
      <c r="E29" s="52"/>
      <c r="F29" s="52"/>
      <c r="G29" s="52"/>
      <c r="H29" s="1"/>
      <c r="I29" s="1"/>
      <c r="J29" s="96"/>
    </row>
    <row r="30" spans="1:10" s="95" customFormat="1" ht="30" x14ac:dyDescent="0.25">
      <c r="A30" s="1">
        <v>24</v>
      </c>
      <c r="B30" s="56" t="s">
        <v>706</v>
      </c>
      <c r="C30" s="52">
        <v>7</v>
      </c>
      <c r="D30" s="283">
        <v>8</v>
      </c>
      <c r="E30" s="52"/>
      <c r="F30" s="52"/>
      <c r="G30" s="52"/>
      <c r="H30" s="1"/>
      <c r="I30" s="1">
        <v>8</v>
      </c>
      <c r="J30" s="96" t="s">
        <v>1117</v>
      </c>
    </row>
    <row r="31" spans="1:10" s="95" customFormat="1" ht="15.75" x14ac:dyDescent="0.25">
      <c r="A31" s="1">
        <v>25</v>
      </c>
      <c r="B31" s="56" t="s">
        <v>708</v>
      </c>
      <c r="C31" s="52"/>
      <c r="D31" s="52"/>
      <c r="E31" s="52"/>
      <c r="F31" s="52"/>
      <c r="G31" s="52"/>
      <c r="H31" s="1"/>
      <c r="I31" s="1"/>
      <c r="J31" s="96"/>
    </row>
    <row r="32" spans="1:10" s="95" customFormat="1" ht="15.75" x14ac:dyDescent="0.25">
      <c r="A32" s="1">
        <v>26</v>
      </c>
      <c r="B32" s="56" t="s">
        <v>707</v>
      </c>
      <c r="C32" s="52"/>
      <c r="D32" s="52"/>
      <c r="E32" s="52"/>
      <c r="F32" s="52"/>
      <c r="G32" s="52"/>
      <c r="H32" s="1"/>
      <c r="I32" s="1"/>
      <c r="J32" s="96"/>
    </row>
    <row r="33" spans="1:10" s="95" customFormat="1" ht="15.75" x14ac:dyDescent="0.25">
      <c r="A33" s="1">
        <v>27</v>
      </c>
      <c r="B33" s="56" t="s">
        <v>709</v>
      </c>
      <c r="C33" s="52"/>
      <c r="D33" s="52"/>
      <c r="E33" s="52"/>
      <c r="F33" s="52"/>
      <c r="G33" s="52"/>
      <c r="H33" s="1"/>
      <c r="I33" s="1"/>
      <c r="J33" s="96"/>
    </row>
    <row r="34" spans="1:10" s="3" customFormat="1" ht="30" x14ac:dyDescent="0.25">
      <c r="A34" s="1">
        <v>28</v>
      </c>
      <c r="B34" s="56" t="s">
        <v>710</v>
      </c>
      <c r="C34" s="52"/>
      <c r="D34" s="52"/>
      <c r="E34" s="52"/>
      <c r="F34" s="52"/>
      <c r="G34" s="52"/>
      <c r="H34" s="1"/>
      <c r="I34" s="1"/>
      <c r="J34" s="174"/>
    </row>
    <row r="35" spans="1:10" s="3" customFormat="1" x14ac:dyDescent="0.25">
      <c r="A35" s="1">
        <v>29</v>
      </c>
      <c r="B35" s="56" t="s">
        <v>711</v>
      </c>
      <c r="C35" s="52"/>
      <c r="D35" s="52"/>
      <c r="E35" s="52"/>
      <c r="F35" s="52"/>
      <c r="G35" s="52"/>
      <c r="H35" s="1"/>
      <c r="I35" s="1"/>
      <c r="J35" s="55"/>
    </row>
    <row r="36" spans="1:10" s="3" customFormat="1" x14ac:dyDescent="0.25">
      <c r="A36" s="1">
        <v>30</v>
      </c>
      <c r="B36" s="56" t="s">
        <v>712</v>
      </c>
      <c r="C36" s="52"/>
      <c r="D36" s="52"/>
      <c r="E36" s="52"/>
      <c r="F36" s="52"/>
      <c r="G36" s="52"/>
      <c r="H36" s="1"/>
      <c r="I36" s="1"/>
      <c r="J36" s="233"/>
    </row>
    <row r="37" spans="1:10" s="130" customFormat="1" ht="15.75" x14ac:dyDescent="0.25">
      <c r="A37" s="1">
        <v>31</v>
      </c>
      <c r="B37" s="129" t="s">
        <v>664</v>
      </c>
      <c r="C37" s="52"/>
      <c r="D37" s="52"/>
      <c r="E37" s="52"/>
      <c r="F37" s="52"/>
      <c r="G37" s="52"/>
      <c r="H37" s="1"/>
      <c r="I37" s="1"/>
      <c r="J37" s="175"/>
    </row>
    <row r="38" spans="1:10" s="255" customFormat="1" x14ac:dyDescent="0.25">
      <c r="A38" s="1">
        <v>32</v>
      </c>
      <c r="B38" s="80" t="s">
        <v>665</v>
      </c>
      <c r="C38" s="52"/>
      <c r="D38" s="52"/>
      <c r="E38" s="52"/>
      <c r="F38" s="52"/>
      <c r="G38" s="52"/>
      <c r="H38" s="1"/>
      <c r="I38" s="1"/>
      <c r="J38" s="265"/>
    </row>
    <row r="39" spans="1:10" s="130" customFormat="1" ht="15.75" x14ac:dyDescent="0.25">
      <c r="A39" s="1">
        <v>33</v>
      </c>
      <c r="B39" s="73" t="s">
        <v>720</v>
      </c>
      <c r="C39" s="52"/>
      <c r="D39" s="52"/>
      <c r="E39" s="52"/>
      <c r="F39" s="52"/>
      <c r="G39" s="52"/>
      <c r="H39" s="1"/>
      <c r="I39" s="1"/>
      <c r="J39" s="77"/>
    </row>
    <row r="40" spans="1:10" s="95" customFormat="1" ht="24.75" customHeight="1" x14ac:dyDescent="0.25">
      <c r="A40" s="1">
        <v>34</v>
      </c>
      <c r="B40" s="56" t="s">
        <v>713</v>
      </c>
      <c r="C40" s="52">
        <v>3</v>
      </c>
      <c r="D40" s="283">
        <v>3</v>
      </c>
      <c r="E40" s="52"/>
      <c r="F40" s="52"/>
      <c r="G40" s="52"/>
      <c r="H40" s="1"/>
      <c r="I40" s="1">
        <v>3</v>
      </c>
      <c r="J40" s="96"/>
    </row>
    <row r="41" spans="1:10" s="95" customFormat="1" ht="24.75" hidden="1" customHeight="1" x14ac:dyDescent="0.25">
      <c r="A41" s="1">
        <v>35</v>
      </c>
      <c r="B41" s="56" t="s">
        <v>714</v>
      </c>
      <c r="C41" s="52"/>
      <c r="D41" s="52"/>
      <c r="E41" s="52"/>
      <c r="F41" s="52"/>
      <c r="G41" s="52"/>
      <c r="H41" s="1"/>
      <c r="I41" s="1"/>
      <c r="J41" s="96"/>
    </row>
    <row r="42" spans="1:10" s="95" customFormat="1" ht="41.25" hidden="1" customHeight="1" x14ac:dyDescent="0.25">
      <c r="A42" s="1">
        <v>36</v>
      </c>
      <c r="B42" s="56" t="s">
        <v>715</v>
      </c>
      <c r="C42" s="52"/>
      <c r="D42" s="52"/>
      <c r="E42" s="52"/>
      <c r="F42" s="52"/>
      <c r="G42" s="52"/>
      <c r="H42" s="1"/>
      <c r="I42" s="1"/>
      <c r="J42" s="96"/>
    </row>
    <row r="43" spans="1:10" s="95" customFormat="1" ht="24.75" hidden="1" customHeight="1" x14ac:dyDescent="0.25">
      <c r="A43" s="1">
        <v>37</v>
      </c>
      <c r="B43" s="56" t="s">
        <v>716</v>
      </c>
      <c r="C43" s="52"/>
      <c r="D43" s="52"/>
      <c r="E43" s="52"/>
      <c r="F43" s="52"/>
      <c r="G43" s="52"/>
      <c r="H43" s="1"/>
      <c r="I43" s="1"/>
      <c r="J43" s="96"/>
    </row>
    <row r="44" spans="1:10" s="95" customFormat="1" ht="24.75" hidden="1" customHeight="1" x14ac:dyDescent="0.25">
      <c r="A44" s="1">
        <v>38</v>
      </c>
      <c r="B44" s="56" t="s">
        <v>717</v>
      </c>
      <c r="C44" s="52"/>
      <c r="D44" s="52"/>
      <c r="E44" s="52"/>
      <c r="F44" s="52"/>
      <c r="G44" s="52"/>
      <c r="H44" s="1"/>
      <c r="I44" s="1"/>
      <c r="J44" s="96"/>
    </row>
    <row r="45" spans="1:10" s="95" customFormat="1" ht="24.75" hidden="1" customHeight="1" x14ac:dyDescent="0.25">
      <c r="A45" s="1">
        <v>39</v>
      </c>
      <c r="B45" s="56" t="s">
        <v>718</v>
      </c>
      <c r="C45" s="52"/>
      <c r="D45" s="52"/>
      <c r="E45" s="52"/>
      <c r="F45" s="52"/>
      <c r="G45" s="52"/>
      <c r="H45" s="1"/>
      <c r="I45" s="1"/>
      <c r="J45" s="96"/>
    </row>
    <row r="46" spans="1:10" s="130" customFormat="1" ht="24.75" hidden="1" customHeight="1" x14ac:dyDescent="0.25">
      <c r="A46" s="1">
        <v>40</v>
      </c>
      <c r="B46" s="73" t="s">
        <v>719</v>
      </c>
      <c r="C46" s="52"/>
      <c r="D46" s="52"/>
      <c r="E46" s="52"/>
      <c r="F46" s="52"/>
      <c r="G46" s="52"/>
      <c r="H46" s="1"/>
      <c r="I46" s="1"/>
      <c r="J46" s="77"/>
    </row>
    <row r="47" spans="1:10" s="3" customFormat="1" ht="24.75" hidden="1" customHeight="1" x14ac:dyDescent="0.25">
      <c r="A47" s="1">
        <v>41</v>
      </c>
      <c r="B47" s="56" t="s">
        <v>721</v>
      </c>
      <c r="C47" s="52"/>
      <c r="D47" s="52"/>
      <c r="E47" s="52"/>
      <c r="F47" s="52"/>
      <c r="G47" s="52"/>
      <c r="H47" s="1"/>
      <c r="I47" s="1"/>
      <c r="J47" s="174"/>
    </row>
    <row r="48" spans="1:10" s="331" customFormat="1" ht="42.75" customHeight="1" x14ac:dyDescent="0.25">
      <c r="A48" s="1">
        <v>42</v>
      </c>
      <c r="B48" s="56" t="s">
        <v>1080</v>
      </c>
      <c r="C48" s="52">
        <v>24</v>
      </c>
      <c r="D48" s="283">
        <v>26</v>
      </c>
      <c r="E48" s="52">
        <v>2</v>
      </c>
      <c r="F48" s="52"/>
      <c r="G48" s="52"/>
      <c r="H48" s="1">
        <v>2</v>
      </c>
      <c r="I48" s="1">
        <v>24</v>
      </c>
      <c r="J48" s="65" t="s">
        <v>1094</v>
      </c>
    </row>
    <row r="49" spans="1:10" s="3" customFormat="1" ht="35.25" customHeight="1" x14ac:dyDescent="0.25">
      <c r="A49" s="1">
        <v>43</v>
      </c>
      <c r="B49" s="56" t="s">
        <v>947</v>
      </c>
      <c r="C49" s="52">
        <v>9</v>
      </c>
      <c r="D49" s="283">
        <v>9</v>
      </c>
      <c r="E49" s="52"/>
      <c r="F49" s="52"/>
      <c r="G49" s="52"/>
      <c r="H49" s="1"/>
      <c r="I49" s="1">
        <v>9</v>
      </c>
      <c r="J49" s="258"/>
    </row>
    <row r="50" spans="1:10" s="3" customFormat="1" ht="35.25" customHeight="1" x14ac:dyDescent="0.25">
      <c r="A50" s="1">
        <v>44</v>
      </c>
      <c r="B50" s="56" t="s">
        <v>949</v>
      </c>
      <c r="C50" s="52">
        <v>18</v>
      </c>
      <c r="D50" s="283">
        <v>18</v>
      </c>
      <c r="E50" s="52"/>
      <c r="F50" s="52"/>
      <c r="G50" s="52"/>
      <c r="H50" s="1"/>
      <c r="I50" s="1">
        <v>18</v>
      </c>
      <c r="J50" s="302"/>
    </row>
    <row r="51" spans="1:10" s="3" customFormat="1" ht="28.5" hidden="1" customHeight="1" x14ac:dyDescent="0.25">
      <c r="A51" s="1">
        <v>45</v>
      </c>
      <c r="B51" s="56" t="s">
        <v>948</v>
      </c>
      <c r="C51" s="52"/>
      <c r="D51" s="52"/>
      <c r="E51" s="52"/>
      <c r="F51" s="52"/>
      <c r="G51" s="52"/>
      <c r="H51" s="1"/>
      <c r="I51" s="1"/>
      <c r="J51" s="173"/>
    </row>
    <row r="52" spans="1:10" s="3" customFormat="1" ht="28.5" hidden="1" customHeight="1" x14ac:dyDescent="0.25">
      <c r="A52" s="1">
        <v>46</v>
      </c>
      <c r="B52" s="56" t="s">
        <v>306</v>
      </c>
      <c r="C52" s="52"/>
      <c r="D52" s="52"/>
      <c r="E52" s="52"/>
      <c r="F52" s="52"/>
      <c r="G52" s="52"/>
      <c r="H52" s="1"/>
      <c r="I52" s="1"/>
      <c r="J52" s="65"/>
    </row>
    <row r="53" spans="1:10" s="3" customFormat="1" ht="33.75" hidden="1" customHeight="1" x14ac:dyDescent="0.25">
      <c r="A53" s="1">
        <v>47</v>
      </c>
      <c r="B53" s="56" t="s">
        <v>722</v>
      </c>
      <c r="C53" s="52"/>
      <c r="D53" s="52"/>
      <c r="E53" s="52"/>
      <c r="F53" s="52"/>
      <c r="G53" s="52"/>
      <c r="H53" s="1"/>
      <c r="I53" s="1"/>
      <c r="J53" s="65"/>
    </row>
    <row r="54" spans="1:10" s="254" customFormat="1" hidden="1" x14ac:dyDescent="0.25">
      <c r="A54" s="1">
        <v>48</v>
      </c>
      <c r="B54" s="56" t="s">
        <v>305</v>
      </c>
      <c r="C54" s="52"/>
      <c r="D54" s="52"/>
      <c r="E54" s="52"/>
      <c r="F54" s="52"/>
      <c r="G54" s="52"/>
      <c r="H54" s="1"/>
      <c r="I54" s="1"/>
      <c r="J54" s="263"/>
    </row>
    <row r="55" spans="1:10" s="254" customFormat="1" ht="25.5" hidden="1" customHeight="1" x14ac:dyDescent="0.25">
      <c r="A55" s="1">
        <v>49</v>
      </c>
      <c r="B55" s="80" t="s">
        <v>666</v>
      </c>
      <c r="C55" s="52"/>
      <c r="D55" s="52"/>
      <c r="E55" s="52"/>
      <c r="F55" s="52"/>
      <c r="G55" s="52"/>
      <c r="H55" s="1"/>
      <c r="I55" s="1"/>
      <c r="J55" s="55"/>
    </row>
    <row r="56" spans="1:10" s="3" customFormat="1" ht="25.5" hidden="1" customHeight="1" x14ac:dyDescent="0.25">
      <c r="A56" s="1">
        <v>50</v>
      </c>
      <c r="B56" s="80" t="s">
        <v>723</v>
      </c>
      <c r="C56" s="52"/>
      <c r="D56" s="52"/>
      <c r="E56" s="52"/>
      <c r="F56" s="52"/>
      <c r="G56" s="52"/>
      <c r="H56" s="1"/>
      <c r="I56" s="1"/>
      <c r="J56" s="170"/>
    </row>
    <row r="57" spans="1:10" s="291" customFormat="1" ht="25.5" hidden="1" customHeight="1" x14ac:dyDescent="0.25">
      <c r="A57" s="281">
        <v>51</v>
      </c>
      <c r="B57" s="282" t="s">
        <v>724</v>
      </c>
      <c r="C57" s="283"/>
      <c r="D57" s="283"/>
      <c r="E57" s="283"/>
      <c r="F57" s="283"/>
      <c r="G57" s="283"/>
      <c r="H57" s="281"/>
      <c r="I57" s="281"/>
      <c r="J57" s="290"/>
    </row>
    <row r="58" spans="1:10" s="291" customFormat="1" ht="25.5" hidden="1" customHeight="1" x14ac:dyDescent="0.25">
      <c r="A58" s="281">
        <v>52</v>
      </c>
      <c r="B58" s="282" t="s">
        <v>725</v>
      </c>
      <c r="C58" s="283"/>
      <c r="D58" s="283"/>
      <c r="E58" s="283"/>
      <c r="F58" s="283"/>
      <c r="G58" s="283"/>
      <c r="H58" s="281"/>
      <c r="I58" s="281"/>
      <c r="J58" s="290"/>
    </row>
    <row r="59" spans="1:10" s="291" customFormat="1" ht="16.5" hidden="1" x14ac:dyDescent="0.25">
      <c r="A59" s="281">
        <v>53</v>
      </c>
      <c r="B59" s="282" t="s">
        <v>327</v>
      </c>
      <c r="C59" s="283"/>
      <c r="D59" s="283"/>
      <c r="E59" s="283"/>
      <c r="F59" s="283"/>
      <c r="G59" s="283"/>
      <c r="H59" s="281"/>
      <c r="I59" s="281"/>
      <c r="J59" s="292"/>
    </row>
    <row r="60" spans="1:10" s="285" customFormat="1" ht="25.5" hidden="1" customHeight="1" x14ac:dyDescent="0.25">
      <c r="A60" s="281">
        <v>54</v>
      </c>
      <c r="B60" s="282" t="s">
        <v>726</v>
      </c>
      <c r="C60" s="283"/>
      <c r="D60" s="283"/>
      <c r="E60" s="283"/>
      <c r="F60" s="283"/>
      <c r="G60" s="283"/>
      <c r="H60" s="281"/>
      <c r="I60" s="281"/>
      <c r="J60" s="284"/>
    </row>
    <row r="61" spans="1:10" s="29" customFormat="1" ht="30.75" hidden="1" customHeight="1" x14ac:dyDescent="0.25">
      <c r="A61" s="71" t="s">
        <v>727</v>
      </c>
      <c r="B61" s="164"/>
      <c r="C61" s="210"/>
      <c r="D61" s="171"/>
      <c r="E61" s="171"/>
      <c r="F61" s="171"/>
      <c r="G61" s="171"/>
      <c r="H61" s="164"/>
      <c r="I61" s="164"/>
      <c r="J61" s="172"/>
    </row>
    <row r="62" spans="1:10" s="249" customFormat="1" ht="30.75" hidden="1" customHeight="1" x14ac:dyDescent="0.25">
      <c r="A62" s="59">
        <v>55</v>
      </c>
      <c r="B62" s="56" t="s">
        <v>310</v>
      </c>
      <c r="C62" s="52"/>
      <c r="D62" s="52"/>
      <c r="E62" s="52"/>
      <c r="F62" s="52"/>
      <c r="G62" s="52"/>
      <c r="H62" s="1"/>
      <c r="I62" s="1"/>
      <c r="J62" s="258"/>
    </row>
    <row r="63" spans="1:10" s="249" customFormat="1" ht="30.75" hidden="1" customHeight="1" x14ac:dyDescent="0.25">
      <c r="A63" s="1">
        <v>56</v>
      </c>
      <c r="B63" s="56" t="s">
        <v>311</v>
      </c>
      <c r="C63" s="52"/>
      <c r="D63" s="52"/>
      <c r="E63" s="52"/>
      <c r="F63" s="52"/>
      <c r="G63" s="52"/>
      <c r="H63" s="1"/>
      <c r="I63" s="1"/>
      <c r="J63" s="65"/>
    </row>
    <row r="64" spans="1:10" s="254" customFormat="1" x14ac:dyDescent="0.25">
      <c r="A64" s="59">
        <v>57</v>
      </c>
      <c r="B64" s="56" t="s">
        <v>728</v>
      </c>
      <c r="C64" s="52">
        <v>1</v>
      </c>
      <c r="D64" s="283">
        <v>1</v>
      </c>
      <c r="E64" s="52"/>
      <c r="F64" s="52"/>
      <c r="G64" s="52"/>
      <c r="H64" s="1"/>
      <c r="I64" s="1">
        <v>1</v>
      </c>
      <c r="J64" s="65"/>
    </row>
    <row r="65" spans="1:10" s="249" customFormat="1" ht="34.5" hidden="1" customHeight="1" x14ac:dyDescent="0.25">
      <c r="A65" s="1">
        <v>58</v>
      </c>
      <c r="B65" s="56" t="s">
        <v>312</v>
      </c>
      <c r="C65" s="52"/>
      <c r="D65" s="52"/>
      <c r="E65" s="52"/>
      <c r="F65" s="52"/>
      <c r="G65" s="52"/>
      <c r="H65" s="1"/>
      <c r="I65" s="1"/>
      <c r="J65" s="251"/>
    </row>
    <row r="66" spans="1:10" s="249" customFormat="1" ht="30.75" hidden="1" customHeight="1" x14ac:dyDescent="0.25">
      <c r="A66" s="59">
        <v>59</v>
      </c>
      <c r="B66" s="56" t="s">
        <v>313</v>
      </c>
      <c r="C66" s="52"/>
      <c r="D66" s="52"/>
      <c r="E66" s="52"/>
      <c r="F66" s="52"/>
      <c r="G66" s="52"/>
      <c r="H66" s="1"/>
      <c r="I66" s="1"/>
      <c r="J66" s="259"/>
    </row>
    <row r="67" spans="1:10" s="3" customFormat="1" ht="30.75" hidden="1" customHeight="1" x14ac:dyDescent="0.25">
      <c r="A67" s="1">
        <v>60</v>
      </c>
      <c r="B67" s="56" t="s">
        <v>610</v>
      </c>
      <c r="C67" s="52"/>
      <c r="D67" s="52"/>
      <c r="E67" s="52"/>
      <c r="F67" s="52"/>
      <c r="G67" s="52"/>
      <c r="H67" s="1"/>
      <c r="I67" s="1"/>
      <c r="J67" s="216"/>
    </row>
    <row r="68" spans="1:10" s="130" customFormat="1" ht="30.75" hidden="1" customHeight="1" x14ac:dyDescent="0.25">
      <c r="A68" s="59">
        <v>61</v>
      </c>
      <c r="B68" s="80" t="s">
        <v>729</v>
      </c>
      <c r="C68" s="52"/>
      <c r="D68" s="52"/>
      <c r="E68" s="52"/>
      <c r="F68" s="52"/>
      <c r="G68" s="52"/>
      <c r="H68" s="1"/>
      <c r="I68" s="1"/>
      <c r="J68" s="175"/>
    </row>
    <row r="69" spans="1:10" s="3" customFormat="1" ht="30.75" hidden="1" customHeight="1" x14ac:dyDescent="0.25">
      <c r="A69" s="71" t="s">
        <v>730</v>
      </c>
      <c r="B69" s="164"/>
      <c r="C69" s="210"/>
      <c r="D69" s="171"/>
      <c r="E69" s="171"/>
      <c r="F69" s="171"/>
      <c r="G69" s="171"/>
      <c r="H69" s="164"/>
      <c r="I69" s="164"/>
      <c r="J69" s="172"/>
    </row>
    <row r="70" spans="1:10" s="308" customFormat="1" ht="72.75" customHeight="1" x14ac:dyDescent="0.25">
      <c r="A70" s="1">
        <v>62</v>
      </c>
      <c r="B70" s="56" t="s">
        <v>16</v>
      </c>
      <c r="C70" s="52">
        <v>3</v>
      </c>
      <c r="D70" s="283">
        <v>2</v>
      </c>
      <c r="E70" s="52">
        <v>1</v>
      </c>
      <c r="F70" s="52"/>
      <c r="G70" s="52"/>
      <c r="H70" s="1">
        <v>1</v>
      </c>
      <c r="I70" s="1">
        <v>1</v>
      </c>
      <c r="J70" s="65" t="s">
        <v>1078</v>
      </c>
    </row>
    <row r="71" spans="1:10" s="254" customFormat="1" x14ac:dyDescent="0.25">
      <c r="A71" s="59">
        <v>63</v>
      </c>
      <c r="B71" s="13" t="s">
        <v>321</v>
      </c>
      <c r="C71" s="52">
        <v>1</v>
      </c>
      <c r="D71" s="283">
        <v>1</v>
      </c>
      <c r="E71" s="52"/>
      <c r="F71" s="52"/>
      <c r="G71" s="52"/>
      <c r="H71" s="1"/>
      <c r="I71" s="1">
        <v>1</v>
      </c>
      <c r="J71" s="56"/>
    </row>
    <row r="72" spans="1:10" s="130" customFormat="1" ht="15.75" hidden="1" x14ac:dyDescent="0.25">
      <c r="A72" s="1">
        <v>64</v>
      </c>
      <c r="B72" s="129" t="s">
        <v>663</v>
      </c>
      <c r="C72" s="52"/>
      <c r="D72" s="52"/>
      <c r="E72" s="52"/>
      <c r="F72" s="52"/>
      <c r="G72" s="52"/>
      <c r="H72" s="1"/>
      <c r="I72" s="1"/>
      <c r="J72" s="280"/>
    </row>
    <row r="73" spans="1:10" s="3" customFormat="1" ht="15.75" hidden="1" x14ac:dyDescent="0.25">
      <c r="A73" s="364" t="s">
        <v>923</v>
      </c>
      <c r="B73" s="365"/>
      <c r="C73" s="211"/>
      <c r="D73" s="242"/>
      <c r="E73" s="242"/>
      <c r="F73" s="242"/>
      <c r="G73" s="242"/>
      <c r="H73" s="242"/>
      <c r="I73" s="242"/>
      <c r="J73" s="189"/>
    </row>
    <row r="74" spans="1:10" s="254" customFormat="1" hidden="1" x14ac:dyDescent="0.25">
      <c r="A74" s="1">
        <v>65</v>
      </c>
      <c r="B74" s="56" t="s">
        <v>317</v>
      </c>
      <c r="C74" s="52"/>
      <c r="D74" s="52"/>
      <c r="E74" s="52"/>
      <c r="F74" s="52"/>
      <c r="G74" s="52"/>
      <c r="H74" s="1"/>
      <c r="I74" s="1"/>
      <c r="J74" s="263"/>
    </row>
    <row r="75" spans="1:10" s="254" customFormat="1" x14ac:dyDescent="0.25">
      <c r="A75" s="1">
        <v>66</v>
      </c>
      <c r="B75" s="56" t="s">
        <v>318</v>
      </c>
      <c r="C75" s="52">
        <v>5</v>
      </c>
      <c r="D75" s="283">
        <v>5</v>
      </c>
      <c r="E75" s="52"/>
      <c r="F75" s="52"/>
      <c r="G75" s="52"/>
      <c r="H75" s="1"/>
      <c r="I75" s="1">
        <v>5</v>
      </c>
      <c r="J75" s="61"/>
    </row>
    <row r="76" spans="1:10" s="130" customFormat="1" ht="15.75" hidden="1" customHeight="1" x14ac:dyDescent="0.25">
      <c r="A76" s="71" t="s">
        <v>731</v>
      </c>
      <c r="B76" s="164"/>
      <c r="C76" s="210"/>
      <c r="D76" s="171"/>
      <c r="E76" s="171"/>
      <c r="F76" s="171"/>
      <c r="G76" s="171"/>
      <c r="H76" s="164"/>
      <c r="I76" s="164"/>
      <c r="J76" s="172"/>
    </row>
    <row r="77" spans="1:10" s="254" customFormat="1" ht="35.25" customHeight="1" x14ac:dyDescent="0.25">
      <c r="A77" s="1">
        <v>67</v>
      </c>
      <c r="B77" s="56" t="s">
        <v>293</v>
      </c>
      <c r="C77" s="52">
        <v>5</v>
      </c>
      <c r="D77" s="283">
        <v>5</v>
      </c>
      <c r="E77" s="52"/>
      <c r="F77" s="52"/>
      <c r="G77" s="52"/>
      <c r="H77" s="1"/>
      <c r="I77" s="1">
        <v>5</v>
      </c>
      <c r="J77" s="264"/>
    </row>
    <row r="78" spans="1:10" s="254" customFormat="1" ht="48.75" hidden="1" customHeight="1" x14ac:dyDescent="0.25">
      <c r="A78" s="59">
        <v>68</v>
      </c>
      <c r="B78" s="56" t="s">
        <v>294</v>
      </c>
      <c r="C78" s="52"/>
      <c r="D78" s="52"/>
      <c r="E78" s="52"/>
      <c r="F78" s="52"/>
      <c r="G78" s="52"/>
      <c r="H78" s="1"/>
      <c r="I78" s="1"/>
      <c r="J78" s="238"/>
    </row>
    <row r="79" spans="1:10" s="254" customFormat="1" ht="34.5" customHeight="1" x14ac:dyDescent="0.25">
      <c r="A79" s="1">
        <v>69</v>
      </c>
      <c r="B79" s="13" t="s">
        <v>295</v>
      </c>
      <c r="C79" s="52">
        <v>1</v>
      </c>
      <c r="D79" s="283">
        <v>1</v>
      </c>
      <c r="E79" s="52"/>
      <c r="F79" s="52"/>
      <c r="G79" s="52"/>
      <c r="H79" s="1"/>
      <c r="I79" s="1">
        <v>1</v>
      </c>
      <c r="J79" s="252"/>
    </row>
    <row r="80" spans="1:10" s="3" customFormat="1" ht="26.25" hidden="1" customHeight="1" x14ac:dyDescent="0.25">
      <c r="A80" s="59">
        <v>70</v>
      </c>
      <c r="B80" s="56" t="s">
        <v>297</v>
      </c>
      <c r="C80" s="52"/>
      <c r="D80" s="52"/>
      <c r="E80" s="52"/>
      <c r="F80" s="52"/>
      <c r="G80" s="52"/>
      <c r="H80" s="1"/>
      <c r="I80" s="1"/>
      <c r="J80" s="66"/>
    </row>
    <row r="81" spans="1:38" s="3" customFormat="1" ht="26.25" hidden="1" customHeight="1" x14ac:dyDescent="0.25">
      <c r="A81" s="1">
        <v>71</v>
      </c>
      <c r="B81" s="56" t="s">
        <v>300</v>
      </c>
      <c r="C81" s="52"/>
      <c r="D81" s="52"/>
      <c r="E81" s="52"/>
      <c r="F81" s="52"/>
      <c r="G81" s="52"/>
      <c r="H81" s="1"/>
      <c r="I81" s="1"/>
      <c r="J81" s="231"/>
    </row>
    <row r="82" spans="1:38" s="3" customFormat="1" ht="24.75" customHeight="1" x14ac:dyDescent="0.25">
      <c r="A82" s="59">
        <v>72</v>
      </c>
      <c r="B82" s="73" t="s">
        <v>615</v>
      </c>
      <c r="C82" s="52"/>
      <c r="D82" s="283">
        <v>2</v>
      </c>
      <c r="E82" s="52"/>
      <c r="F82" s="52"/>
      <c r="G82" s="52"/>
      <c r="H82" s="1"/>
      <c r="I82" s="1">
        <v>2</v>
      </c>
      <c r="J82" s="231"/>
    </row>
    <row r="83" spans="1:38" s="3" customFormat="1" ht="36" hidden="1" customHeight="1" x14ac:dyDescent="0.25">
      <c r="A83" s="1">
        <v>73</v>
      </c>
      <c r="B83" s="56" t="s">
        <v>314</v>
      </c>
      <c r="C83" s="52"/>
      <c r="D83" s="52"/>
      <c r="E83" s="52"/>
      <c r="F83" s="52"/>
      <c r="G83" s="52"/>
      <c r="H83" s="1"/>
      <c r="I83" s="1"/>
      <c r="J83" s="170"/>
    </row>
    <row r="84" spans="1:38" s="3" customFormat="1" ht="26.25" hidden="1" customHeight="1" x14ac:dyDescent="0.25">
      <c r="A84" s="59">
        <v>74</v>
      </c>
      <c r="B84" s="56" t="s">
        <v>732</v>
      </c>
      <c r="C84" s="52"/>
      <c r="D84" s="52"/>
      <c r="E84" s="52"/>
      <c r="F84" s="52"/>
      <c r="G84" s="52"/>
      <c r="H84" s="1"/>
      <c r="I84" s="1"/>
      <c r="J84" s="170"/>
    </row>
    <row r="85" spans="1:38" s="130" customFormat="1" ht="26.25" hidden="1" customHeight="1" x14ac:dyDescent="0.25">
      <c r="A85" s="1">
        <v>75</v>
      </c>
      <c r="B85" s="80" t="s">
        <v>352</v>
      </c>
      <c r="C85" s="52"/>
      <c r="D85" s="52"/>
      <c r="E85" s="52"/>
      <c r="F85" s="52"/>
      <c r="G85" s="52"/>
      <c r="H85" s="1"/>
      <c r="I85" s="1"/>
      <c r="J85" s="175"/>
    </row>
    <row r="86" spans="1:38" s="130" customFormat="1" ht="26.25" hidden="1" customHeight="1" x14ac:dyDescent="0.25">
      <c r="A86" s="59">
        <v>76</v>
      </c>
      <c r="B86" s="80" t="s">
        <v>733</v>
      </c>
      <c r="C86" s="52"/>
      <c r="D86" s="52"/>
      <c r="E86" s="52"/>
      <c r="F86" s="52"/>
      <c r="G86" s="52"/>
      <c r="H86" s="1"/>
      <c r="I86" s="1"/>
      <c r="J86" s="175"/>
    </row>
    <row r="87" spans="1:38" s="249" customFormat="1" ht="26.25" hidden="1" customHeight="1" x14ac:dyDescent="0.25">
      <c r="A87" s="1">
        <v>77</v>
      </c>
      <c r="B87" s="56" t="s">
        <v>734</v>
      </c>
      <c r="C87" s="52"/>
      <c r="D87" s="52"/>
      <c r="E87" s="52"/>
      <c r="F87" s="52"/>
      <c r="G87" s="52"/>
      <c r="H87" s="1"/>
      <c r="I87" s="1"/>
      <c r="J87" s="258"/>
    </row>
    <row r="88" spans="1:38" s="3" customFormat="1" ht="35.25" customHeight="1" x14ac:dyDescent="0.25">
      <c r="A88" s="59">
        <v>78</v>
      </c>
      <c r="B88" s="56" t="s">
        <v>735</v>
      </c>
      <c r="C88" s="52"/>
      <c r="D88" s="283">
        <v>2</v>
      </c>
      <c r="E88" s="52"/>
      <c r="F88" s="52"/>
      <c r="G88" s="52"/>
      <c r="H88" s="1"/>
      <c r="I88" s="1">
        <v>2</v>
      </c>
      <c r="J88" s="314"/>
    </row>
    <row r="89" spans="1:38" s="3" customFormat="1" ht="25.5" hidden="1" customHeight="1" x14ac:dyDescent="0.25">
      <c r="A89" s="1">
        <v>79</v>
      </c>
      <c r="B89" s="56" t="s">
        <v>298</v>
      </c>
      <c r="C89" s="52"/>
      <c r="D89" s="52"/>
      <c r="E89" s="52"/>
      <c r="F89" s="52"/>
      <c r="G89" s="52"/>
      <c r="H89" s="1"/>
      <c r="I89" s="1"/>
      <c r="J89" s="177"/>
    </row>
    <row r="90" spans="1:38" s="3" customFormat="1" ht="25.5" hidden="1" customHeight="1" x14ac:dyDescent="0.25">
      <c r="A90" s="59">
        <v>80</v>
      </c>
      <c r="B90" s="56" t="s">
        <v>736</v>
      </c>
      <c r="C90" s="52"/>
      <c r="D90" s="52"/>
      <c r="E90" s="52"/>
      <c r="F90" s="52"/>
      <c r="G90" s="52"/>
      <c r="H90" s="1"/>
      <c r="I90" s="1"/>
      <c r="J90" s="97"/>
    </row>
    <row r="91" spans="1:38" s="249" customFormat="1" ht="25.5" hidden="1" customHeight="1" x14ac:dyDescent="0.25">
      <c r="A91" s="1">
        <v>81</v>
      </c>
      <c r="B91" s="56" t="s">
        <v>737</v>
      </c>
      <c r="C91" s="52"/>
      <c r="D91" s="52"/>
      <c r="E91" s="52"/>
      <c r="F91" s="52"/>
      <c r="G91" s="52"/>
      <c r="H91" s="1"/>
      <c r="I91" s="1"/>
      <c r="J91" s="252"/>
    </row>
    <row r="92" spans="1:38" s="3" customFormat="1" ht="31.5" hidden="1" customHeight="1" x14ac:dyDescent="0.25">
      <c r="A92" s="59">
        <v>82</v>
      </c>
      <c r="B92" s="56" t="s">
        <v>319</v>
      </c>
      <c r="C92" s="52"/>
      <c r="D92" s="52"/>
      <c r="E92" s="52"/>
      <c r="F92" s="52"/>
      <c r="G92" s="52"/>
      <c r="H92" s="1"/>
      <c r="I92" s="1"/>
      <c r="J92" s="263"/>
    </row>
    <row r="93" spans="1:38" s="3" customFormat="1" ht="27" hidden="1" customHeight="1" x14ac:dyDescent="0.25">
      <c r="A93" s="1">
        <v>83</v>
      </c>
      <c r="B93" s="56" t="s">
        <v>738</v>
      </c>
      <c r="C93" s="52"/>
      <c r="D93" s="52"/>
      <c r="E93" s="52"/>
      <c r="F93" s="52"/>
      <c r="G93" s="52"/>
      <c r="H93" s="1"/>
      <c r="I93" s="1"/>
      <c r="J93" s="96"/>
    </row>
    <row r="94" spans="1:38" s="3" customFormat="1" ht="27" hidden="1" customHeight="1" x14ac:dyDescent="0.25">
      <c r="A94" s="59">
        <v>84</v>
      </c>
      <c r="B94" s="56" t="s">
        <v>739</v>
      </c>
      <c r="C94" s="52"/>
      <c r="D94" s="52"/>
      <c r="E94" s="52"/>
      <c r="F94" s="52"/>
      <c r="G94" s="52"/>
      <c r="H94" s="1"/>
      <c r="I94" s="1"/>
      <c r="J94" s="96"/>
    </row>
    <row r="95" spans="1:38" ht="27" hidden="1" customHeight="1" x14ac:dyDescent="0.25">
      <c r="A95" s="161" t="s">
        <v>740</v>
      </c>
      <c r="C95" s="212"/>
      <c r="D95" s="178"/>
      <c r="E95" s="178"/>
      <c r="F95" s="178"/>
      <c r="G95" s="178"/>
      <c r="J95" s="179"/>
    </row>
    <row r="96" spans="1:38" s="71" customFormat="1" ht="27" hidden="1" customHeight="1" x14ac:dyDescent="0.25">
      <c r="A96" s="1">
        <v>85</v>
      </c>
      <c r="B96" s="56" t="s">
        <v>328</v>
      </c>
      <c r="C96" s="52"/>
      <c r="D96" s="52"/>
      <c r="E96" s="52"/>
      <c r="F96" s="52"/>
      <c r="G96" s="52"/>
      <c r="H96" s="1"/>
      <c r="I96" s="1"/>
      <c r="J96" s="180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</row>
    <row r="97" spans="1:10" s="254" customFormat="1" ht="55.5" hidden="1" customHeight="1" x14ac:dyDescent="0.25">
      <c r="A97" s="1">
        <v>86</v>
      </c>
      <c r="B97" s="56" t="s">
        <v>329</v>
      </c>
      <c r="C97" s="52"/>
      <c r="D97" s="52"/>
      <c r="E97" s="52"/>
      <c r="F97" s="52"/>
      <c r="G97" s="52"/>
      <c r="H97" s="1"/>
      <c r="I97" s="1"/>
      <c r="J97" s="56"/>
    </row>
    <row r="98" spans="1:10" s="3" customFormat="1" ht="15.75" hidden="1" x14ac:dyDescent="0.25">
      <c r="A98" s="71" t="s">
        <v>741</v>
      </c>
      <c r="B98" s="164"/>
      <c r="C98" s="210"/>
      <c r="D98" s="171"/>
      <c r="E98" s="171"/>
      <c r="F98" s="171"/>
      <c r="G98" s="171"/>
      <c r="H98" s="164"/>
      <c r="I98" s="1"/>
      <c r="J98" s="172"/>
    </row>
    <row r="99" spans="1:10" s="3" customFormat="1" ht="28.5" hidden="1" customHeight="1" x14ac:dyDescent="0.25">
      <c r="A99" s="1">
        <v>87</v>
      </c>
      <c r="B99" s="56" t="s">
        <v>742</v>
      </c>
      <c r="C99" s="52"/>
      <c r="D99" s="52"/>
      <c r="E99" s="52"/>
      <c r="F99" s="52"/>
      <c r="G99" s="52"/>
      <c r="H99" s="1"/>
      <c r="I99" s="1"/>
      <c r="J99" s="181"/>
    </row>
    <row r="100" spans="1:10" s="3" customFormat="1" ht="28.5" hidden="1" customHeight="1" x14ac:dyDescent="0.25">
      <c r="A100" s="1">
        <v>88</v>
      </c>
      <c r="B100" s="56" t="s">
        <v>743</v>
      </c>
      <c r="C100" s="52"/>
      <c r="D100" s="52"/>
      <c r="E100" s="52"/>
      <c r="F100" s="52"/>
      <c r="G100" s="52"/>
      <c r="H100" s="1"/>
      <c r="I100" s="1"/>
      <c r="J100" s="181"/>
    </row>
    <row r="101" spans="1:10" s="3" customFormat="1" hidden="1" x14ac:dyDescent="0.25">
      <c r="A101" s="1">
        <v>89</v>
      </c>
      <c r="B101" s="56" t="s">
        <v>744</v>
      </c>
      <c r="C101" s="52"/>
      <c r="D101" s="52"/>
      <c r="E101" s="52"/>
      <c r="F101" s="52"/>
      <c r="G101" s="52"/>
      <c r="H101" s="1"/>
      <c r="I101" s="1"/>
      <c r="J101" s="279"/>
    </row>
    <row r="102" spans="1:10" s="3" customFormat="1" ht="28.5" hidden="1" customHeight="1" x14ac:dyDescent="0.25">
      <c r="A102" s="1">
        <v>90</v>
      </c>
      <c r="B102" s="56" t="s">
        <v>745</v>
      </c>
      <c r="C102" s="52"/>
      <c r="D102" s="52"/>
      <c r="E102" s="52"/>
      <c r="F102" s="52"/>
      <c r="G102" s="52"/>
      <c r="H102" s="1"/>
      <c r="I102" s="1"/>
      <c r="J102" s="181"/>
    </row>
    <row r="103" spans="1:10" s="3" customFormat="1" ht="28.5" hidden="1" customHeight="1" x14ac:dyDescent="0.25">
      <c r="A103" s="1">
        <v>91</v>
      </c>
      <c r="B103" s="56" t="s">
        <v>746</v>
      </c>
      <c r="C103" s="52"/>
      <c r="D103" s="52"/>
      <c r="E103" s="52"/>
      <c r="F103" s="52"/>
      <c r="G103" s="52"/>
      <c r="H103" s="1"/>
      <c r="I103" s="1"/>
      <c r="J103" s="181"/>
    </row>
    <row r="104" spans="1:10" s="3" customFormat="1" ht="28.5" hidden="1" customHeight="1" x14ac:dyDescent="0.25">
      <c r="A104" s="1">
        <v>92</v>
      </c>
      <c r="B104" s="56" t="s">
        <v>331</v>
      </c>
      <c r="C104" s="52"/>
      <c r="D104" s="52"/>
      <c r="E104" s="52"/>
      <c r="F104" s="52"/>
      <c r="G104" s="52"/>
      <c r="H104" s="1"/>
      <c r="I104" s="1"/>
      <c r="J104" s="65"/>
    </row>
    <row r="105" spans="1:10" s="254" customFormat="1" ht="39.75" hidden="1" customHeight="1" x14ac:dyDescent="0.25">
      <c r="A105" s="1">
        <v>93</v>
      </c>
      <c r="B105" s="56" t="s">
        <v>325</v>
      </c>
      <c r="C105" s="52"/>
      <c r="D105" s="52"/>
      <c r="E105" s="52"/>
      <c r="F105" s="52"/>
      <c r="G105" s="52"/>
      <c r="H105" s="1"/>
      <c r="I105" s="1"/>
      <c r="J105" s="65"/>
    </row>
    <row r="106" spans="1:10" s="3" customFormat="1" ht="28.5" hidden="1" customHeight="1" x14ac:dyDescent="0.25">
      <c r="A106" s="1">
        <v>94</v>
      </c>
      <c r="B106" s="56" t="s">
        <v>301</v>
      </c>
      <c r="C106" s="1"/>
      <c r="D106" s="244"/>
      <c r="E106" s="52"/>
      <c r="F106" s="52"/>
      <c r="G106" s="52"/>
      <c r="H106" s="1"/>
      <c r="I106" s="1"/>
      <c r="J106" s="56"/>
    </row>
    <row r="107" spans="1:10" s="3" customFormat="1" ht="28.5" hidden="1" customHeight="1" x14ac:dyDescent="0.25">
      <c r="A107" s="1">
        <v>95</v>
      </c>
      <c r="B107" s="56" t="s">
        <v>302</v>
      </c>
      <c r="C107" s="52"/>
      <c r="D107" s="52"/>
      <c r="E107" s="52"/>
      <c r="F107" s="52"/>
      <c r="G107" s="52"/>
      <c r="H107" s="1"/>
      <c r="I107" s="1"/>
      <c r="J107" s="65"/>
    </row>
    <row r="108" spans="1:10" s="3" customFormat="1" ht="28.5" hidden="1" customHeight="1" x14ac:dyDescent="0.25">
      <c r="A108" s="1">
        <v>96</v>
      </c>
      <c r="B108" s="56" t="s">
        <v>315</v>
      </c>
      <c r="C108" s="52"/>
      <c r="D108" s="52"/>
      <c r="E108" s="52"/>
      <c r="F108" s="52"/>
      <c r="G108" s="52"/>
      <c r="H108" s="1"/>
      <c r="I108" s="1"/>
      <c r="J108" s="97"/>
    </row>
    <row r="109" spans="1:10" s="3" customFormat="1" ht="28.5" hidden="1" customHeight="1" x14ac:dyDescent="0.25">
      <c r="A109" s="1">
        <v>97</v>
      </c>
      <c r="B109" s="56" t="s">
        <v>316</v>
      </c>
      <c r="C109" s="52"/>
      <c r="D109" s="52"/>
      <c r="E109" s="52"/>
      <c r="F109" s="52"/>
      <c r="G109" s="52"/>
      <c r="H109" s="1"/>
      <c r="I109" s="1"/>
      <c r="J109" s="96"/>
    </row>
    <row r="110" spans="1:10" s="3" customFormat="1" ht="28.5" hidden="1" customHeight="1" x14ac:dyDescent="0.25">
      <c r="A110" s="1">
        <v>98</v>
      </c>
      <c r="B110" s="56" t="s">
        <v>320</v>
      </c>
      <c r="C110" s="52"/>
      <c r="D110" s="52"/>
      <c r="E110" s="52"/>
      <c r="F110" s="52"/>
      <c r="G110" s="52"/>
      <c r="H110" s="1"/>
      <c r="I110" s="1"/>
      <c r="J110" s="177"/>
    </row>
    <row r="111" spans="1:10" s="29" customFormat="1" ht="16.5" hidden="1" x14ac:dyDescent="0.25">
      <c r="A111" s="1">
        <v>99</v>
      </c>
      <c r="B111" s="282" t="s">
        <v>326</v>
      </c>
      <c r="C111" s="52"/>
      <c r="D111" s="52"/>
      <c r="E111" s="52"/>
      <c r="F111" s="52"/>
      <c r="G111" s="52"/>
      <c r="H111" s="1"/>
      <c r="I111" s="1"/>
      <c r="J111" s="286"/>
    </row>
    <row r="112" spans="1:10" s="29" customFormat="1" ht="28.5" hidden="1" customHeight="1" x14ac:dyDescent="0.25">
      <c r="A112" s="1">
        <v>100</v>
      </c>
      <c r="B112" s="116" t="s">
        <v>598</v>
      </c>
      <c r="C112" s="52"/>
      <c r="D112" s="52"/>
      <c r="E112" s="52"/>
      <c r="F112" s="52"/>
      <c r="G112" s="52"/>
      <c r="H112" s="1"/>
      <c r="I112" s="1"/>
      <c r="J112" s="241"/>
    </row>
    <row r="113" spans="1:13" s="29" customFormat="1" ht="39" hidden="1" customHeight="1" x14ac:dyDescent="0.25">
      <c r="A113" s="1">
        <v>101</v>
      </c>
      <c r="B113" s="116" t="s">
        <v>613</v>
      </c>
      <c r="C113" s="52"/>
      <c r="D113" s="52"/>
      <c r="E113" s="52"/>
      <c r="F113" s="52"/>
      <c r="G113" s="52"/>
      <c r="H113" s="1"/>
      <c r="I113" s="1"/>
      <c r="J113" s="176"/>
    </row>
    <row r="114" spans="1:13" s="3" customFormat="1" ht="25.5" hidden="1" customHeight="1" x14ac:dyDescent="0.25">
      <c r="A114" s="1">
        <v>102</v>
      </c>
      <c r="B114" s="231" t="s">
        <v>390</v>
      </c>
      <c r="C114" s="52"/>
      <c r="D114" s="52"/>
      <c r="E114" s="52"/>
      <c r="F114" s="52"/>
      <c r="G114" s="52"/>
      <c r="H114" s="1"/>
      <c r="I114" s="1"/>
      <c r="J114" s="96"/>
    </row>
    <row r="115" spans="1:13" s="3" customFormat="1" ht="25.5" hidden="1" customHeight="1" x14ac:dyDescent="0.25">
      <c r="A115" s="1">
        <v>103</v>
      </c>
      <c r="B115" s="56" t="s">
        <v>330</v>
      </c>
      <c r="C115" s="52"/>
      <c r="D115" s="52"/>
      <c r="E115" s="52"/>
      <c r="F115" s="52"/>
      <c r="G115" s="52"/>
      <c r="H115" s="1"/>
      <c r="I115" s="1"/>
      <c r="J115" s="170"/>
    </row>
    <row r="116" spans="1:13" s="3" customFormat="1" ht="25.5" hidden="1" customHeight="1" x14ac:dyDescent="0.25">
      <c r="A116" s="1">
        <v>104</v>
      </c>
      <c r="B116" s="80" t="s">
        <v>676</v>
      </c>
      <c r="C116" s="52"/>
      <c r="D116" s="52"/>
      <c r="E116" s="52"/>
      <c r="F116" s="52"/>
      <c r="G116" s="52"/>
      <c r="H116" s="1"/>
      <c r="I116" s="1"/>
      <c r="J116" s="96"/>
    </row>
    <row r="117" spans="1:13" s="3" customFormat="1" ht="25.5" hidden="1" customHeight="1" x14ac:dyDescent="0.25">
      <c r="A117" s="1">
        <v>105</v>
      </c>
      <c r="B117" s="56" t="s">
        <v>393</v>
      </c>
      <c r="C117" s="52"/>
      <c r="D117" s="52"/>
      <c r="E117" s="52"/>
      <c r="F117" s="52"/>
      <c r="G117" s="52"/>
      <c r="H117" s="1"/>
      <c r="I117" s="1"/>
      <c r="J117" s="170"/>
    </row>
    <row r="118" spans="1:13" s="3" customFormat="1" ht="25.5" hidden="1" customHeight="1" x14ac:dyDescent="0.25">
      <c r="A118" s="1">
        <v>106</v>
      </c>
      <c r="B118" s="56" t="s">
        <v>278</v>
      </c>
      <c r="C118" s="52"/>
      <c r="D118" s="52"/>
      <c r="E118" s="52"/>
      <c r="F118" s="52"/>
      <c r="G118" s="52"/>
      <c r="H118" s="1"/>
      <c r="I118" s="1"/>
      <c r="J118" s="96"/>
    </row>
    <row r="119" spans="1:13" s="256" customFormat="1" ht="24.95" hidden="1" customHeight="1" x14ac:dyDescent="0.25">
      <c r="A119" s="1">
        <v>107</v>
      </c>
      <c r="B119" s="56" t="s">
        <v>677</v>
      </c>
      <c r="C119" s="52"/>
      <c r="D119" s="52"/>
      <c r="E119" s="52"/>
      <c r="F119" s="52"/>
      <c r="G119" s="52"/>
      <c r="H119" s="1"/>
      <c r="I119" s="1"/>
      <c r="J119" s="182"/>
      <c r="M119" s="257"/>
    </row>
    <row r="120" spans="1:13" s="12" customFormat="1" ht="24.95" hidden="1" customHeight="1" x14ac:dyDescent="0.25">
      <c r="A120" s="52">
        <v>108</v>
      </c>
      <c r="B120" s="65" t="s">
        <v>857</v>
      </c>
      <c r="C120" s="52"/>
      <c r="D120" s="52"/>
      <c r="E120" s="52"/>
      <c r="F120" s="52"/>
      <c r="G120" s="52"/>
      <c r="H120" s="1"/>
      <c r="I120" s="1"/>
      <c r="J120" s="182"/>
      <c r="M120" s="14"/>
    </row>
    <row r="121" spans="1:13" s="12" customFormat="1" ht="24.95" hidden="1" customHeight="1" x14ac:dyDescent="0.25">
      <c r="A121" s="52">
        <v>109</v>
      </c>
      <c r="B121" s="65" t="s">
        <v>858</v>
      </c>
      <c r="C121" s="52"/>
      <c r="D121" s="52"/>
      <c r="E121" s="52"/>
      <c r="F121" s="52"/>
      <c r="G121" s="52"/>
      <c r="H121" s="1"/>
      <c r="I121" s="1"/>
      <c r="J121" s="182"/>
      <c r="M121" s="14"/>
    </row>
    <row r="122" spans="1:13" s="12" customFormat="1" ht="24.95" hidden="1" customHeight="1" x14ac:dyDescent="0.25">
      <c r="A122" s="52">
        <v>110</v>
      </c>
      <c r="B122" s="65" t="s">
        <v>859</v>
      </c>
      <c r="C122" s="52"/>
      <c r="D122" s="52"/>
      <c r="E122" s="52"/>
      <c r="F122" s="52"/>
      <c r="G122" s="52"/>
      <c r="H122" s="1"/>
      <c r="I122" s="1"/>
      <c r="J122" s="182"/>
      <c r="M122" s="14"/>
    </row>
    <row r="123" spans="1:13" s="12" customFormat="1" ht="24.95" hidden="1" customHeight="1" x14ac:dyDescent="0.25">
      <c r="A123" s="52">
        <v>111</v>
      </c>
      <c r="B123" s="65" t="s">
        <v>860</v>
      </c>
      <c r="C123" s="52"/>
      <c r="D123" s="52"/>
      <c r="E123" s="52"/>
      <c r="F123" s="52"/>
      <c r="G123" s="52"/>
      <c r="H123" s="1"/>
      <c r="I123" s="1"/>
      <c r="J123" s="182"/>
      <c r="M123" s="14"/>
    </row>
    <row r="124" spans="1:13" s="12" customFormat="1" ht="24.95" hidden="1" customHeight="1" x14ac:dyDescent="0.25">
      <c r="A124" s="52">
        <v>112</v>
      </c>
      <c r="B124" s="65" t="s">
        <v>861</v>
      </c>
      <c r="C124" s="52"/>
      <c r="D124" s="52"/>
      <c r="E124" s="52"/>
      <c r="F124" s="52"/>
      <c r="G124" s="52"/>
      <c r="H124" s="1"/>
      <c r="I124" s="1"/>
      <c r="J124" s="182"/>
      <c r="M124" s="14"/>
    </row>
    <row r="125" spans="1:13" s="12" customFormat="1" ht="24.95" hidden="1" customHeight="1" x14ac:dyDescent="0.25">
      <c r="A125" s="52">
        <v>113</v>
      </c>
      <c r="B125" s="65" t="s">
        <v>862</v>
      </c>
      <c r="C125" s="52"/>
      <c r="D125" s="52"/>
      <c r="E125" s="52"/>
      <c r="F125" s="52"/>
      <c r="G125" s="52"/>
      <c r="H125" s="1"/>
      <c r="I125" s="1"/>
      <c r="J125" s="182"/>
      <c r="M125" s="14"/>
    </row>
    <row r="126" spans="1:13" s="12" customFormat="1" ht="24.95" hidden="1" customHeight="1" x14ac:dyDescent="0.25">
      <c r="A126" s="52">
        <v>114</v>
      </c>
      <c r="B126" s="65" t="s">
        <v>863</v>
      </c>
      <c r="C126" s="52"/>
      <c r="D126" s="52"/>
      <c r="E126" s="52"/>
      <c r="F126" s="52"/>
      <c r="G126" s="52"/>
      <c r="H126" s="1"/>
      <c r="I126" s="1"/>
      <c r="J126" s="182"/>
      <c r="M126" s="14"/>
    </row>
    <row r="127" spans="1:13" s="12" customFormat="1" ht="24.95" hidden="1" customHeight="1" x14ac:dyDescent="0.25">
      <c r="A127" s="52">
        <v>115</v>
      </c>
      <c r="B127" s="65" t="s">
        <v>864</v>
      </c>
      <c r="C127" s="52"/>
      <c r="D127" s="52"/>
      <c r="E127" s="52"/>
      <c r="F127" s="52"/>
      <c r="G127" s="52"/>
      <c r="H127" s="1"/>
      <c r="I127" s="1"/>
      <c r="J127" s="182"/>
      <c r="M127" s="14"/>
    </row>
    <row r="128" spans="1:13" s="12" customFormat="1" ht="24.95" hidden="1" customHeight="1" x14ac:dyDescent="0.25">
      <c r="A128" s="52">
        <v>116</v>
      </c>
      <c r="B128" s="65" t="s">
        <v>865</v>
      </c>
      <c r="C128" s="52"/>
      <c r="D128" s="52"/>
      <c r="E128" s="52"/>
      <c r="F128" s="52"/>
      <c r="G128" s="52"/>
      <c r="H128" s="1"/>
      <c r="I128" s="1"/>
      <c r="J128" s="182"/>
      <c r="M128" s="14"/>
    </row>
    <row r="129" spans="1:13" s="12" customFormat="1" ht="24.95" hidden="1" customHeight="1" x14ac:dyDescent="0.25">
      <c r="A129" s="52">
        <v>117</v>
      </c>
      <c r="B129" s="65" t="s">
        <v>866</v>
      </c>
      <c r="C129" s="52"/>
      <c r="D129" s="52"/>
      <c r="E129" s="52"/>
      <c r="F129" s="52"/>
      <c r="G129" s="52"/>
      <c r="H129" s="1"/>
      <c r="I129" s="1"/>
      <c r="J129" s="182"/>
      <c r="M129" s="14"/>
    </row>
    <row r="130" spans="1:13" s="12" customFormat="1" ht="24.95" hidden="1" customHeight="1" x14ac:dyDescent="0.25">
      <c r="A130" s="52">
        <v>118</v>
      </c>
      <c r="B130" s="65" t="s">
        <v>894</v>
      </c>
      <c r="C130" s="52"/>
      <c r="D130" s="52"/>
      <c r="E130" s="52"/>
      <c r="F130" s="52"/>
      <c r="G130" s="52"/>
      <c r="H130" s="1"/>
      <c r="I130" s="1"/>
      <c r="J130" s="182"/>
      <c r="M130" s="14"/>
    </row>
    <row r="131" spans="1:13" s="12" customFormat="1" ht="24.95" hidden="1" customHeight="1" x14ac:dyDescent="0.25">
      <c r="A131" s="52">
        <v>119</v>
      </c>
      <c r="B131" s="65" t="s">
        <v>895</v>
      </c>
      <c r="C131" s="52"/>
      <c r="D131" s="52"/>
      <c r="E131" s="52"/>
      <c r="F131" s="52"/>
      <c r="G131" s="52"/>
      <c r="H131" s="1"/>
      <c r="I131" s="1"/>
      <c r="J131" s="182"/>
      <c r="M131" s="14"/>
    </row>
    <row r="132" spans="1:13" s="12" customFormat="1" ht="24.95" hidden="1" customHeight="1" x14ac:dyDescent="0.25">
      <c r="A132" s="52">
        <v>120</v>
      </c>
      <c r="B132" s="65" t="s">
        <v>918</v>
      </c>
      <c r="C132" s="52"/>
      <c r="D132" s="52"/>
      <c r="E132" s="52"/>
      <c r="F132" s="52"/>
      <c r="G132" s="52"/>
      <c r="H132" s="1"/>
      <c r="I132" s="1"/>
      <c r="J132" s="182"/>
      <c r="M132" s="14"/>
    </row>
    <row r="133" spans="1:13" s="12" customFormat="1" ht="24.95" hidden="1" customHeight="1" x14ac:dyDescent="0.25">
      <c r="A133" s="52">
        <v>121</v>
      </c>
      <c r="B133" s="65" t="s">
        <v>919</v>
      </c>
      <c r="C133" s="52"/>
      <c r="D133" s="52"/>
      <c r="E133" s="52"/>
      <c r="F133" s="52"/>
      <c r="G133" s="52"/>
      <c r="H133" s="1"/>
      <c r="I133" s="1"/>
      <c r="J133" s="182"/>
      <c r="M133" s="14"/>
    </row>
    <row r="134" spans="1:13" s="12" customFormat="1" ht="24.95" hidden="1" customHeight="1" x14ac:dyDescent="0.25">
      <c r="A134" s="52">
        <v>122</v>
      </c>
      <c r="B134" s="65" t="s">
        <v>920</v>
      </c>
      <c r="C134" s="52"/>
      <c r="D134" s="52"/>
      <c r="E134" s="52"/>
      <c r="F134" s="52"/>
      <c r="G134" s="52"/>
      <c r="H134" s="1"/>
      <c r="I134" s="1"/>
      <c r="J134" s="182"/>
      <c r="M134" s="14"/>
    </row>
    <row r="135" spans="1:13" s="12" customFormat="1" ht="24.95" hidden="1" customHeight="1" x14ac:dyDescent="0.25">
      <c r="A135" s="52">
        <v>123</v>
      </c>
      <c r="B135" s="215" t="s">
        <v>926</v>
      </c>
      <c r="C135" s="52"/>
      <c r="D135" s="52"/>
      <c r="E135" s="52"/>
      <c r="F135" s="52"/>
      <c r="G135" s="52"/>
      <c r="H135" s="1"/>
      <c r="I135" s="1"/>
      <c r="J135" s="182"/>
      <c r="M135" s="14"/>
    </row>
    <row r="136" spans="1:13" s="12" customFormat="1" ht="24.95" hidden="1" customHeight="1" x14ac:dyDescent="0.25">
      <c r="A136" s="52">
        <v>124</v>
      </c>
      <c r="B136" s="215" t="s">
        <v>945</v>
      </c>
      <c r="C136" s="52"/>
      <c r="D136" s="52"/>
      <c r="E136" s="52"/>
      <c r="F136" s="52"/>
      <c r="G136" s="52"/>
      <c r="H136" s="1"/>
      <c r="I136" s="1"/>
      <c r="J136" s="182"/>
      <c r="M136" s="14"/>
    </row>
    <row r="137" spans="1:13" s="12" customFormat="1" ht="42" hidden="1" customHeight="1" x14ac:dyDescent="0.25">
      <c r="A137" s="52">
        <v>125</v>
      </c>
      <c r="B137" s="56" t="s">
        <v>953</v>
      </c>
      <c r="C137" s="52"/>
      <c r="D137" s="52"/>
      <c r="E137" s="52"/>
      <c r="F137" s="52"/>
      <c r="G137" s="52"/>
      <c r="H137" s="1"/>
      <c r="I137" s="1"/>
      <c r="J137" s="182"/>
      <c r="M137" s="14"/>
    </row>
  </sheetData>
  <autoFilter ref="A4:J137" xr:uid="{00000000-0009-0000-0000-000001000000}">
    <filterColumn colId="3">
      <customFilters>
        <customFilter operator="notEqual" val=" "/>
      </customFilters>
    </filterColumn>
  </autoFilter>
  <mergeCells count="4">
    <mergeCell ref="A1:J1"/>
    <mergeCell ref="E2:H2"/>
    <mergeCell ref="C2:D2"/>
    <mergeCell ref="A73:B7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147216"/>
  </sheetPr>
  <dimension ref="A1:M234"/>
  <sheetViews>
    <sheetView view="pageBreakPreview" zoomScaleNormal="100" zoomScaleSheetLayoutView="100" workbookViewId="0">
      <pane ySplit="3" topLeftCell="A4" activePane="bottomLeft" state="frozen"/>
      <selection activeCell="C137" sqref="C137"/>
      <selection pane="bottomLeft" activeCell="A235" sqref="A235:XFD235"/>
    </sheetView>
  </sheetViews>
  <sheetFormatPr defaultRowHeight="15" x14ac:dyDescent="0.2"/>
  <cols>
    <col min="1" max="1" width="7.85546875" style="9" customWidth="1"/>
    <col min="2" max="2" width="53" style="2" customWidth="1"/>
    <col min="3" max="3" width="9.85546875" style="8" customWidth="1"/>
    <col min="4" max="4" width="7.85546875" style="8" customWidth="1"/>
    <col min="5" max="5" width="6.7109375" style="8" customWidth="1"/>
    <col min="6" max="7" width="5" style="8" customWidth="1"/>
    <col min="8" max="8" width="12.28515625" style="8" customWidth="1"/>
    <col min="9" max="9" width="16.140625" style="8" customWidth="1"/>
    <col min="10" max="10" width="36.85546875" style="8" customWidth="1"/>
    <col min="11" max="13" width="9.140625" style="8" customWidth="1"/>
    <col min="14" max="16384" width="9.140625" style="8"/>
  </cols>
  <sheetData>
    <row r="1" spans="1:13" ht="36.75" customHeight="1" x14ac:dyDescent="0.2">
      <c r="A1" s="366" t="s">
        <v>910</v>
      </c>
      <c r="B1" s="366"/>
      <c r="C1" s="366"/>
      <c r="D1" s="366"/>
      <c r="E1" s="366"/>
      <c r="F1" s="366"/>
      <c r="G1" s="366"/>
      <c r="H1" s="366"/>
      <c r="I1" s="366"/>
      <c r="J1" s="366"/>
    </row>
    <row r="2" spans="1:13" s="6" customFormat="1" ht="47.25" x14ac:dyDescent="0.2">
      <c r="A2" s="79" t="s">
        <v>291</v>
      </c>
      <c r="B2" s="79" t="s">
        <v>14</v>
      </c>
      <c r="C2" s="106" t="s">
        <v>19</v>
      </c>
      <c r="D2" s="106"/>
      <c r="E2" s="367"/>
      <c r="F2" s="367"/>
      <c r="G2" s="367"/>
      <c r="H2" s="79" t="s">
        <v>20</v>
      </c>
      <c r="I2" s="162" t="s">
        <v>35</v>
      </c>
      <c r="J2" s="240" t="s">
        <v>915</v>
      </c>
      <c r="K2" s="8"/>
      <c r="L2" s="8"/>
      <c r="M2" s="8"/>
    </row>
    <row r="3" spans="1:13" s="6" customFormat="1" ht="28.5" customHeight="1" x14ac:dyDescent="0.2">
      <c r="A3" s="79"/>
      <c r="B3" s="79"/>
      <c r="C3" s="240" t="s">
        <v>27</v>
      </c>
      <c r="D3" s="240" t="s">
        <v>28</v>
      </c>
      <c r="E3" s="162" t="s">
        <v>36</v>
      </c>
      <c r="F3" s="162" t="s">
        <v>37</v>
      </c>
      <c r="G3" s="162" t="s">
        <v>40</v>
      </c>
      <c r="H3" s="49"/>
      <c r="I3" s="106"/>
      <c r="J3" s="106"/>
      <c r="K3" s="8"/>
      <c r="L3" s="8"/>
      <c r="M3" s="8"/>
    </row>
    <row r="4" spans="1:13" ht="26.25" customHeight="1" x14ac:dyDescent="0.2">
      <c r="A4" s="1" t="s">
        <v>1</v>
      </c>
      <c r="B4" s="59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3" ht="24" hidden="1" customHeight="1" x14ac:dyDescent="0.2">
      <c r="A5" s="364" t="s">
        <v>747</v>
      </c>
      <c r="B5" s="365"/>
      <c r="C5" s="365"/>
      <c r="D5" s="365"/>
      <c r="E5" s="365"/>
      <c r="F5" s="365"/>
      <c r="G5" s="365"/>
      <c r="H5" s="365"/>
      <c r="I5" s="365"/>
      <c r="J5" s="368"/>
    </row>
    <row r="6" spans="1:13" ht="24" hidden="1" customHeight="1" x14ac:dyDescent="0.2">
      <c r="A6" s="243" t="s">
        <v>748</v>
      </c>
      <c r="B6" s="242"/>
      <c r="C6" s="242"/>
      <c r="D6" s="242"/>
      <c r="E6" s="242"/>
      <c r="F6" s="242"/>
      <c r="G6" s="242"/>
      <c r="H6" s="242"/>
      <c r="I6" s="242"/>
      <c r="J6" s="189"/>
    </row>
    <row r="7" spans="1:13" ht="21" hidden="1" customHeight="1" x14ac:dyDescent="0.2">
      <c r="A7" s="59">
        <v>1</v>
      </c>
      <c r="B7" s="13" t="s">
        <v>749</v>
      </c>
      <c r="C7" s="52"/>
      <c r="D7" s="52"/>
      <c r="E7" s="52"/>
      <c r="F7" s="52"/>
      <c r="G7" s="52"/>
      <c r="H7" s="1"/>
      <c r="I7" s="1"/>
      <c r="J7" s="96"/>
    </row>
    <row r="8" spans="1:13" s="260" customFormat="1" ht="19.5" hidden="1" customHeight="1" x14ac:dyDescent="0.2">
      <c r="A8" s="1">
        <v>2</v>
      </c>
      <c r="B8" s="13" t="s">
        <v>750</v>
      </c>
      <c r="C8" s="52"/>
      <c r="D8" s="52"/>
      <c r="E8" s="52"/>
      <c r="F8" s="52"/>
      <c r="G8" s="52"/>
      <c r="H8" s="1"/>
      <c r="I8" s="1"/>
      <c r="J8" s="96"/>
    </row>
    <row r="9" spans="1:13" ht="20.25" hidden="1" customHeight="1" x14ac:dyDescent="0.2">
      <c r="A9" s="59">
        <v>3</v>
      </c>
      <c r="B9" s="13" t="s">
        <v>751</v>
      </c>
      <c r="C9" s="52"/>
      <c r="D9" s="52"/>
      <c r="E9" s="52"/>
      <c r="F9" s="52"/>
      <c r="G9" s="52"/>
      <c r="H9" s="1"/>
      <c r="I9" s="1"/>
      <c r="J9" s="96"/>
    </row>
    <row r="10" spans="1:13" ht="20.25" hidden="1" customHeight="1" x14ac:dyDescent="0.2">
      <c r="A10" s="1">
        <v>4</v>
      </c>
      <c r="B10" s="13" t="s">
        <v>752</v>
      </c>
      <c r="C10" s="52"/>
      <c r="D10" s="52"/>
      <c r="E10" s="52"/>
      <c r="F10" s="52"/>
      <c r="G10" s="52"/>
      <c r="H10" s="1"/>
      <c r="I10" s="1"/>
      <c r="J10" s="65"/>
    </row>
    <row r="11" spans="1:13" ht="26.25" hidden="1" customHeight="1" x14ac:dyDescent="0.2">
      <c r="A11" s="1">
        <v>5</v>
      </c>
      <c r="B11" s="245" t="s">
        <v>753</v>
      </c>
      <c r="C11" s="52"/>
      <c r="D11" s="52"/>
      <c r="E11" s="52"/>
      <c r="F11" s="52"/>
      <c r="G11" s="52"/>
      <c r="H11" s="1"/>
      <c r="I11" s="1"/>
      <c r="J11" s="52"/>
    </row>
    <row r="12" spans="1:13" ht="26.25" hidden="1" customHeight="1" x14ac:dyDescent="0.2">
      <c r="A12" s="71" t="s">
        <v>333</v>
      </c>
      <c r="B12" s="164"/>
      <c r="C12" s="171"/>
      <c r="D12" s="171"/>
      <c r="E12" s="171"/>
      <c r="F12" s="171"/>
      <c r="G12" s="171"/>
      <c r="H12" s="164"/>
      <c r="I12" s="164"/>
      <c r="J12" s="172"/>
    </row>
    <row r="13" spans="1:13" s="260" customFormat="1" ht="23.25" hidden="1" customHeight="1" x14ac:dyDescent="0.2">
      <c r="A13" s="59">
        <v>6</v>
      </c>
      <c r="B13" s="13" t="s">
        <v>754</v>
      </c>
      <c r="C13" s="52"/>
      <c r="D13" s="52"/>
      <c r="E13" s="52"/>
      <c r="F13" s="52"/>
      <c r="G13" s="52"/>
      <c r="H13" s="1"/>
      <c r="I13" s="1"/>
      <c r="J13" s="258"/>
    </row>
    <row r="14" spans="1:13" s="260" customFormat="1" ht="23.25" hidden="1" customHeight="1" x14ac:dyDescent="0.2">
      <c r="A14" s="59">
        <v>7</v>
      </c>
      <c r="B14" s="13" t="s">
        <v>755</v>
      </c>
      <c r="C14" s="52"/>
      <c r="D14" s="52"/>
      <c r="E14" s="52"/>
      <c r="F14" s="52"/>
      <c r="G14" s="52"/>
      <c r="H14" s="1"/>
      <c r="I14" s="1"/>
      <c r="J14" s="259"/>
    </row>
    <row r="15" spans="1:13" ht="26.25" hidden="1" customHeight="1" x14ac:dyDescent="0.2">
      <c r="A15" s="71" t="s">
        <v>332</v>
      </c>
      <c r="B15" s="164"/>
      <c r="C15" s="171"/>
      <c r="D15" s="171"/>
      <c r="E15" s="171"/>
      <c r="F15" s="171"/>
      <c r="G15" s="171"/>
      <c r="H15" s="164"/>
      <c r="I15" s="164"/>
      <c r="J15" s="172"/>
    </row>
    <row r="16" spans="1:13" s="261" customFormat="1" ht="26.25" hidden="1" customHeight="1" x14ac:dyDescent="0.25">
      <c r="A16" s="1">
        <v>8</v>
      </c>
      <c r="B16" s="13" t="s">
        <v>756</v>
      </c>
      <c r="C16" s="52"/>
      <c r="D16" s="52"/>
      <c r="E16" s="52"/>
      <c r="F16" s="52"/>
      <c r="G16" s="52"/>
      <c r="H16" s="1"/>
      <c r="I16" s="1"/>
      <c r="J16" s="250"/>
    </row>
    <row r="17" spans="1:10" s="310" customFormat="1" ht="24.75" customHeight="1" x14ac:dyDescent="0.2">
      <c r="A17" s="281">
        <v>9</v>
      </c>
      <c r="B17" s="311" t="s">
        <v>757</v>
      </c>
      <c r="C17" s="283">
        <v>3</v>
      </c>
      <c r="D17" s="283">
        <v>1</v>
      </c>
      <c r="E17" s="283"/>
      <c r="F17" s="283"/>
      <c r="G17" s="283"/>
      <c r="H17" s="281"/>
      <c r="I17" s="281">
        <v>1</v>
      </c>
      <c r="J17" s="309"/>
    </row>
    <row r="18" spans="1:10" ht="26.25" hidden="1" customHeight="1" x14ac:dyDescent="0.2">
      <c r="A18" s="1">
        <v>10</v>
      </c>
      <c r="B18" s="245" t="s">
        <v>758</v>
      </c>
      <c r="C18" s="52"/>
      <c r="D18" s="52"/>
      <c r="E18" s="52"/>
      <c r="F18" s="52"/>
      <c r="G18" s="52"/>
      <c r="H18" s="1"/>
      <c r="I18" s="1"/>
      <c r="J18" s="52"/>
    </row>
    <row r="19" spans="1:10" ht="34.5" hidden="1" customHeight="1" x14ac:dyDescent="0.2">
      <c r="A19" s="1">
        <v>11</v>
      </c>
      <c r="B19" s="13" t="s">
        <v>759</v>
      </c>
      <c r="C19" s="52"/>
      <c r="D19" s="52"/>
      <c r="E19" s="52"/>
      <c r="F19" s="52"/>
      <c r="G19" s="52"/>
      <c r="H19" s="1"/>
      <c r="I19" s="1"/>
      <c r="J19" s="65"/>
    </row>
    <row r="20" spans="1:10" ht="30" hidden="1" x14ac:dyDescent="0.2">
      <c r="A20" s="1">
        <v>12</v>
      </c>
      <c r="B20" s="13" t="s">
        <v>760</v>
      </c>
      <c r="C20" s="52"/>
      <c r="D20" s="52"/>
      <c r="E20" s="52"/>
      <c r="F20" s="52"/>
      <c r="G20" s="52"/>
      <c r="H20" s="1"/>
      <c r="I20" s="1"/>
      <c r="J20" s="75"/>
    </row>
    <row r="21" spans="1:10" ht="23.25" hidden="1" customHeight="1" x14ac:dyDescent="0.2">
      <c r="A21" s="1">
        <v>13</v>
      </c>
      <c r="B21" s="13" t="s">
        <v>761</v>
      </c>
      <c r="C21" s="52"/>
      <c r="D21" s="52"/>
      <c r="E21" s="52"/>
      <c r="F21" s="52"/>
      <c r="G21" s="52"/>
      <c r="H21" s="1"/>
      <c r="I21" s="1"/>
      <c r="J21" s="75"/>
    </row>
    <row r="22" spans="1:10" s="262" customFormat="1" ht="37.5" hidden="1" customHeight="1" x14ac:dyDescent="0.25">
      <c r="A22" s="1">
        <v>14</v>
      </c>
      <c r="B22" s="49" t="s">
        <v>762</v>
      </c>
      <c r="C22" s="52"/>
      <c r="D22" s="52"/>
      <c r="E22" s="52"/>
      <c r="F22" s="52"/>
      <c r="G22" s="52"/>
      <c r="H22" s="1"/>
      <c r="I22" s="1"/>
      <c r="J22" s="263"/>
    </row>
    <row r="23" spans="1:10" s="130" customFormat="1" ht="25.5" hidden="1" customHeight="1" x14ac:dyDescent="0.25">
      <c r="A23" s="1">
        <v>15</v>
      </c>
      <c r="B23" s="49" t="s">
        <v>674</v>
      </c>
      <c r="C23" s="52"/>
      <c r="D23" s="52"/>
      <c r="E23" s="52"/>
      <c r="F23" s="52"/>
      <c r="G23" s="52"/>
      <c r="H23" s="1"/>
      <c r="I23" s="1"/>
      <c r="J23" s="65"/>
    </row>
    <row r="24" spans="1:10" ht="25.5" hidden="1" customHeight="1" x14ac:dyDescent="0.2">
      <c r="A24" s="1">
        <v>16</v>
      </c>
      <c r="B24" s="56" t="s">
        <v>629</v>
      </c>
      <c r="C24" s="52"/>
      <c r="D24" s="52"/>
      <c r="E24" s="52"/>
      <c r="F24" s="52"/>
      <c r="G24" s="52"/>
      <c r="H24" s="1"/>
      <c r="I24" s="1"/>
      <c r="J24" s="184"/>
    </row>
    <row r="25" spans="1:10" ht="15.75" hidden="1" customHeight="1" x14ac:dyDescent="0.2">
      <c r="A25" s="71" t="s">
        <v>763</v>
      </c>
      <c r="B25" s="164"/>
      <c r="C25" s="171"/>
      <c r="D25" s="171"/>
      <c r="E25" s="171"/>
      <c r="F25" s="171"/>
      <c r="G25" s="171"/>
      <c r="H25" s="164"/>
      <c r="I25" s="164"/>
      <c r="J25" s="172"/>
    </row>
    <row r="26" spans="1:10" ht="21.75" hidden="1" customHeight="1" x14ac:dyDescent="0.2">
      <c r="A26" s="59">
        <v>17</v>
      </c>
      <c r="B26" s="56" t="s">
        <v>764</v>
      </c>
      <c r="C26" s="52"/>
      <c r="D26" s="52"/>
      <c r="E26" s="52"/>
      <c r="F26" s="52"/>
      <c r="G26" s="52"/>
      <c r="H26" s="1"/>
      <c r="I26" s="1"/>
      <c r="J26" s="61"/>
    </row>
    <row r="27" spans="1:10" hidden="1" x14ac:dyDescent="0.2">
      <c r="A27" s="1">
        <v>18</v>
      </c>
      <c r="B27" s="13" t="s">
        <v>765</v>
      </c>
      <c r="C27" s="52"/>
      <c r="D27" s="52"/>
      <c r="E27" s="52"/>
      <c r="F27" s="52"/>
      <c r="G27" s="52"/>
      <c r="H27" s="1"/>
      <c r="I27" s="1"/>
      <c r="J27" s="258"/>
    </row>
    <row r="28" spans="1:10" s="3" customFormat="1" hidden="1" x14ac:dyDescent="0.25">
      <c r="A28" s="1">
        <v>19</v>
      </c>
      <c r="B28" s="56" t="s">
        <v>766</v>
      </c>
      <c r="C28" s="52"/>
      <c r="D28" s="52"/>
      <c r="E28" s="52"/>
      <c r="F28" s="52"/>
      <c r="G28" s="52"/>
      <c r="H28" s="1"/>
      <c r="I28" s="1"/>
      <c r="J28" s="265"/>
    </row>
    <row r="29" spans="1:10" hidden="1" x14ac:dyDescent="0.2">
      <c r="A29" s="1">
        <v>20</v>
      </c>
      <c r="B29" s="56" t="s">
        <v>767</v>
      </c>
      <c r="C29" s="52"/>
      <c r="D29" s="52"/>
      <c r="E29" s="52"/>
      <c r="F29" s="52"/>
      <c r="G29" s="52"/>
      <c r="H29" s="1"/>
      <c r="I29" s="1"/>
      <c r="J29" s="193"/>
    </row>
    <row r="30" spans="1:10" ht="21" hidden="1" customHeight="1" x14ac:dyDescent="0.2">
      <c r="A30" s="1">
        <v>21</v>
      </c>
      <c r="B30" s="56" t="s">
        <v>768</v>
      </c>
      <c r="C30" s="52"/>
      <c r="D30" s="52"/>
      <c r="E30" s="52"/>
      <c r="F30" s="52"/>
      <c r="G30" s="52"/>
      <c r="H30" s="1"/>
      <c r="I30" s="1"/>
      <c r="J30" s="55"/>
    </row>
    <row r="31" spans="1:10" ht="21" hidden="1" customHeight="1" x14ac:dyDescent="0.2">
      <c r="A31" s="1">
        <v>22</v>
      </c>
      <c r="B31" s="13" t="s">
        <v>769</v>
      </c>
      <c r="C31" s="52"/>
      <c r="D31" s="52"/>
      <c r="E31" s="52"/>
      <c r="F31" s="52"/>
      <c r="G31" s="52"/>
      <c r="H31" s="1"/>
      <c r="I31" s="1"/>
      <c r="J31" s="55"/>
    </row>
    <row r="32" spans="1:10" ht="21" customHeight="1" x14ac:dyDescent="0.2">
      <c r="A32" s="1">
        <v>23</v>
      </c>
      <c r="B32" s="13" t="s">
        <v>770</v>
      </c>
      <c r="C32" s="52">
        <v>1</v>
      </c>
      <c r="D32" s="52">
        <v>1</v>
      </c>
      <c r="E32" s="52"/>
      <c r="F32" s="52"/>
      <c r="G32" s="52"/>
      <c r="H32" s="1"/>
      <c r="I32" s="1">
        <v>1</v>
      </c>
      <c r="J32" s="265"/>
    </row>
    <row r="33" spans="1:10" s="262" customFormat="1" hidden="1" x14ac:dyDescent="0.25">
      <c r="A33" s="1">
        <v>24</v>
      </c>
      <c r="B33" s="13" t="s">
        <v>771</v>
      </c>
      <c r="C33" s="52"/>
      <c r="D33" s="52"/>
      <c r="E33" s="52"/>
      <c r="F33" s="52"/>
      <c r="G33" s="52"/>
      <c r="H33" s="1"/>
      <c r="I33" s="1"/>
      <c r="J33" s="65"/>
    </row>
    <row r="34" spans="1:10" ht="19.5" hidden="1" customHeight="1" x14ac:dyDescent="0.2">
      <c r="A34" s="1">
        <v>25</v>
      </c>
      <c r="B34" s="13" t="s">
        <v>921</v>
      </c>
      <c r="C34" s="52"/>
      <c r="D34" s="52"/>
      <c r="E34" s="52"/>
      <c r="F34" s="52"/>
      <c r="G34" s="52"/>
      <c r="H34" s="1"/>
      <c r="I34" s="1"/>
      <c r="J34" s="76"/>
    </row>
    <row r="35" spans="1:10" ht="15.75" hidden="1" customHeight="1" x14ac:dyDescent="0.2">
      <c r="A35" s="71" t="s">
        <v>334</v>
      </c>
      <c r="B35" s="164"/>
      <c r="C35" s="171"/>
      <c r="D35" s="171"/>
      <c r="E35" s="171"/>
      <c r="F35" s="171"/>
      <c r="G35" s="171"/>
      <c r="H35" s="164"/>
      <c r="I35" s="164"/>
      <c r="J35" s="172"/>
    </row>
    <row r="36" spans="1:10" ht="30" hidden="1" x14ac:dyDescent="0.2">
      <c r="A36" s="59">
        <v>26</v>
      </c>
      <c r="B36" s="13" t="s">
        <v>772</v>
      </c>
      <c r="C36" s="52"/>
      <c r="D36" s="52"/>
      <c r="E36" s="52"/>
      <c r="F36" s="52"/>
      <c r="G36" s="52"/>
      <c r="H36" s="1"/>
      <c r="I36" s="1"/>
      <c r="J36" s="65"/>
    </row>
    <row r="37" spans="1:10" ht="30" hidden="1" x14ac:dyDescent="0.2">
      <c r="A37" s="59">
        <v>27</v>
      </c>
      <c r="B37" s="13" t="s">
        <v>773</v>
      </c>
      <c r="C37" s="52"/>
      <c r="D37" s="52"/>
      <c r="E37" s="52"/>
      <c r="F37" s="52"/>
      <c r="G37" s="52"/>
      <c r="H37" s="1"/>
      <c r="I37" s="1"/>
      <c r="J37" s="75"/>
    </row>
    <row r="38" spans="1:10" ht="24.75" hidden="1" customHeight="1" x14ac:dyDescent="0.2">
      <c r="A38" s="1">
        <v>28</v>
      </c>
      <c r="B38" s="13" t="s">
        <v>774</v>
      </c>
      <c r="C38" s="52"/>
      <c r="D38" s="52"/>
      <c r="E38" s="52"/>
      <c r="F38" s="52"/>
      <c r="G38" s="52"/>
      <c r="H38" s="1"/>
      <c r="I38" s="1"/>
      <c r="J38" s="52"/>
    </row>
    <row r="39" spans="1:10" ht="15.75" hidden="1" x14ac:dyDescent="0.2">
      <c r="A39" s="71" t="s">
        <v>775</v>
      </c>
      <c r="B39" s="164"/>
      <c r="C39" s="171"/>
      <c r="D39" s="171"/>
      <c r="E39" s="171"/>
      <c r="F39" s="171"/>
      <c r="G39" s="171"/>
      <c r="H39" s="164"/>
      <c r="I39" s="164"/>
      <c r="J39" s="172"/>
    </row>
    <row r="40" spans="1:10" hidden="1" x14ac:dyDescent="0.2">
      <c r="A40" s="1">
        <v>29</v>
      </c>
      <c r="B40" s="13" t="s">
        <v>776</v>
      </c>
      <c r="C40" s="52"/>
      <c r="D40" s="52"/>
      <c r="E40" s="52"/>
      <c r="F40" s="52"/>
      <c r="G40" s="52"/>
      <c r="H40" s="1"/>
      <c r="I40" s="1"/>
      <c r="J40" s="52"/>
    </row>
    <row r="41" spans="1:10" ht="15.75" hidden="1" x14ac:dyDescent="0.2">
      <c r="A41" s="1">
        <v>30</v>
      </c>
      <c r="B41" s="13" t="s">
        <v>777</v>
      </c>
      <c r="C41" s="52"/>
      <c r="D41" s="52"/>
      <c r="E41" s="52"/>
      <c r="F41" s="52"/>
      <c r="G41" s="52"/>
      <c r="H41" s="1"/>
      <c r="I41" s="1"/>
      <c r="J41" s="75"/>
    </row>
    <row r="42" spans="1:10" ht="15.75" hidden="1" x14ac:dyDescent="0.2">
      <c r="A42" s="1">
        <v>31</v>
      </c>
      <c r="B42" s="13" t="s">
        <v>924</v>
      </c>
      <c r="C42" s="52"/>
      <c r="D42" s="52"/>
      <c r="E42" s="52"/>
      <c r="F42" s="52"/>
      <c r="G42" s="52"/>
      <c r="H42" s="1"/>
      <c r="I42" s="1"/>
      <c r="J42" s="75"/>
    </row>
    <row r="43" spans="1:10" hidden="1" x14ac:dyDescent="0.2">
      <c r="A43" s="1">
        <v>32</v>
      </c>
      <c r="B43" s="13" t="s">
        <v>778</v>
      </c>
      <c r="C43" s="52"/>
      <c r="D43" s="52"/>
      <c r="E43" s="52"/>
      <c r="F43" s="52"/>
      <c r="G43" s="52"/>
      <c r="H43" s="1"/>
      <c r="I43" s="1"/>
      <c r="J43" s="76"/>
    </row>
    <row r="44" spans="1:10" ht="20.25" hidden="1" customHeight="1" x14ac:dyDescent="0.2">
      <c r="A44" s="1">
        <v>33</v>
      </c>
      <c r="B44" s="13" t="s">
        <v>779</v>
      </c>
      <c r="C44" s="52"/>
      <c r="D44" s="52"/>
      <c r="E44" s="52"/>
      <c r="F44" s="52"/>
      <c r="G44" s="52"/>
      <c r="H44" s="1"/>
      <c r="I44" s="1"/>
      <c r="J44" s="56"/>
    </row>
    <row r="45" spans="1:10" ht="15.75" hidden="1" x14ac:dyDescent="0.2">
      <c r="A45" s="1">
        <v>34</v>
      </c>
      <c r="B45" s="13" t="s">
        <v>780</v>
      </c>
      <c r="C45" s="52"/>
      <c r="D45" s="52"/>
      <c r="E45" s="52"/>
      <c r="F45" s="52"/>
      <c r="G45" s="52"/>
      <c r="H45" s="1"/>
      <c r="I45" s="1"/>
      <c r="J45" s="75"/>
    </row>
    <row r="46" spans="1:10" hidden="1" x14ac:dyDescent="0.2">
      <c r="A46" s="59">
        <v>35</v>
      </c>
      <c r="B46" s="13" t="s">
        <v>781</v>
      </c>
      <c r="C46" s="52"/>
      <c r="D46" s="52"/>
      <c r="E46" s="52"/>
      <c r="F46" s="52"/>
      <c r="G46" s="52"/>
      <c r="H46" s="1"/>
      <c r="I46" s="1"/>
      <c r="J46" s="52"/>
    </row>
    <row r="47" spans="1:10" hidden="1" x14ac:dyDescent="0.2">
      <c r="A47" s="1">
        <v>36</v>
      </c>
      <c r="B47" s="13" t="s">
        <v>782</v>
      </c>
      <c r="C47" s="52"/>
      <c r="D47" s="52"/>
      <c r="E47" s="52"/>
      <c r="F47" s="52"/>
      <c r="G47" s="52"/>
      <c r="H47" s="1"/>
      <c r="I47" s="1"/>
      <c r="J47" s="52"/>
    </row>
    <row r="48" spans="1:10" hidden="1" x14ac:dyDescent="0.2">
      <c r="A48" s="59">
        <v>37</v>
      </c>
      <c r="B48" s="13" t="s">
        <v>783</v>
      </c>
      <c r="C48" s="52"/>
      <c r="D48" s="52"/>
      <c r="E48" s="52"/>
      <c r="F48" s="52"/>
      <c r="G48" s="52"/>
      <c r="H48" s="1"/>
      <c r="I48" s="1"/>
      <c r="J48" s="52"/>
    </row>
    <row r="49" spans="1:10" ht="15.75" hidden="1" x14ac:dyDescent="0.2">
      <c r="A49" s="1">
        <v>38</v>
      </c>
      <c r="B49" s="13" t="s">
        <v>784</v>
      </c>
      <c r="C49" s="52"/>
      <c r="D49" s="52"/>
      <c r="E49" s="52"/>
      <c r="F49" s="52"/>
      <c r="G49" s="52"/>
      <c r="H49" s="1"/>
      <c r="I49" s="1"/>
      <c r="J49" s="75"/>
    </row>
    <row r="50" spans="1:10" ht="15.75" hidden="1" x14ac:dyDescent="0.2">
      <c r="A50" s="164" t="s">
        <v>785</v>
      </c>
      <c r="B50" s="164"/>
      <c r="C50" s="171"/>
      <c r="D50" s="171"/>
      <c r="E50" s="171"/>
      <c r="F50" s="171"/>
      <c r="G50" s="171"/>
      <c r="H50" s="164"/>
      <c r="I50" s="164"/>
      <c r="J50" s="171"/>
    </row>
    <row r="51" spans="1:10" hidden="1" x14ac:dyDescent="0.2">
      <c r="A51" s="1">
        <v>39</v>
      </c>
      <c r="B51" s="13" t="s">
        <v>786</v>
      </c>
      <c r="C51" s="52"/>
      <c r="D51" s="52"/>
      <c r="E51" s="52"/>
      <c r="F51" s="52"/>
      <c r="G51" s="52"/>
      <c r="H51" s="1"/>
      <c r="I51" s="1"/>
      <c r="J51" s="65"/>
    </row>
    <row r="52" spans="1:10" hidden="1" x14ac:dyDescent="0.2">
      <c r="A52" s="1">
        <v>40</v>
      </c>
      <c r="B52" s="13" t="s">
        <v>787</v>
      </c>
      <c r="C52" s="52"/>
      <c r="D52" s="52"/>
      <c r="E52" s="52"/>
      <c r="F52" s="52"/>
      <c r="G52" s="52"/>
      <c r="H52" s="1"/>
      <c r="I52" s="1"/>
      <c r="J52" s="52"/>
    </row>
    <row r="53" spans="1:10" ht="15.75" hidden="1" x14ac:dyDescent="0.2">
      <c r="A53" s="164" t="s">
        <v>788</v>
      </c>
      <c r="B53" s="164"/>
      <c r="C53" s="171"/>
      <c r="D53" s="171"/>
      <c r="E53" s="171"/>
      <c r="F53" s="171"/>
      <c r="G53" s="171"/>
      <c r="H53" s="164"/>
      <c r="I53" s="164"/>
      <c r="J53" s="171"/>
    </row>
    <row r="54" spans="1:10" ht="15.75" hidden="1" x14ac:dyDescent="0.2">
      <c r="A54" s="1">
        <v>41</v>
      </c>
      <c r="B54" s="111" t="s">
        <v>346</v>
      </c>
      <c r="C54" s="52"/>
      <c r="D54" s="52"/>
      <c r="E54" s="52"/>
      <c r="F54" s="52"/>
      <c r="G54" s="52"/>
      <c r="H54" s="1"/>
      <c r="I54" s="1"/>
      <c r="J54" s="180"/>
    </row>
    <row r="55" spans="1:10" hidden="1" x14ac:dyDescent="0.2">
      <c r="A55" s="1">
        <v>42</v>
      </c>
      <c r="B55" s="13" t="s">
        <v>789</v>
      </c>
      <c r="C55" s="52"/>
      <c r="D55" s="52"/>
      <c r="E55" s="52"/>
      <c r="F55" s="52"/>
      <c r="G55" s="52"/>
      <c r="H55" s="1"/>
      <c r="I55" s="1"/>
      <c r="J55" s="65"/>
    </row>
    <row r="56" spans="1:10" ht="15.75" hidden="1" x14ac:dyDescent="0.2">
      <c r="A56" s="1">
        <v>43</v>
      </c>
      <c r="B56" s="13" t="s">
        <v>790</v>
      </c>
      <c r="C56" s="52"/>
      <c r="D56" s="52"/>
      <c r="E56" s="52"/>
      <c r="F56" s="52"/>
      <c r="G56" s="52"/>
      <c r="H56" s="1"/>
      <c r="I56" s="1"/>
      <c r="J56" s="75"/>
    </row>
    <row r="57" spans="1:10" hidden="1" x14ac:dyDescent="0.2">
      <c r="A57" s="1">
        <v>44</v>
      </c>
      <c r="B57" s="13" t="s">
        <v>78</v>
      </c>
      <c r="C57" s="52"/>
      <c r="D57" s="52"/>
      <c r="E57" s="52"/>
      <c r="F57" s="52"/>
      <c r="G57" s="52"/>
      <c r="H57" s="1"/>
      <c r="I57" s="1"/>
      <c r="J57" s="55"/>
    </row>
    <row r="58" spans="1:10" ht="15.75" hidden="1" x14ac:dyDescent="0.2">
      <c r="A58" s="1">
        <v>45</v>
      </c>
      <c r="B58" s="13" t="s">
        <v>791</v>
      </c>
      <c r="C58" s="52"/>
      <c r="D58" s="52"/>
      <c r="E58" s="52"/>
      <c r="F58" s="52"/>
      <c r="G58" s="52"/>
      <c r="H58" s="1"/>
      <c r="I58" s="1"/>
      <c r="J58" s="75"/>
    </row>
    <row r="59" spans="1:10" ht="15.75" hidden="1" x14ac:dyDescent="0.2">
      <c r="A59" s="1">
        <v>46</v>
      </c>
      <c r="B59" s="80" t="s">
        <v>611</v>
      </c>
      <c r="C59" s="52"/>
      <c r="D59" s="52"/>
      <c r="E59" s="52"/>
      <c r="F59" s="52"/>
      <c r="G59" s="52"/>
      <c r="H59" s="1"/>
      <c r="I59" s="1"/>
      <c r="J59" s="75"/>
    </row>
    <row r="60" spans="1:10" hidden="1" x14ac:dyDescent="0.2">
      <c r="A60" s="1">
        <v>47</v>
      </c>
      <c r="B60" s="13" t="s">
        <v>792</v>
      </c>
      <c r="C60" s="52"/>
      <c r="D60" s="52"/>
      <c r="E60" s="52"/>
      <c r="F60" s="52"/>
      <c r="G60" s="52"/>
      <c r="H60" s="1"/>
      <c r="I60" s="1"/>
      <c r="J60" s="52"/>
    </row>
    <row r="61" spans="1:10" ht="25.5" hidden="1" customHeight="1" x14ac:dyDescent="0.2">
      <c r="A61" s="1">
        <v>48</v>
      </c>
      <c r="B61" s="13" t="s">
        <v>793</v>
      </c>
      <c r="C61" s="52"/>
      <c r="D61" s="52"/>
      <c r="E61" s="52"/>
      <c r="F61" s="52"/>
      <c r="G61" s="52"/>
      <c r="H61" s="1"/>
      <c r="I61" s="1"/>
      <c r="J61" s="52"/>
    </row>
    <row r="62" spans="1:10" ht="15.75" hidden="1" x14ac:dyDescent="0.2">
      <c r="A62" s="1">
        <v>49</v>
      </c>
      <c r="B62" s="13" t="s">
        <v>794</v>
      </c>
      <c r="C62" s="52"/>
      <c r="D62" s="52"/>
      <c r="E62" s="52"/>
      <c r="F62" s="52"/>
      <c r="G62" s="52"/>
      <c r="H62" s="1"/>
      <c r="I62" s="1"/>
      <c r="J62" s="75"/>
    </row>
    <row r="63" spans="1:10" s="260" customFormat="1" hidden="1" x14ac:dyDescent="0.2">
      <c r="A63" s="1">
        <v>50</v>
      </c>
      <c r="B63" s="56" t="s">
        <v>795</v>
      </c>
      <c r="C63" s="52"/>
      <c r="D63" s="52"/>
      <c r="E63" s="52"/>
      <c r="F63" s="52"/>
      <c r="G63" s="52"/>
      <c r="H63" s="1"/>
      <c r="I63" s="1"/>
      <c r="J63" s="259"/>
    </row>
    <row r="64" spans="1:10" ht="15.75" hidden="1" customHeight="1" x14ac:dyDescent="0.2">
      <c r="A64" s="71" t="s">
        <v>796</v>
      </c>
      <c r="B64" s="164"/>
      <c r="C64" s="171"/>
      <c r="D64" s="171"/>
      <c r="E64" s="171"/>
      <c r="F64" s="171"/>
      <c r="G64" s="171"/>
      <c r="H64" s="164"/>
      <c r="I64" s="164"/>
      <c r="J64" s="172"/>
    </row>
    <row r="65" spans="1:10" ht="15.75" hidden="1" customHeight="1" x14ac:dyDescent="0.2">
      <c r="A65" s="71" t="s">
        <v>797</v>
      </c>
      <c r="B65" s="164"/>
      <c r="C65" s="171"/>
      <c r="D65" s="171"/>
      <c r="E65" s="171"/>
      <c r="F65" s="171"/>
      <c r="G65" s="171"/>
      <c r="H65" s="164"/>
      <c r="I65" s="164"/>
      <c r="J65" s="172"/>
    </row>
    <row r="66" spans="1:10" hidden="1" x14ac:dyDescent="0.2">
      <c r="A66" s="1">
        <v>51</v>
      </c>
      <c r="B66" s="13" t="s">
        <v>798</v>
      </c>
      <c r="C66" s="52"/>
      <c r="D66" s="52"/>
      <c r="E66" s="52"/>
      <c r="F66" s="52"/>
      <c r="G66" s="52"/>
      <c r="H66" s="1"/>
      <c r="I66" s="1"/>
      <c r="J66" s="65"/>
    </row>
    <row r="67" spans="1:10" hidden="1" x14ac:dyDescent="0.2">
      <c r="A67" s="1">
        <v>52</v>
      </c>
      <c r="B67" s="13" t="s">
        <v>799</v>
      </c>
      <c r="C67" s="52"/>
      <c r="D67" s="52"/>
      <c r="E67" s="52"/>
      <c r="F67" s="52"/>
      <c r="G67" s="52"/>
      <c r="H67" s="1"/>
      <c r="I67" s="1"/>
      <c r="J67" s="65"/>
    </row>
    <row r="68" spans="1:10" ht="15.75" hidden="1" x14ac:dyDescent="0.2">
      <c r="A68" s="71" t="s">
        <v>800</v>
      </c>
      <c r="B68" s="164"/>
      <c r="C68" s="171"/>
      <c r="D68" s="171"/>
      <c r="E68" s="171"/>
      <c r="F68" s="171"/>
      <c r="G68" s="171"/>
      <c r="H68" s="164"/>
      <c r="I68" s="164"/>
      <c r="J68" s="172"/>
    </row>
    <row r="69" spans="1:10" hidden="1" x14ac:dyDescent="0.2">
      <c r="A69" s="1">
        <v>53</v>
      </c>
      <c r="B69" s="13" t="s">
        <v>801</v>
      </c>
      <c r="C69" s="52"/>
      <c r="D69" s="52"/>
      <c r="E69" s="52"/>
      <c r="F69" s="52"/>
      <c r="G69" s="52"/>
      <c r="H69" s="1"/>
      <c r="I69" s="1"/>
      <c r="J69" s="65"/>
    </row>
    <row r="70" spans="1:10" hidden="1" x14ac:dyDescent="0.2">
      <c r="A70" s="1">
        <v>54</v>
      </c>
      <c r="B70" s="13" t="s">
        <v>802</v>
      </c>
      <c r="C70" s="52"/>
      <c r="D70" s="52"/>
      <c r="E70" s="52"/>
      <c r="F70" s="52"/>
      <c r="G70" s="52"/>
      <c r="H70" s="1"/>
      <c r="I70" s="1"/>
      <c r="J70" s="65"/>
    </row>
    <row r="71" spans="1:10" hidden="1" x14ac:dyDescent="0.2">
      <c r="A71" s="1">
        <v>55</v>
      </c>
      <c r="B71" s="13" t="s">
        <v>803</v>
      </c>
      <c r="C71" s="52"/>
      <c r="D71" s="52"/>
      <c r="E71" s="52"/>
      <c r="F71" s="52"/>
      <c r="G71" s="52"/>
      <c r="H71" s="1"/>
      <c r="I71" s="1"/>
      <c r="J71" s="52"/>
    </row>
    <row r="72" spans="1:10" hidden="1" x14ac:dyDescent="0.2">
      <c r="A72" s="1">
        <v>56</v>
      </c>
      <c r="B72" s="13" t="s">
        <v>804</v>
      </c>
      <c r="C72" s="52"/>
      <c r="D72" s="52"/>
      <c r="E72" s="52"/>
      <c r="F72" s="52"/>
      <c r="G72" s="52"/>
      <c r="H72" s="1"/>
      <c r="I72" s="1"/>
      <c r="J72" s="52"/>
    </row>
    <row r="73" spans="1:10" hidden="1" x14ac:dyDescent="0.2">
      <c r="A73" s="1">
        <v>57</v>
      </c>
      <c r="B73" s="63" t="s">
        <v>805</v>
      </c>
      <c r="C73" s="52"/>
      <c r="D73" s="52"/>
      <c r="E73" s="52"/>
      <c r="F73" s="52"/>
      <c r="G73" s="52"/>
      <c r="H73" s="1"/>
      <c r="I73" s="1"/>
      <c r="J73" s="52"/>
    </row>
    <row r="74" spans="1:10" hidden="1" x14ac:dyDescent="0.2">
      <c r="A74" s="1">
        <v>58</v>
      </c>
      <c r="B74" s="13" t="s">
        <v>806</v>
      </c>
      <c r="C74" s="52"/>
      <c r="D74" s="52"/>
      <c r="E74" s="52"/>
      <c r="F74" s="52"/>
      <c r="G74" s="52"/>
      <c r="H74" s="1"/>
      <c r="I74" s="1"/>
      <c r="J74" s="52"/>
    </row>
    <row r="75" spans="1:10" hidden="1" x14ac:dyDescent="0.2">
      <c r="A75" s="1">
        <v>59</v>
      </c>
      <c r="B75" s="13" t="s">
        <v>807</v>
      </c>
      <c r="C75" s="52"/>
      <c r="D75" s="52"/>
      <c r="E75" s="52"/>
      <c r="F75" s="52"/>
      <c r="G75" s="52"/>
      <c r="H75" s="1"/>
      <c r="I75" s="1"/>
      <c r="J75" s="52"/>
    </row>
    <row r="76" spans="1:10" hidden="1" x14ac:dyDescent="0.2">
      <c r="A76" s="1">
        <v>60</v>
      </c>
      <c r="B76" s="13" t="s">
        <v>808</v>
      </c>
      <c r="C76" s="52"/>
      <c r="D76" s="52"/>
      <c r="E76" s="52"/>
      <c r="F76" s="52"/>
      <c r="G76" s="52"/>
      <c r="H76" s="1"/>
      <c r="I76" s="1"/>
      <c r="J76" s="52"/>
    </row>
    <row r="77" spans="1:10" ht="15.75" hidden="1" x14ac:dyDescent="0.2">
      <c r="A77" s="71" t="s">
        <v>809</v>
      </c>
      <c r="B77" s="164"/>
      <c r="C77" s="171"/>
      <c r="D77" s="171"/>
      <c r="E77" s="171"/>
      <c r="F77" s="171"/>
      <c r="G77" s="171"/>
      <c r="H77" s="164"/>
      <c r="I77" s="164"/>
      <c r="J77" s="172"/>
    </row>
    <row r="78" spans="1:10" hidden="1" x14ac:dyDescent="0.2">
      <c r="A78" s="1">
        <v>61</v>
      </c>
      <c r="B78" s="13" t="s">
        <v>810</v>
      </c>
      <c r="C78" s="52"/>
      <c r="D78" s="52"/>
      <c r="E78" s="52"/>
      <c r="F78" s="52"/>
      <c r="G78" s="52"/>
      <c r="H78" s="1"/>
      <c r="I78" s="1"/>
      <c r="J78" s="52"/>
    </row>
    <row r="79" spans="1:10" hidden="1" x14ac:dyDescent="0.2">
      <c r="A79" s="1">
        <v>62</v>
      </c>
      <c r="B79" s="13" t="s">
        <v>811</v>
      </c>
      <c r="C79" s="52"/>
      <c r="D79" s="52"/>
      <c r="E79" s="52"/>
      <c r="F79" s="52"/>
      <c r="G79" s="52"/>
      <c r="H79" s="1"/>
      <c r="I79" s="1"/>
      <c r="J79" s="61"/>
    </row>
    <row r="80" spans="1:10" hidden="1" x14ac:dyDescent="0.2">
      <c r="A80" s="1">
        <v>63</v>
      </c>
      <c r="B80" s="13" t="s">
        <v>812</v>
      </c>
      <c r="C80" s="52"/>
      <c r="D80" s="52"/>
      <c r="E80" s="52"/>
      <c r="F80" s="52"/>
      <c r="G80" s="52"/>
      <c r="H80" s="1"/>
      <c r="I80" s="1"/>
      <c r="J80" s="52"/>
    </row>
    <row r="81" spans="1:10" ht="30.75" hidden="1" customHeight="1" x14ac:dyDescent="0.2">
      <c r="A81" s="1">
        <v>64</v>
      </c>
      <c r="B81" s="13" t="s">
        <v>813</v>
      </c>
      <c r="C81" s="52"/>
      <c r="D81" s="52"/>
      <c r="E81" s="52"/>
      <c r="F81" s="52"/>
      <c r="G81" s="52"/>
      <c r="H81" s="1"/>
      <c r="I81" s="1"/>
      <c r="J81" s="65"/>
    </row>
    <row r="82" spans="1:10" s="260" customFormat="1" ht="26.25" hidden="1" customHeight="1" x14ac:dyDescent="0.2">
      <c r="A82" s="1">
        <v>65</v>
      </c>
      <c r="B82" s="13" t="s">
        <v>814</v>
      </c>
      <c r="C82" s="52"/>
      <c r="D82" s="52"/>
      <c r="E82" s="52"/>
      <c r="F82" s="52"/>
      <c r="G82" s="52"/>
      <c r="H82" s="1"/>
      <c r="I82" s="1"/>
      <c r="J82" s="56"/>
    </row>
    <row r="83" spans="1:10" ht="23.25" hidden="1" customHeight="1" x14ac:dyDescent="0.2">
      <c r="A83" s="1">
        <v>66</v>
      </c>
      <c r="B83" s="13" t="s">
        <v>815</v>
      </c>
      <c r="C83" s="52"/>
      <c r="D83" s="52"/>
      <c r="E83" s="52"/>
      <c r="F83" s="52"/>
      <c r="G83" s="52"/>
      <c r="H83" s="1"/>
      <c r="I83" s="1"/>
      <c r="J83" s="65"/>
    </row>
    <row r="84" spans="1:10" ht="30" hidden="1" x14ac:dyDescent="0.2">
      <c r="A84" s="1">
        <v>67</v>
      </c>
      <c r="B84" s="13" t="s">
        <v>816</v>
      </c>
      <c r="C84" s="52"/>
      <c r="D84" s="52"/>
      <c r="E84" s="52"/>
      <c r="F84" s="52"/>
      <c r="G84" s="52"/>
      <c r="H84" s="1"/>
      <c r="I84" s="1"/>
      <c r="J84" s="52"/>
    </row>
    <row r="85" spans="1:10" s="260" customFormat="1" ht="30" hidden="1" x14ac:dyDescent="0.2">
      <c r="A85" s="1">
        <v>68</v>
      </c>
      <c r="B85" s="13" t="s">
        <v>817</v>
      </c>
      <c r="C85" s="52"/>
      <c r="D85" s="52"/>
      <c r="E85" s="52"/>
      <c r="F85" s="52"/>
      <c r="G85" s="52"/>
      <c r="H85" s="1"/>
      <c r="I85" s="1"/>
      <c r="J85" s="258"/>
    </row>
    <row r="86" spans="1:10" hidden="1" x14ac:dyDescent="0.2">
      <c r="A86" s="1">
        <v>69</v>
      </c>
      <c r="B86" s="13" t="s">
        <v>818</v>
      </c>
      <c r="C86" s="52"/>
      <c r="D86" s="52"/>
      <c r="E86" s="52"/>
      <c r="F86" s="52"/>
      <c r="G86" s="52"/>
      <c r="H86" s="1"/>
      <c r="I86" s="1"/>
      <c r="J86" s="52"/>
    </row>
    <row r="87" spans="1:10" s="260" customFormat="1" hidden="1" x14ac:dyDescent="0.2">
      <c r="A87" s="1">
        <v>70</v>
      </c>
      <c r="B87" s="13" t="s">
        <v>819</v>
      </c>
      <c r="C87" s="52"/>
      <c r="D87" s="52"/>
      <c r="E87" s="52"/>
      <c r="F87" s="52"/>
      <c r="G87" s="52"/>
      <c r="H87" s="1"/>
      <c r="I87" s="1"/>
      <c r="J87" s="259"/>
    </row>
    <row r="88" spans="1:10" x14ac:dyDescent="0.2">
      <c r="A88" s="1">
        <v>71</v>
      </c>
      <c r="B88" s="13" t="s">
        <v>820</v>
      </c>
      <c r="C88" s="52">
        <v>11</v>
      </c>
      <c r="D88" s="52">
        <v>13</v>
      </c>
      <c r="E88" s="52"/>
      <c r="F88" s="52"/>
      <c r="G88" s="52"/>
      <c r="H88" s="1"/>
      <c r="I88" s="1">
        <v>13</v>
      </c>
      <c r="J88" s="65" t="s">
        <v>1087</v>
      </c>
    </row>
    <row r="89" spans="1:10" x14ac:dyDescent="0.2">
      <c r="A89" s="1">
        <v>72</v>
      </c>
      <c r="B89" s="13" t="s">
        <v>821</v>
      </c>
      <c r="C89" s="52">
        <v>3</v>
      </c>
      <c r="D89" s="52">
        <v>4</v>
      </c>
      <c r="E89" s="52"/>
      <c r="F89" s="52"/>
      <c r="G89" s="52"/>
      <c r="H89" s="1"/>
      <c r="I89" s="1">
        <v>4</v>
      </c>
      <c r="J89" s="65" t="s">
        <v>1088</v>
      </c>
    </row>
    <row r="90" spans="1:10" hidden="1" x14ac:dyDescent="0.2">
      <c r="A90" s="1">
        <v>73</v>
      </c>
      <c r="B90" s="13" t="s">
        <v>822</v>
      </c>
      <c r="C90" s="52"/>
      <c r="D90" s="52"/>
      <c r="E90" s="52"/>
      <c r="F90" s="52"/>
      <c r="G90" s="52"/>
      <c r="H90" s="1"/>
      <c r="I90" s="1"/>
      <c r="J90" s="52"/>
    </row>
    <row r="91" spans="1:10" ht="30" hidden="1" x14ac:dyDescent="0.2">
      <c r="A91" s="1">
        <v>74</v>
      </c>
      <c r="B91" s="13" t="s">
        <v>823</v>
      </c>
      <c r="C91" s="52"/>
      <c r="D91" s="52"/>
      <c r="E91" s="52"/>
      <c r="F91" s="52"/>
      <c r="G91" s="52"/>
      <c r="H91" s="1"/>
      <c r="I91" s="1"/>
      <c r="J91" s="55"/>
    </row>
    <row r="92" spans="1:10" ht="30" hidden="1" x14ac:dyDescent="0.2">
      <c r="A92" s="1">
        <v>75</v>
      </c>
      <c r="B92" s="13" t="s">
        <v>824</v>
      </c>
      <c r="C92" s="52"/>
      <c r="D92" s="52"/>
      <c r="E92" s="52"/>
      <c r="F92" s="52"/>
      <c r="G92" s="52"/>
      <c r="H92" s="1"/>
      <c r="I92" s="1"/>
      <c r="J92" s="52"/>
    </row>
    <row r="93" spans="1:10" ht="24.75" hidden="1" customHeight="1" x14ac:dyDescent="0.2">
      <c r="A93" s="1">
        <v>76</v>
      </c>
      <c r="B93" s="163" t="s">
        <v>825</v>
      </c>
      <c r="C93" s="52"/>
      <c r="D93" s="52"/>
      <c r="E93" s="52"/>
      <c r="F93" s="52"/>
      <c r="G93" s="52"/>
      <c r="H93" s="1"/>
      <c r="I93" s="1"/>
      <c r="J93" s="55"/>
    </row>
    <row r="94" spans="1:10" ht="23.25" hidden="1" customHeight="1" x14ac:dyDescent="0.2">
      <c r="A94" s="1">
        <v>77</v>
      </c>
      <c r="B94" s="163" t="s">
        <v>826</v>
      </c>
      <c r="C94" s="52"/>
      <c r="D94" s="52"/>
      <c r="E94" s="52"/>
      <c r="F94" s="52"/>
      <c r="G94" s="52"/>
      <c r="H94" s="1"/>
      <c r="I94" s="1"/>
      <c r="J94" s="52"/>
    </row>
    <row r="95" spans="1:10" ht="23.25" customHeight="1" x14ac:dyDescent="0.2">
      <c r="A95" s="1">
        <v>78</v>
      </c>
      <c r="B95" s="163" t="s">
        <v>827</v>
      </c>
      <c r="C95" s="52">
        <v>5</v>
      </c>
      <c r="D95" s="52">
        <v>2</v>
      </c>
      <c r="E95" s="52"/>
      <c r="F95" s="52"/>
      <c r="G95" s="52"/>
      <c r="H95" s="1"/>
      <c r="I95" s="1">
        <v>2</v>
      </c>
      <c r="J95" s="56"/>
    </row>
    <row r="96" spans="1:10" ht="30" hidden="1" x14ac:dyDescent="0.2">
      <c r="A96" s="1">
        <v>79</v>
      </c>
      <c r="B96" s="13" t="s">
        <v>828</v>
      </c>
      <c r="C96" s="52"/>
      <c r="D96" s="52"/>
      <c r="E96" s="52"/>
      <c r="F96" s="52"/>
      <c r="G96" s="52"/>
      <c r="H96" s="1"/>
      <c r="I96" s="1"/>
      <c r="J96" s="55"/>
    </row>
    <row r="97" spans="1:10" s="260" customFormat="1" ht="30" hidden="1" x14ac:dyDescent="0.2">
      <c r="A97" s="1">
        <v>80</v>
      </c>
      <c r="B97" s="13" t="s">
        <v>829</v>
      </c>
      <c r="C97" s="52"/>
      <c r="D97" s="52"/>
      <c r="E97" s="52"/>
      <c r="F97" s="52"/>
      <c r="G97" s="52"/>
      <c r="H97" s="1"/>
      <c r="I97" s="1"/>
      <c r="J97" s="259"/>
    </row>
    <row r="98" spans="1:10" hidden="1" x14ac:dyDescent="0.2">
      <c r="A98" s="1">
        <v>81</v>
      </c>
      <c r="B98" s="13" t="s">
        <v>830</v>
      </c>
      <c r="C98" s="52"/>
      <c r="D98" s="52"/>
      <c r="E98" s="52"/>
      <c r="F98" s="52"/>
      <c r="G98" s="52"/>
      <c r="H98" s="1"/>
      <c r="I98" s="1"/>
      <c r="J98" s="52"/>
    </row>
    <row r="99" spans="1:10" hidden="1" x14ac:dyDescent="0.2">
      <c r="A99" s="1">
        <v>82</v>
      </c>
      <c r="B99" s="13" t="s">
        <v>831</v>
      </c>
      <c r="C99" s="52"/>
      <c r="D99" s="52"/>
      <c r="E99" s="52"/>
      <c r="F99" s="52"/>
      <c r="G99" s="52"/>
      <c r="H99" s="1"/>
      <c r="I99" s="1"/>
      <c r="J99" s="52"/>
    </row>
    <row r="100" spans="1:10" hidden="1" x14ac:dyDescent="0.2">
      <c r="A100" s="1">
        <v>83</v>
      </c>
      <c r="B100" s="13" t="s">
        <v>832</v>
      </c>
      <c r="C100" s="52"/>
      <c r="D100" s="52"/>
      <c r="E100" s="52"/>
      <c r="F100" s="52"/>
      <c r="G100" s="52"/>
      <c r="H100" s="1"/>
      <c r="I100" s="1"/>
      <c r="J100" s="52"/>
    </row>
    <row r="101" spans="1:10" x14ac:dyDescent="0.2">
      <c r="A101" s="1">
        <v>84</v>
      </c>
      <c r="B101" s="13" t="s">
        <v>833</v>
      </c>
      <c r="C101" s="52">
        <v>3</v>
      </c>
      <c r="D101" s="52">
        <v>3</v>
      </c>
      <c r="E101" s="52"/>
      <c r="F101" s="52"/>
      <c r="G101" s="52"/>
      <c r="H101" s="1"/>
      <c r="I101" s="1">
        <v>3</v>
      </c>
      <c r="J101" s="55" t="s">
        <v>1089</v>
      </c>
    </row>
    <row r="102" spans="1:10" ht="28.5" hidden="1" customHeight="1" x14ac:dyDescent="0.2">
      <c r="A102" s="1">
        <v>85</v>
      </c>
      <c r="B102" s="13" t="s">
        <v>834</v>
      </c>
      <c r="C102" s="52"/>
      <c r="D102" s="52"/>
      <c r="E102" s="52"/>
      <c r="F102" s="52"/>
      <c r="G102" s="52"/>
      <c r="H102" s="1"/>
      <c r="I102" s="1"/>
      <c r="J102" s="65"/>
    </row>
    <row r="103" spans="1:10" ht="38.25" hidden="1" customHeight="1" x14ac:dyDescent="0.2">
      <c r="A103" s="1">
        <v>86</v>
      </c>
      <c r="B103" s="13" t="s">
        <v>835</v>
      </c>
      <c r="C103" s="52"/>
      <c r="D103" s="52"/>
      <c r="E103" s="52"/>
      <c r="F103" s="52"/>
      <c r="G103" s="52"/>
      <c r="H103" s="1"/>
      <c r="I103" s="1"/>
      <c r="J103" s="55"/>
    </row>
    <row r="104" spans="1:10" s="260" customFormat="1" ht="30" hidden="1" x14ac:dyDescent="0.2">
      <c r="A104" s="1">
        <v>87</v>
      </c>
      <c r="B104" s="13" t="s">
        <v>836</v>
      </c>
      <c r="C104" s="52"/>
      <c r="D104" s="52"/>
      <c r="E104" s="52"/>
      <c r="F104" s="52"/>
      <c r="G104" s="52"/>
      <c r="H104" s="1"/>
      <c r="I104" s="1"/>
      <c r="J104" s="96"/>
    </row>
    <row r="105" spans="1:10" hidden="1" x14ac:dyDescent="0.2">
      <c r="A105" s="1">
        <v>88</v>
      </c>
      <c r="B105" s="13" t="s">
        <v>837</v>
      </c>
      <c r="C105" s="52"/>
      <c r="D105" s="52"/>
      <c r="E105" s="52"/>
      <c r="F105" s="52"/>
      <c r="G105" s="52"/>
      <c r="H105" s="1"/>
      <c r="I105" s="1"/>
      <c r="J105" s="52"/>
    </row>
    <row r="106" spans="1:10" ht="28.5" hidden="1" customHeight="1" x14ac:dyDescent="0.2">
      <c r="A106" s="1">
        <v>89</v>
      </c>
      <c r="B106" s="13" t="s">
        <v>838</v>
      </c>
      <c r="C106" s="52"/>
      <c r="D106" s="52"/>
      <c r="E106" s="52"/>
      <c r="F106" s="52"/>
      <c r="G106" s="52"/>
      <c r="H106" s="1"/>
      <c r="I106" s="1"/>
      <c r="J106" s="55"/>
    </row>
    <row r="107" spans="1:10" s="260" customFormat="1" ht="36.75" hidden="1" customHeight="1" x14ac:dyDescent="0.2">
      <c r="A107" s="1">
        <v>90</v>
      </c>
      <c r="B107" s="13" t="s">
        <v>839</v>
      </c>
      <c r="C107" s="52"/>
      <c r="D107" s="52"/>
      <c r="E107" s="52"/>
      <c r="F107" s="52"/>
      <c r="G107" s="52"/>
      <c r="H107" s="1"/>
      <c r="I107" s="1"/>
      <c r="J107" s="61"/>
    </row>
    <row r="108" spans="1:10" hidden="1" x14ac:dyDescent="0.2">
      <c r="A108" s="1">
        <v>91</v>
      </c>
      <c r="B108" s="13" t="s">
        <v>840</v>
      </c>
      <c r="C108" s="52"/>
      <c r="D108" s="52"/>
      <c r="E108" s="52"/>
      <c r="F108" s="52"/>
      <c r="G108" s="52"/>
      <c r="H108" s="1"/>
      <c r="I108" s="1"/>
      <c r="J108" s="52"/>
    </row>
    <row r="109" spans="1:10" hidden="1" x14ac:dyDescent="0.2">
      <c r="A109" s="1">
        <v>92</v>
      </c>
      <c r="B109" s="13" t="s">
        <v>841</v>
      </c>
      <c r="C109" s="52"/>
      <c r="D109" s="52"/>
      <c r="E109" s="52"/>
      <c r="F109" s="52"/>
      <c r="G109" s="52"/>
      <c r="H109" s="1"/>
      <c r="I109" s="1"/>
      <c r="J109" s="52"/>
    </row>
    <row r="110" spans="1:10" ht="36" hidden="1" customHeight="1" x14ac:dyDescent="0.2">
      <c r="A110" s="1">
        <v>93</v>
      </c>
      <c r="B110" s="13" t="s">
        <v>842</v>
      </c>
      <c r="C110" s="52"/>
      <c r="D110" s="52"/>
      <c r="E110" s="52"/>
      <c r="F110" s="52"/>
      <c r="G110" s="52"/>
      <c r="H110" s="1"/>
      <c r="I110" s="1"/>
      <c r="J110" s="52"/>
    </row>
    <row r="111" spans="1:10" hidden="1" x14ac:dyDescent="0.2">
      <c r="A111" s="1">
        <v>94</v>
      </c>
      <c r="B111" s="13" t="s">
        <v>843</v>
      </c>
      <c r="C111" s="52"/>
      <c r="D111" s="52"/>
      <c r="E111" s="52"/>
      <c r="F111" s="52"/>
      <c r="G111" s="52"/>
      <c r="H111" s="1"/>
      <c r="I111" s="1"/>
      <c r="J111" s="52"/>
    </row>
    <row r="112" spans="1:10" ht="30" hidden="1" x14ac:dyDescent="0.2">
      <c r="A112" s="1">
        <v>95</v>
      </c>
      <c r="B112" s="13" t="s">
        <v>844</v>
      </c>
      <c r="C112" s="52"/>
      <c r="D112" s="52"/>
      <c r="E112" s="52"/>
      <c r="F112" s="52"/>
      <c r="G112" s="52"/>
      <c r="H112" s="1"/>
      <c r="I112" s="1"/>
      <c r="J112" s="55"/>
    </row>
    <row r="113" spans="1:10" ht="30" hidden="1" x14ac:dyDescent="0.2">
      <c r="A113" s="1">
        <v>96</v>
      </c>
      <c r="B113" s="13" t="s">
        <v>845</v>
      </c>
      <c r="C113" s="52"/>
      <c r="D113" s="52"/>
      <c r="E113" s="52"/>
      <c r="F113" s="52"/>
      <c r="G113" s="52"/>
      <c r="H113" s="1"/>
      <c r="I113" s="1"/>
      <c r="J113" s="52"/>
    </row>
    <row r="114" spans="1:10" ht="30" hidden="1" x14ac:dyDescent="0.2">
      <c r="A114" s="1">
        <v>97</v>
      </c>
      <c r="B114" s="13" t="s">
        <v>846</v>
      </c>
      <c r="C114" s="52"/>
      <c r="D114" s="52"/>
      <c r="E114" s="52"/>
      <c r="F114" s="52"/>
      <c r="G114" s="52"/>
      <c r="H114" s="1"/>
      <c r="I114" s="1"/>
      <c r="J114" s="55"/>
    </row>
    <row r="115" spans="1:10" hidden="1" x14ac:dyDescent="0.2">
      <c r="A115" s="1">
        <v>98</v>
      </c>
      <c r="B115" s="13" t="s">
        <v>847</v>
      </c>
      <c r="C115" s="52"/>
      <c r="D115" s="52"/>
      <c r="E115" s="52"/>
      <c r="F115" s="52"/>
      <c r="G115" s="52"/>
      <c r="H115" s="1"/>
      <c r="I115" s="1"/>
      <c r="J115" s="56"/>
    </row>
    <row r="116" spans="1:10" hidden="1" x14ac:dyDescent="0.2">
      <c r="A116" s="1">
        <v>99</v>
      </c>
      <c r="B116" s="13" t="s">
        <v>848</v>
      </c>
      <c r="C116" s="52"/>
      <c r="D116" s="52"/>
      <c r="E116" s="52"/>
      <c r="F116" s="52"/>
      <c r="G116" s="52"/>
      <c r="H116" s="1"/>
      <c r="I116" s="1"/>
      <c r="J116" s="52"/>
    </row>
    <row r="117" spans="1:10" hidden="1" x14ac:dyDescent="0.2">
      <c r="A117" s="1">
        <v>100</v>
      </c>
      <c r="B117" s="13" t="s">
        <v>849</v>
      </c>
      <c r="C117" s="52"/>
      <c r="D117" s="52"/>
      <c r="E117" s="52"/>
      <c r="F117" s="52"/>
      <c r="G117" s="52"/>
      <c r="H117" s="1"/>
      <c r="I117" s="1"/>
      <c r="J117" s="52"/>
    </row>
    <row r="118" spans="1:10" hidden="1" x14ac:dyDescent="0.2">
      <c r="A118" s="1">
        <v>101</v>
      </c>
      <c r="B118" s="13" t="s">
        <v>850</v>
      </c>
      <c r="C118" s="52"/>
      <c r="D118" s="52"/>
      <c r="E118" s="52"/>
      <c r="F118" s="52"/>
      <c r="G118" s="52"/>
      <c r="H118" s="1"/>
      <c r="I118" s="1"/>
      <c r="J118" s="52"/>
    </row>
    <row r="119" spans="1:10" ht="28.5" hidden="1" customHeight="1" x14ac:dyDescent="0.2">
      <c r="A119" s="1">
        <v>102</v>
      </c>
      <c r="B119" s="13" t="s">
        <v>851</v>
      </c>
      <c r="C119" s="52"/>
      <c r="D119" s="52"/>
      <c r="E119" s="52"/>
      <c r="F119" s="52"/>
      <c r="G119" s="52"/>
      <c r="H119" s="1"/>
      <c r="I119" s="1"/>
      <c r="J119" s="52"/>
    </row>
    <row r="120" spans="1:10" hidden="1" x14ac:dyDescent="0.2">
      <c r="A120" s="1">
        <v>103</v>
      </c>
      <c r="B120" s="13" t="s">
        <v>852</v>
      </c>
      <c r="C120" s="52"/>
      <c r="D120" s="52"/>
      <c r="E120" s="52"/>
      <c r="F120" s="52"/>
      <c r="G120" s="52"/>
      <c r="H120" s="1"/>
      <c r="I120" s="1"/>
      <c r="J120" s="52"/>
    </row>
    <row r="121" spans="1:10" ht="30" hidden="1" x14ac:dyDescent="0.2">
      <c r="A121" s="1">
        <v>104</v>
      </c>
      <c r="B121" s="13" t="s">
        <v>853</v>
      </c>
      <c r="C121" s="52"/>
      <c r="D121" s="52"/>
      <c r="E121" s="52"/>
      <c r="F121" s="52"/>
      <c r="G121" s="52"/>
      <c r="H121" s="1"/>
      <c r="I121" s="1"/>
    </row>
    <row r="122" spans="1:10" hidden="1" x14ac:dyDescent="0.2">
      <c r="A122" s="1">
        <v>105</v>
      </c>
      <c r="B122" s="13" t="s">
        <v>854</v>
      </c>
      <c r="C122" s="52"/>
      <c r="D122" s="52"/>
      <c r="E122" s="52"/>
      <c r="F122" s="52"/>
      <c r="G122" s="52"/>
      <c r="H122" s="1"/>
      <c r="I122" s="1"/>
      <c r="J122" s="52"/>
    </row>
    <row r="123" spans="1:10" hidden="1" x14ac:dyDescent="0.2">
      <c r="A123" s="1">
        <v>106</v>
      </c>
      <c r="B123" s="13" t="s">
        <v>855</v>
      </c>
      <c r="C123" s="52"/>
      <c r="D123" s="52"/>
      <c r="E123" s="52"/>
      <c r="F123" s="52"/>
      <c r="G123" s="52"/>
      <c r="H123" s="1"/>
      <c r="I123" s="1"/>
      <c r="J123" s="52"/>
    </row>
    <row r="124" spans="1:10" hidden="1" x14ac:dyDescent="0.2">
      <c r="A124" s="1">
        <v>107</v>
      </c>
      <c r="B124" s="13" t="s">
        <v>856</v>
      </c>
      <c r="C124" s="52"/>
      <c r="D124" s="52"/>
      <c r="E124" s="52"/>
      <c r="F124" s="52"/>
      <c r="G124" s="52"/>
      <c r="H124" s="1"/>
      <c r="I124" s="1"/>
      <c r="J124" s="55"/>
    </row>
    <row r="125" spans="1:10" ht="15.75" hidden="1" x14ac:dyDescent="0.2">
      <c r="A125" s="71" t="s">
        <v>922</v>
      </c>
      <c r="B125" s="164"/>
      <c r="C125" s="164"/>
      <c r="D125" s="164"/>
      <c r="E125" s="164"/>
      <c r="F125" s="164"/>
      <c r="G125" s="164"/>
      <c r="H125" s="164"/>
      <c r="I125" s="164"/>
      <c r="J125" s="165"/>
    </row>
    <row r="126" spans="1:10" s="3" customFormat="1" ht="22.5" hidden="1" customHeight="1" x14ac:dyDescent="0.25">
      <c r="A126" s="59">
        <v>108</v>
      </c>
      <c r="B126" s="56" t="s">
        <v>617</v>
      </c>
      <c r="C126" s="52"/>
      <c r="D126" s="52"/>
      <c r="E126" s="52"/>
      <c r="F126" s="52"/>
      <c r="G126" s="52"/>
      <c r="H126" s="1"/>
      <c r="I126" s="1"/>
      <c r="J126" s="65"/>
    </row>
    <row r="127" spans="1:10" s="3" customFormat="1" ht="33" hidden="1" customHeight="1" x14ac:dyDescent="0.25">
      <c r="A127" s="59">
        <v>109</v>
      </c>
      <c r="B127" s="56" t="s">
        <v>618</v>
      </c>
      <c r="C127" s="52"/>
      <c r="D127" s="52"/>
      <c r="E127" s="52"/>
      <c r="F127" s="52"/>
      <c r="G127" s="52"/>
      <c r="H127" s="1"/>
      <c r="I127" s="1"/>
      <c r="J127" s="65"/>
    </row>
    <row r="128" spans="1:10" hidden="1" x14ac:dyDescent="0.2">
      <c r="A128" s="59">
        <v>110</v>
      </c>
      <c r="B128" s="13" t="s">
        <v>366</v>
      </c>
      <c r="C128" s="52"/>
      <c r="D128" s="52"/>
      <c r="E128" s="52"/>
      <c r="F128" s="52"/>
      <c r="G128" s="52"/>
      <c r="H128" s="1"/>
      <c r="I128" s="1"/>
      <c r="J128" s="55"/>
    </row>
    <row r="129" spans="1:10" ht="25.5" hidden="1" customHeight="1" x14ac:dyDescent="0.2">
      <c r="A129" s="59">
        <v>111</v>
      </c>
      <c r="B129" s="13" t="s">
        <v>394</v>
      </c>
      <c r="C129" s="52"/>
      <c r="D129" s="52"/>
      <c r="E129" s="52"/>
      <c r="F129" s="52"/>
      <c r="G129" s="52"/>
      <c r="H129" s="1"/>
      <c r="I129" s="1"/>
      <c r="J129" s="175"/>
    </row>
    <row r="130" spans="1:10" s="131" customFormat="1" hidden="1" x14ac:dyDescent="0.25">
      <c r="A130" s="59">
        <v>112</v>
      </c>
      <c r="B130" s="49" t="s">
        <v>336</v>
      </c>
      <c r="C130" s="52"/>
      <c r="D130" s="52"/>
      <c r="E130" s="52"/>
      <c r="F130" s="52"/>
      <c r="G130" s="52"/>
      <c r="H130" s="1"/>
      <c r="I130" s="1"/>
      <c r="J130" s="56"/>
    </row>
    <row r="131" spans="1:10" hidden="1" x14ac:dyDescent="0.2">
      <c r="A131" s="59">
        <v>113</v>
      </c>
      <c r="B131" s="13" t="s">
        <v>916</v>
      </c>
      <c r="C131" s="52"/>
      <c r="D131" s="52"/>
      <c r="E131" s="52"/>
      <c r="F131" s="52"/>
      <c r="G131" s="52"/>
      <c r="H131" s="1"/>
      <c r="I131" s="1"/>
    </row>
    <row r="132" spans="1:10" hidden="1" x14ac:dyDescent="0.2">
      <c r="A132" s="59">
        <v>114</v>
      </c>
      <c r="B132" s="56" t="s">
        <v>335</v>
      </c>
      <c r="C132" s="52"/>
      <c r="D132" s="52"/>
      <c r="E132" s="52"/>
      <c r="F132" s="52"/>
      <c r="G132" s="52"/>
      <c r="H132" s="1"/>
      <c r="I132" s="1"/>
      <c r="J132" s="56"/>
    </row>
    <row r="133" spans="1:10" s="130" customFormat="1" ht="22.5" hidden="1" customHeight="1" x14ac:dyDescent="0.25">
      <c r="A133" s="59">
        <v>115</v>
      </c>
      <c r="B133" s="49" t="s">
        <v>917</v>
      </c>
      <c r="C133" s="52"/>
      <c r="D133" s="52"/>
      <c r="E133" s="52"/>
      <c r="F133" s="52"/>
      <c r="G133" s="52"/>
      <c r="H133" s="1"/>
      <c r="I133" s="1"/>
      <c r="J133" s="56"/>
    </row>
    <row r="134" spans="1:10" hidden="1" x14ac:dyDescent="0.2">
      <c r="A134" s="59">
        <v>116</v>
      </c>
      <c r="B134" s="13" t="s">
        <v>281</v>
      </c>
      <c r="C134" s="52"/>
      <c r="D134" s="52"/>
      <c r="E134" s="52"/>
      <c r="F134" s="52"/>
      <c r="G134" s="52"/>
      <c r="H134" s="1"/>
      <c r="I134" s="1"/>
      <c r="J134" s="52"/>
    </row>
    <row r="135" spans="1:10" s="260" customFormat="1" ht="21" hidden="1" customHeight="1" x14ac:dyDescent="0.2">
      <c r="A135" s="59">
        <v>117</v>
      </c>
      <c r="B135" s="13" t="s">
        <v>280</v>
      </c>
      <c r="C135" s="52"/>
      <c r="D135" s="52"/>
      <c r="E135" s="52"/>
      <c r="F135" s="52"/>
      <c r="G135" s="52"/>
      <c r="H135" s="1"/>
      <c r="I135" s="1"/>
      <c r="J135" s="61"/>
    </row>
    <row r="136" spans="1:10" hidden="1" x14ac:dyDescent="0.2">
      <c r="A136" s="59">
        <v>118</v>
      </c>
      <c r="B136" s="13" t="s">
        <v>337</v>
      </c>
      <c r="C136" s="52"/>
      <c r="D136" s="52"/>
      <c r="E136" s="52"/>
      <c r="F136" s="52"/>
      <c r="G136" s="52"/>
      <c r="H136" s="1"/>
      <c r="I136" s="1"/>
      <c r="J136" s="61"/>
    </row>
    <row r="137" spans="1:10" ht="20.25" hidden="1" customHeight="1" x14ac:dyDescent="0.2">
      <c r="A137" s="59">
        <v>119</v>
      </c>
      <c r="B137" s="56" t="s">
        <v>279</v>
      </c>
      <c r="C137" s="52"/>
      <c r="D137" s="52"/>
      <c r="E137" s="52"/>
      <c r="F137" s="52"/>
      <c r="G137" s="52"/>
      <c r="H137" s="1"/>
      <c r="I137" s="1"/>
      <c r="J137" s="96"/>
    </row>
    <row r="138" spans="1:10" s="260" customFormat="1" ht="33" hidden="1" customHeight="1" x14ac:dyDescent="0.2">
      <c r="A138" s="59">
        <v>120</v>
      </c>
      <c r="B138" s="56" t="s">
        <v>338</v>
      </c>
      <c r="C138" s="52"/>
      <c r="D138" s="52"/>
      <c r="E138" s="52"/>
      <c r="F138" s="52"/>
      <c r="G138" s="52"/>
      <c r="H138" s="1"/>
      <c r="I138" s="1"/>
      <c r="J138" s="65"/>
    </row>
    <row r="139" spans="1:10" hidden="1" x14ac:dyDescent="0.2">
      <c r="A139" s="59">
        <v>121</v>
      </c>
      <c r="B139" s="56" t="s">
        <v>339</v>
      </c>
      <c r="C139" s="52"/>
      <c r="D139" s="52"/>
      <c r="E139" s="52"/>
      <c r="F139" s="52"/>
      <c r="G139" s="52"/>
      <c r="H139" s="1"/>
      <c r="I139" s="1"/>
      <c r="J139" s="185"/>
    </row>
    <row r="140" spans="1:10" ht="19.5" hidden="1" customHeight="1" x14ac:dyDescent="0.2">
      <c r="A140" s="59">
        <v>122</v>
      </c>
      <c r="B140" s="56" t="s">
        <v>340</v>
      </c>
      <c r="C140" s="52"/>
      <c r="D140" s="52"/>
      <c r="E140" s="52"/>
      <c r="F140" s="52"/>
      <c r="G140" s="52"/>
      <c r="H140" s="1"/>
      <c r="I140" s="1"/>
      <c r="J140" s="96"/>
    </row>
    <row r="141" spans="1:10" x14ac:dyDescent="0.2">
      <c r="A141" s="59">
        <v>123</v>
      </c>
      <c r="B141" s="56" t="s">
        <v>1091</v>
      </c>
      <c r="C141" s="52">
        <v>1</v>
      </c>
      <c r="D141" s="52">
        <v>1</v>
      </c>
      <c r="E141" s="52"/>
      <c r="F141" s="52"/>
      <c r="G141" s="52"/>
      <c r="H141" s="1"/>
      <c r="I141" s="1">
        <v>1</v>
      </c>
      <c r="J141" s="96"/>
    </row>
    <row r="142" spans="1:10" s="5" customFormat="1" ht="24" hidden="1" customHeight="1" x14ac:dyDescent="0.2">
      <c r="A142" s="59">
        <v>124</v>
      </c>
      <c r="B142" s="73" t="s">
        <v>341</v>
      </c>
      <c r="C142" s="52"/>
      <c r="D142" s="52"/>
      <c r="E142" s="52"/>
      <c r="F142" s="52"/>
      <c r="G142" s="52"/>
      <c r="H142" s="1"/>
      <c r="I142" s="1"/>
      <c r="J142" s="78"/>
    </row>
    <row r="143" spans="1:10" hidden="1" x14ac:dyDescent="0.2">
      <c r="A143" s="59">
        <v>125</v>
      </c>
      <c r="B143" s="13" t="s">
        <v>342</v>
      </c>
      <c r="C143" s="52"/>
      <c r="D143" s="52"/>
      <c r="E143" s="52"/>
      <c r="F143" s="52"/>
      <c r="G143" s="52"/>
      <c r="H143" s="1"/>
      <c r="I143" s="1"/>
      <c r="J143" s="65"/>
    </row>
    <row r="144" spans="1:10" hidden="1" x14ac:dyDescent="0.2">
      <c r="A144" s="59">
        <v>126</v>
      </c>
      <c r="B144" s="13" t="s">
        <v>667</v>
      </c>
      <c r="C144" s="52"/>
      <c r="D144" s="52"/>
      <c r="E144" s="52"/>
      <c r="F144" s="52"/>
      <c r="G144" s="52"/>
      <c r="H144" s="1"/>
      <c r="I144" s="1"/>
      <c r="J144" s="97"/>
    </row>
    <row r="145" spans="1:10" s="130" customFormat="1" ht="15.75" hidden="1" x14ac:dyDescent="0.25">
      <c r="A145" s="59">
        <v>127</v>
      </c>
      <c r="B145" s="90" t="s">
        <v>668</v>
      </c>
      <c r="C145" s="52"/>
      <c r="D145" s="52"/>
      <c r="E145" s="52"/>
      <c r="F145" s="52"/>
      <c r="G145" s="52"/>
      <c r="H145" s="1"/>
      <c r="I145" s="1"/>
      <c r="J145" s="97"/>
    </row>
    <row r="146" spans="1:10" ht="15.75" hidden="1" x14ac:dyDescent="0.2">
      <c r="A146" s="59">
        <v>128</v>
      </c>
      <c r="B146" s="13" t="s">
        <v>370</v>
      </c>
      <c r="C146" s="52"/>
      <c r="D146" s="52"/>
      <c r="E146" s="52"/>
      <c r="F146" s="52"/>
      <c r="G146" s="52"/>
      <c r="H146" s="1"/>
      <c r="I146" s="1"/>
      <c r="J146" s="48"/>
    </row>
    <row r="147" spans="1:10" ht="24.95" hidden="1" customHeight="1" x14ac:dyDescent="0.2">
      <c r="A147" s="59">
        <v>129</v>
      </c>
      <c r="B147" s="13" t="s">
        <v>371</v>
      </c>
      <c r="C147" s="52"/>
      <c r="D147" s="52"/>
      <c r="E147" s="52"/>
      <c r="F147" s="52"/>
      <c r="G147" s="52"/>
      <c r="H147" s="1"/>
      <c r="I147" s="1"/>
      <c r="J147" s="55"/>
    </row>
    <row r="148" spans="1:10" s="260" customFormat="1" ht="25.5" hidden="1" customHeight="1" x14ac:dyDescent="0.2">
      <c r="A148" s="59">
        <v>130</v>
      </c>
      <c r="B148" s="73" t="s">
        <v>343</v>
      </c>
      <c r="C148" s="52"/>
      <c r="D148" s="52"/>
      <c r="E148" s="52"/>
      <c r="F148" s="52"/>
      <c r="G148" s="52"/>
      <c r="H148" s="1"/>
      <c r="I148" s="1"/>
      <c r="J148" s="258"/>
    </row>
    <row r="149" spans="1:10" hidden="1" x14ac:dyDescent="0.2">
      <c r="A149" s="59">
        <v>131</v>
      </c>
      <c r="B149" s="13" t="s">
        <v>344</v>
      </c>
      <c r="C149" s="52"/>
      <c r="D149" s="52"/>
      <c r="E149" s="52"/>
      <c r="F149" s="52"/>
      <c r="G149" s="52"/>
      <c r="H149" s="1"/>
      <c r="I149" s="1"/>
      <c r="J149" s="65"/>
    </row>
    <row r="150" spans="1:10" ht="15.75" hidden="1" x14ac:dyDescent="0.25">
      <c r="A150" s="59">
        <v>132</v>
      </c>
      <c r="B150" s="13" t="s">
        <v>81</v>
      </c>
      <c r="C150" s="52"/>
      <c r="D150" s="52"/>
      <c r="E150" s="52"/>
      <c r="F150" s="52"/>
      <c r="G150" s="52"/>
      <c r="H150" s="1"/>
      <c r="I150" s="1"/>
      <c r="J150" s="186"/>
    </row>
    <row r="151" spans="1:10" hidden="1" x14ac:dyDescent="0.2">
      <c r="A151" s="59">
        <v>133</v>
      </c>
      <c r="B151" s="13" t="s">
        <v>372</v>
      </c>
      <c r="C151" s="52"/>
      <c r="D151" s="52"/>
      <c r="E151" s="52"/>
      <c r="F151" s="52"/>
      <c r="G151" s="52"/>
      <c r="H151" s="1"/>
      <c r="I151" s="1"/>
      <c r="J151" s="52"/>
    </row>
    <row r="152" spans="1:10" hidden="1" x14ac:dyDescent="0.2">
      <c r="A152" s="59">
        <v>134</v>
      </c>
      <c r="B152" s="13" t="s">
        <v>345</v>
      </c>
      <c r="C152" s="52"/>
      <c r="D152" s="52"/>
      <c r="E152" s="52"/>
      <c r="F152" s="52"/>
      <c r="G152" s="52"/>
      <c r="H152" s="1"/>
      <c r="I152" s="1"/>
      <c r="J152" s="52"/>
    </row>
    <row r="153" spans="1:10" ht="15.75" hidden="1" x14ac:dyDescent="0.2">
      <c r="A153" s="59">
        <v>135</v>
      </c>
      <c r="B153" s="111" t="s">
        <v>346</v>
      </c>
      <c r="C153" s="52"/>
      <c r="D153" s="52"/>
      <c r="E153" s="52"/>
      <c r="F153" s="52"/>
      <c r="G153" s="52"/>
      <c r="H153" s="1"/>
      <c r="I153" s="1"/>
      <c r="J153" s="180"/>
    </row>
    <row r="154" spans="1:10" ht="20.25" hidden="1" customHeight="1" x14ac:dyDescent="0.2">
      <c r="A154" s="59">
        <v>136</v>
      </c>
      <c r="B154" s="13" t="s">
        <v>347</v>
      </c>
      <c r="C154" s="52"/>
      <c r="D154" s="52"/>
      <c r="E154" s="52"/>
      <c r="F154" s="52"/>
      <c r="G154" s="52"/>
      <c r="H154" s="1"/>
      <c r="I154" s="1"/>
      <c r="J154" s="65"/>
    </row>
    <row r="155" spans="1:10" ht="15.75" hidden="1" x14ac:dyDescent="0.2">
      <c r="A155" s="59">
        <v>137</v>
      </c>
      <c r="B155" s="13" t="s">
        <v>348</v>
      </c>
      <c r="C155" s="52"/>
      <c r="D155" s="52"/>
      <c r="E155" s="52"/>
      <c r="F155" s="52"/>
      <c r="G155" s="52"/>
      <c r="H155" s="1"/>
      <c r="I155" s="1"/>
      <c r="J155" s="75"/>
    </row>
    <row r="156" spans="1:10" s="260" customFormat="1" hidden="1" x14ac:dyDescent="0.2">
      <c r="A156" s="59">
        <v>138</v>
      </c>
      <c r="B156" s="56" t="s">
        <v>601</v>
      </c>
      <c r="C156" s="52"/>
      <c r="D156" s="52"/>
      <c r="E156" s="52"/>
      <c r="F156" s="52"/>
      <c r="G156" s="52"/>
      <c r="H156" s="1"/>
      <c r="I156" s="1"/>
      <c r="J156" s="65"/>
    </row>
    <row r="157" spans="1:10" ht="15.75" hidden="1" x14ac:dyDescent="0.2">
      <c r="A157" s="59">
        <v>139</v>
      </c>
      <c r="B157" s="73" t="s">
        <v>349</v>
      </c>
      <c r="C157" s="52"/>
      <c r="D157" s="52"/>
      <c r="E157" s="52"/>
      <c r="F157" s="52"/>
      <c r="G157" s="52"/>
      <c r="H157" s="1"/>
      <c r="I157" s="1"/>
      <c r="J157" s="75"/>
    </row>
    <row r="158" spans="1:10" s="130" customFormat="1" ht="15.75" hidden="1" x14ac:dyDescent="0.25">
      <c r="A158" s="59">
        <v>140</v>
      </c>
      <c r="B158" s="90" t="s">
        <v>350</v>
      </c>
      <c r="C158" s="52"/>
      <c r="D158" s="52"/>
      <c r="E158" s="52"/>
      <c r="F158" s="52"/>
      <c r="G158" s="52"/>
      <c r="H158" s="1"/>
      <c r="I158" s="1"/>
      <c r="J158" s="183"/>
    </row>
    <row r="159" spans="1:10" hidden="1" x14ac:dyDescent="0.2">
      <c r="A159" s="59">
        <v>141</v>
      </c>
      <c r="B159" s="56" t="s">
        <v>669</v>
      </c>
      <c r="C159" s="52"/>
      <c r="D159" s="52"/>
      <c r="E159" s="52"/>
      <c r="F159" s="52"/>
      <c r="G159" s="52"/>
      <c r="H159" s="1"/>
      <c r="I159" s="1"/>
      <c r="J159" s="65"/>
    </row>
    <row r="160" spans="1:10" hidden="1" x14ac:dyDescent="0.2">
      <c r="A160" s="59">
        <v>142</v>
      </c>
      <c r="B160" s="13" t="s">
        <v>351</v>
      </c>
      <c r="C160" s="52"/>
      <c r="D160" s="52"/>
      <c r="E160" s="52"/>
      <c r="F160" s="52"/>
      <c r="G160" s="52"/>
      <c r="H160" s="1"/>
      <c r="I160" s="1"/>
      <c r="J160" s="65"/>
    </row>
    <row r="161" spans="1:10" hidden="1" x14ac:dyDescent="0.2">
      <c r="A161" s="59">
        <v>143</v>
      </c>
      <c r="B161" s="13" t="s">
        <v>353</v>
      </c>
      <c r="C161" s="52"/>
      <c r="D161" s="52"/>
      <c r="E161" s="52"/>
      <c r="F161" s="52"/>
      <c r="G161" s="52"/>
      <c r="H161" s="1"/>
      <c r="I161" s="1"/>
      <c r="J161" s="55"/>
    </row>
    <row r="162" spans="1:10" ht="15.75" hidden="1" x14ac:dyDescent="0.2">
      <c r="A162" s="59">
        <v>144</v>
      </c>
      <c r="B162" s="13" t="s">
        <v>354</v>
      </c>
      <c r="C162" s="52"/>
      <c r="D162" s="52"/>
      <c r="E162" s="52"/>
      <c r="F162" s="52"/>
      <c r="G162" s="52"/>
      <c r="H162" s="1"/>
      <c r="I162" s="1"/>
      <c r="J162" s="75"/>
    </row>
    <row r="163" spans="1:10" hidden="1" x14ac:dyDescent="0.2">
      <c r="A163" s="59">
        <v>145</v>
      </c>
      <c r="B163" s="13" t="s">
        <v>355</v>
      </c>
      <c r="C163" s="52"/>
      <c r="D163" s="52"/>
      <c r="E163" s="52"/>
      <c r="F163" s="52"/>
      <c r="G163" s="52"/>
      <c r="H163" s="1"/>
      <c r="I163" s="1"/>
      <c r="J163" s="52"/>
    </row>
    <row r="164" spans="1:10" hidden="1" x14ac:dyDescent="0.2">
      <c r="A164" s="59">
        <v>146</v>
      </c>
      <c r="B164" s="13" t="s">
        <v>356</v>
      </c>
      <c r="C164" s="52"/>
      <c r="D164" s="52"/>
      <c r="E164" s="52"/>
      <c r="F164" s="52"/>
      <c r="G164" s="52"/>
      <c r="H164" s="1"/>
      <c r="I164" s="1"/>
      <c r="J164" s="52"/>
    </row>
    <row r="165" spans="1:10" hidden="1" x14ac:dyDescent="0.2">
      <c r="A165" s="59">
        <v>147</v>
      </c>
      <c r="B165" s="56" t="s">
        <v>357</v>
      </c>
      <c r="C165" s="52"/>
      <c r="D165" s="52"/>
      <c r="E165" s="52"/>
      <c r="F165" s="52"/>
      <c r="G165" s="52"/>
      <c r="H165" s="1"/>
      <c r="I165" s="1"/>
      <c r="J165" s="52"/>
    </row>
    <row r="166" spans="1:10" s="130" customFormat="1" ht="15.75" hidden="1" x14ac:dyDescent="0.25">
      <c r="A166" s="59">
        <v>148</v>
      </c>
      <c r="B166" s="90" t="s">
        <v>373</v>
      </c>
      <c r="C166" s="52"/>
      <c r="D166" s="52"/>
      <c r="E166" s="52"/>
      <c r="F166" s="52"/>
      <c r="G166" s="52"/>
      <c r="H166" s="1"/>
      <c r="I166" s="1"/>
      <c r="J166" s="183"/>
    </row>
    <row r="167" spans="1:10" hidden="1" x14ac:dyDescent="0.2">
      <c r="A167" s="59">
        <v>149</v>
      </c>
      <c r="B167" s="56" t="s">
        <v>358</v>
      </c>
      <c r="C167" s="52"/>
      <c r="D167" s="52"/>
      <c r="E167" s="52"/>
      <c r="F167" s="52"/>
      <c r="G167" s="52"/>
      <c r="H167" s="1"/>
      <c r="I167" s="1"/>
      <c r="J167" s="65"/>
    </row>
    <row r="168" spans="1:10" hidden="1" x14ac:dyDescent="0.2">
      <c r="A168" s="59">
        <v>150</v>
      </c>
      <c r="B168" s="73" t="s">
        <v>359</v>
      </c>
      <c r="C168" s="52"/>
      <c r="D168" s="52"/>
      <c r="E168" s="52"/>
      <c r="F168" s="52"/>
      <c r="G168" s="52"/>
      <c r="H168" s="1"/>
      <c r="I168" s="1"/>
      <c r="J168" s="65"/>
    </row>
    <row r="169" spans="1:10" s="7" customFormat="1" ht="22.5" hidden="1" customHeight="1" x14ac:dyDescent="0.2">
      <c r="A169" s="59">
        <v>151</v>
      </c>
      <c r="B169" s="13" t="s">
        <v>360</v>
      </c>
      <c r="C169" s="52"/>
      <c r="D169" s="52"/>
      <c r="E169" s="52"/>
      <c r="F169" s="52"/>
      <c r="G169" s="52"/>
      <c r="H169" s="1"/>
      <c r="I169" s="1"/>
      <c r="J169" s="75"/>
    </row>
    <row r="170" spans="1:10" hidden="1" x14ac:dyDescent="0.2">
      <c r="A170" s="59">
        <v>152</v>
      </c>
      <c r="B170" s="13" t="s">
        <v>367</v>
      </c>
      <c r="C170" s="52"/>
      <c r="D170" s="52"/>
      <c r="E170" s="52"/>
      <c r="F170" s="52"/>
      <c r="G170" s="52"/>
      <c r="H170" s="1"/>
      <c r="I170" s="1"/>
      <c r="J170" s="52"/>
    </row>
    <row r="171" spans="1:10" s="4" customFormat="1" ht="15.75" hidden="1" x14ac:dyDescent="0.25">
      <c r="A171" s="59">
        <v>153</v>
      </c>
      <c r="B171" s="13" t="s">
        <v>670</v>
      </c>
      <c r="C171" s="52"/>
      <c r="D171" s="52"/>
      <c r="E171" s="52"/>
      <c r="F171" s="52"/>
      <c r="G171" s="52"/>
      <c r="H171" s="1"/>
      <c r="I171" s="1"/>
      <c r="J171" s="55"/>
    </row>
    <row r="172" spans="1:10" s="130" customFormat="1" ht="15.75" hidden="1" x14ac:dyDescent="0.25">
      <c r="A172" s="59">
        <v>154</v>
      </c>
      <c r="B172" s="61" t="s">
        <v>361</v>
      </c>
      <c r="C172" s="52"/>
      <c r="D172" s="52"/>
      <c r="E172" s="52"/>
      <c r="F172" s="52"/>
      <c r="G172" s="52"/>
      <c r="H172" s="1"/>
      <c r="I172" s="1"/>
      <c r="J172" s="183"/>
    </row>
    <row r="173" spans="1:10" s="130" customFormat="1" ht="15.75" hidden="1" x14ac:dyDescent="0.25">
      <c r="A173" s="59">
        <v>155</v>
      </c>
      <c r="B173" s="90" t="s">
        <v>362</v>
      </c>
      <c r="C173" s="52"/>
      <c r="D173" s="52"/>
      <c r="E173" s="52"/>
      <c r="F173" s="52"/>
      <c r="G173" s="52"/>
      <c r="H173" s="1"/>
      <c r="I173" s="1"/>
      <c r="J173" s="183"/>
    </row>
    <row r="174" spans="1:10" hidden="1" x14ac:dyDescent="0.2">
      <c r="A174" s="59">
        <v>156</v>
      </c>
      <c r="B174" s="56" t="s">
        <v>363</v>
      </c>
      <c r="C174" s="52"/>
      <c r="D174" s="52"/>
      <c r="E174" s="52"/>
      <c r="F174" s="52"/>
      <c r="G174" s="52"/>
      <c r="H174" s="1"/>
      <c r="I174" s="1"/>
      <c r="J174" s="52"/>
    </row>
    <row r="175" spans="1:10" hidden="1" x14ac:dyDescent="0.2">
      <c r="A175" s="59">
        <v>157</v>
      </c>
      <c r="B175" s="56" t="s">
        <v>364</v>
      </c>
      <c r="C175" s="52"/>
      <c r="D175" s="52"/>
      <c r="E175" s="52"/>
      <c r="F175" s="52"/>
      <c r="G175" s="52"/>
      <c r="H175" s="1"/>
      <c r="I175" s="1"/>
      <c r="J175" s="52"/>
    </row>
    <row r="176" spans="1:10" hidden="1" x14ac:dyDescent="0.2">
      <c r="A176" s="59">
        <v>158</v>
      </c>
      <c r="B176" s="56" t="s">
        <v>365</v>
      </c>
      <c r="C176" s="52"/>
      <c r="D176" s="52"/>
      <c r="E176" s="52"/>
      <c r="F176" s="52"/>
      <c r="G176" s="52"/>
      <c r="H176" s="1"/>
      <c r="I176" s="1"/>
      <c r="J176" s="52"/>
    </row>
    <row r="177" spans="1:10" hidden="1" x14ac:dyDescent="0.2">
      <c r="A177" s="59">
        <v>159</v>
      </c>
      <c r="B177" s="56" t="s">
        <v>671</v>
      </c>
      <c r="C177" s="52"/>
      <c r="D177" s="52"/>
      <c r="E177" s="52"/>
      <c r="F177" s="52"/>
      <c r="G177" s="52"/>
      <c r="H177" s="1"/>
      <c r="I177" s="1"/>
      <c r="J177" s="52"/>
    </row>
    <row r="178" spans="1:10" s="130" customFormat="1" ht="15.75" hidden="1" x14ac:dyDescent="0.25">
      <c r="A178" s="59">
        <v>160</v>
      </c>
      <c r="B178" s="90" t="s">
        <v>672</v>
      </c>
      <c r="C178" s="52"/>
      <c r="D178" s="52"/>
      <c r="E178" s="52"/>
      <c r="F178" s="52"/>
      <c r="G178" s="52"/>
      <c r="H178" s="1"/>
      <c r="I178" s="1"/>
      <c r="J178" s="183"/>
    </row>
    <row r="179" spans="1:10" s="262" customFormat="1" ht="30.75" hidden="1" customHeight="1" x14ac:dyDescent="0.25">
      <c r="A179" s="59">
        <v>161</v>
      </c>
      <c r="B179" s="49" t="s">
        <v>673</v>
      </c>
      <c r="C179" s="52"/>
      <c r="D179" s="52"/>
      <c r="E179" s="52"/>
      <c r="F179" s="52"/>
      <c r="G179" s="52"/>
      <c r="H179" s="1"/>
      <c r="I179" s="1"/>
      <c r="J179" s="56"/>
    </row>
    <row r="180" spans="1:10" s="130" customFormat="1" ht="15.75" hidden="1" x14ac:dyDescent="0.25">
      <c r="A180" s="59">
        <v>162</v>
      </c>
      <c r="B180" s="90" t="s">
        <v>277</v>
      </c>
      <c r="C180" s="52"/>
      <c r="D180" s="52"/>
      <c r="E180" s="52"/>
      <c r="F180" s="52"/>
      <c r="G180" s="52"/>
      <c r="H180" s="1"/>
      <c r="I180" s="1"/>
      <c r="J180" s="121"/>
    </row>
    <row r="181" spans="1:10" s="130" customFormat="1" ht="15.75" hidden="1" x14ac:dyDescent="0.25">
      <c r="A181" s="59">
        <v>163</v>
      </c>
      <c r="B181" s="166" t="s">
        <v>867</v>
      </c>
      <c r="C181" s="52"/>
      <c r="D181" s="52"/>
      <c r="E181" s="52"/>
      <c r="F181" s="52"/>
      <c r="G181" s="52"/>
      <c r="H181" s="1"/>
      <c r="I181" s="1"/>
      <c r="J181" s="183"/>
    </row>
    <row r="182" spans="1:10" s="130" customFormat="1" ht="15.75" hidden="1" x14ac:dyDescent="0.25">
      <c r="A182" s="59">
        <v>164</v>
      </c>
      <c r="B182" s="166" t="s">
        <v>868</v>
      </c>
      <c r="C182" s="52"/>
      <c r="D182" s="52"/>
      <c r="E182" s="52"/>
      <c r="F182" s="52"/>
      <c r="G182" s="52"/>
      <c r="H182" s="1"/>
      <c r="I182" s="1"/>
      <c r="J182" s="121"/>
    </row>
    <row r="183" spans="1:10" s="130" customFormat="1" ht="15.75" x14ac:dyDescent="0.25">
      <c r="A183" s="59">
        <v>165</v>
      </c>
      <c r="B183" s="76" t="s">
        <v>869</v>
      </c>
      <c r="C183" s="52">
        <v>3</v>
      </c>
      <c r="D183" s="52">
        <v>3</v>
      </c>
      <c r="E183" s="52"/>
      <c r="F183" s="52"/>
      <c r="G183" s="52"/>
      <c r="H183" s="1"/>
      <c r="I183" s="1">
        <v>3</v>
      </c>
      <c r="J183" s="121"/>
    </row>
    <row r="184" spans="1:10" s="130" customFormat="1" ht="15.75" hidden="1" x14ac:dyDescent="0.25">
      <c r="A184" s="59">
        <v>166</v>
      </c>
      <c r="B184" s="166" t="s">
        <v>870</v>
      </c>
      <c r="C184" s="52"/>
      <c r="D184" s="52"/>
      <c r="E184" s="52"/>
      <c r="F184" s="52"/>
      <c r="G184" s="52"/>
      <c r="H184" s="1"/>
      <c r="I184" s="1"/>
      <c r="J184" s="183"/>
    </row>
    <row r="185" spans="1:10" s="130" customFormat="1" ht="15.75" x14ac:dyDescent="0.25">
      <c r="A185" s="59">
        <v>167</v>
      </c>
      <c r="B185" s="166" t="s">
        <v>871</v>
      </c>
      <c r="C185" s="52">
        <v>1</v>
      </c>
      <c r="D185" s="52">
        <v>1</v>
      </c>
      <c r="E185" s="52"/>
      <c r="F185" s="52"/>
      <c r="G185" s="52"/>
      <c r="H185" s="1"/>
      <c r="I185" s="1">
        <v>1</v>
      </c>
      <c r="J185" s="121"/>
    </row>
    <row r="186" spans="1:10" s="130" customFormat="1" ht="15.75" hidden="1" x14ac:dyDescent="0.25">
      <c r="A186" s="59">
        <v>168</v>
      </c>
      <c r="B186" s="166" t="s">
        <v>872</v>
      </c>
      <c r="C186" s="52"/>
      <c r="D186" s="52"/>
      <c r="E186" s="52"/>
      <c r="F186" s="52"/>
      <c r="G186" s="52"/>
      <c r="H186" s="1"/>
      <c r="I186" s="1"/>
      <c r="J186" s="183"/>
    </row>
    <row r="187" spans="1:10" s="130" customFormat="1" ht="15.75" hidden="1" x14ac:dyDescent="0.25">
      <c r="A187" s="59">
        <v>169</v>
      </c>
      <c r="B187" s="166" t="s">
        <v>873</v>
      </c>
      <c r="C187" s="52"/>
      <c r="D187" s="52"/>
      <c r="E187" s="52"/>
      <c r="F187" s="52"/>
      <c r="G187" s="52"/>
      <c r="H187" s="1"/>
      <c r="I187" s="1"/>
      <c r="J187" s="183"/>
    </row>
    <row r="188" spans="1:10" s="130" customFormat="1" ht="15.75" hidden="1" x14ac:dyDescent="0.25">
      <c r="A188" s="59">
        <v>170</v>
      </c>
      <c r="B188" s="166" t="s">
        <v>874</v>
      </c>
      <c r="C188" s="52"/>
      <c r="D188" s="52"/>
      <c r="E188" s="52"/>
      <c r="F188" s="52"/>
      <c r="G188" s="52"/>
      <c r="H188" s="1"/>
      <c r="I188" s="1"/>
      <c r="J188" s="183"/>
    </row>
    <row r="189" spans="1:10" s="130" customFormat="1" ht="15.75" hidden="1" x14ac:dyDescent="0.25">
      <c r="A189" s="59">
        <v>171</v>
      </c>
      <c r="B189" s="166" t="s">
        <v>875</v>
      </c>
      <c r="C189" s="52"/>
      <c r="D189" s="52"/>
      <c r="E189" s="52"/>
      <c r="F189" s="52"/>
      <c r="G189" s="52"/>
      <c r="H189" s="1"/>
      <c r="I189" s="1"/>
      <c r="J189" s="121"/>
    </row>
    <row r="190" spans="1:10" s="130" customFormat="1" ht="15.75" hidden="1" x14ac:dyDescent="0.25">
      <c r="A190" s="59">
        <v>172</v>
      </c>
      <c r="B190" s="166" t="s">
        <v>876</v>
      </c>
      <c r="C190" s="52"/>
      <c r="D190" s="52"/>
      <c r="E190" s="52"/>
      <c r="F190" s="52"/>
      <c r="G190" s="52"/>
      <c r="H190" s="1"/>
      <c r="I190" s="1"/>
      <c r="J190" s="183"/>
    </row>
    <row r="191" spans="1:10" s="130" customFormat="1" ht="15.75" hidden="1" x14ac:dyDescent="0.25">
      <c r="A191" s="59">
        <v>173</v>
      </c>
      <c r="B191" s="166" t="s">
        <v>877</v>
      </c>
      <c r="C191" s="52"/>
      <c r="D191" s="52"/>
      <c r="E191" s="52"/>
      <c r="F191" s="52"/>
      <c r="G191" s="52"/>
      <c r="H191" s="1"/>
      <c r="I191" s="1"/>
      <c r="J191" s="183"/>
    </row>
    <row r="192" spans="1:10" s="130" customFormat="1" ht="15.75" hidden="1" x14ac:dyDescent="0.25">
      <c r="A192" s="59">
        <v>174</v>
      </c>
      <c r="B192" s="166" t="s">
        <v>878</v>
      </c>
      <c r="C192" s="52"/>
      <c r="D192" s="52"/>
      <c r="E192" s="52"/>
      <c r="F192" s="52"/>
      <c r="G192" s="52"/>
      <c r="H192" s="1"/>
      <c r="I192" s="1"/>
      <c r="J192" s="183"/>
    </row>
    <row r="193" spans="1:10" s="130" customFormat="1" ht="15.75" hidden="1" x14ac:dyDescent="0.25">
      <c r="A193" s="59">
        <v>175</v>
      </c>
      <c r="B193" s="166" t="s">
        <v>879</v>
      </c>
      <c r="C193" s="52"/>
      <c r="D193" s="52"/>
      <c r="E193" s="52"/>
      <c r="F193" s="52"/>
      <c r="G193" s="52"/>
      <c r="H193" s="1"/>
      <c r="I193" s="1"/>
      <c r="J193" s="183"/>
    </row>
    <row r="194" spans="1:10" s="130" customFormat="1" ht="15.75" x14ac:dyDescent="0.25">
      <c r="A194" s="59">
        <v>176</v>
      </c>
      <c r="B194" s="166" t="s">
        <v>880</v>
      </c>
      <c r="C194" s="52">
        <v>1</v>
      </c>
      <c r="D194" s="52">
        <v>1</v>
      </c>
      <c r="E194" s="52"/>
      <c r="F194" s="52"/>
      <c r="G194" s="52"/>
      <c r="H194" s="1"/>
      <c r="I194" s="1">
        <v>1</v>
      </c>
      <c r="J194" s="341"/>
    </row>
    <row r="195" spans="1:10" s="130" customFormat="1" ht="15.75" hidden="1" x14ac:dyDescent="0.25">
      <c r="A195" s="59">
        <v>177</v>
      </c>
      <c r="B195" s="65" t="s">
        <v>905</v>
      </c>
      <c r="C195" s="52"/>
      <c r="D195" s="52"/>
      <c r="E195" s="52"/>
      <c r="F195" s="52"/>
      <c r="G195" s="52"/>
      <c r="H195" s="1"/>
      <c r="I195" s="1"/>
      <c r="J195" s="121"/>
    </row>
    <row r="196" spans="1:10" s="130" customFormat="1" ht="15.75" hidden="1" x14ac:dyDescent="0.25">
      <c r="A196" s="59">
        <v>178</v>
      </c>
      <c r="B196" s="166" t="s">
        <v>906</v>
      </c>
      <c r="C196" s="52"/>
      <c r="D196" s="52"/>
      <c r="E196" s="52"/>
      <c r="F196" s="52"/>
      <c r="G196" s="52"/>
      <c r="H196" s="1"/>
      <c r="I196" s="1"/>
      <c r="J196" s="121"/>
    </row>
    <row r="197" spans="1:10" s="130" customFormat="1" ht="15.75" hidden="1" x14ac:dyDescent="0.25">
      <c r="A197" s="59">
        <v>179</v>
      </c>
      <c r="B197" s="166" t="s">
        <v>907</v>
      </c>
      <c r="C197" s="52"/>
      <c r="D197" s="52"/>
      <c r="E197" s="52"/>
      <c r="F197" s="52"/>
      <c r="G197" s="52"/>
      <c r="H197" s="1"/>
      <c r="I197" s="1"/>
      <c r="J197" s="121"/>
    </row>
    <row r="198" spans="1:10" s="130" customFormat="1" ht="15.75" hidden="1" x14ac:dyDescent="0.25">
      <c r="A198" s="59">
        <v>180</v>
      </c>
      <c r="B198" s="166" t="s">
        <v>908</v>
      </c>
      <c r="C198" s="52"/>
      <c r="D198" s="52"/>
      <c r="E198" s="52"/>
      <c r="F198" s="52"/>
      <c r="G198" s="52"/>
      <c r="H198" s="1"/>
      <c r="I198" s="1"/>
      <c r="J198" s="121"/>
    </row>
    <row r="199" spans="1:10" s="130" customFormat="1" ht="15.75" hidden="1" x14ac:dyDescent="0.25">
      <c r="A199" s="59">
        <v>181</v>
      </c>
      <c r="B199" s="166" t="s">
        <v>909</v>
      </c>
      <c r="C199" s="52"/>
      <c r="D199" s="52"/>
      <c r="E199" s="52"/>
      <c r="F199" s="52"/>
      <c r="G199" s="52"/>
      <c r="H199" s="1"/>
      <c r="I199" s="1"/>
      <c r="J199" s="121"/>
    </row>
    <row r="200" spans="1:10" s="130" customFormat="1" ht="15.75" hidden="1" x14ac:dyDescent="0.25">
      <c r="A200" s="59">
        <v>182</v>
      </c>
      <c r="B200" s="166" t="s">
        <v>881</v>
      </c>
      <c r="C200" s="52"/>
      <c r="D200" s="52"/>
      <c r="E200" s="52"/>
      <c r="F200" s="52"/>
      <c r="G200" s="52"/>
      <c r="H200" s="1"/>
      <c r="I200" s="1"/>
      <c r="J200" s="121"/>
    </row>
    <row r="201" spans="1:10" s="130" customFormat="1" ht="15.75" hidden="1" x14ac:dyDescent="0.25">
      <c r="A201" s="59">
        <v>183</v>
      </c>
      <c r="B201" s="166" t="s">
        <v>882</v>
      </c>
      <c r="C201" s="52"/>
      <c r="D201" s="52"/>
      <c r="E201" s="52"/>
      <c r="F201" s="52"/>
      <c r="G201" s="52"/>
      <c r="H201" s="1"/>
      <c r="I201" s="1"/>
      <c r="J201" s="121"/>
    </row>
    <row r="202" spans="1:10" s="130" customFormat="1" ht="15.75" hidden="1" x14ac:dyDescent="0.25">
      <c r="A202" s="59">
        <v>184</v>
      </c>
      <c r="B202" s="166" t="s">
        <v>883</v>
      </c>
      <c r="C202" s="52"/>
      <c r="D202" s="52"/>
      <c r="E202" s="52"/>
      <c r="F202" s="52"/>
      <c r="G202" s="52"/>
      <c r="H202" s="1"/>
      <c r="I202" s="1"/>
      <c r="J202" s="183"/>
    </row>
    <row r="203" spans="1:10" s="130" customFormat="1" ht="15.75" hidden="1" x14ac:dyDescent="0.25">
      <c r="A203" s="59">
        <v>185</v>
      </c>
      <c r="B203" s="166" t="s">
        <v>884</v>
      </c>
      <c r="C203" s="52"/>
      <c r="D203" s="52"/>
      <c r="E203" s="52"/>
      <c r="F203" s="52"/>
      <c r="G203" s="52"/>
      <c r="H203" s="1"/>
      <c r="I203" s="1"/>
      <c r="J203" s="183"/>
    </row>
    <row r="204" spans="1:10" s="130" customFormat="1" ht="15.75" hidden="1" x14ac:dyDescent="0.25">
      <c r="A204" s="59">
        <v>186</v>
      </c>
      <c r="B204" s="166" t="s">
        <v>885</v>
      </c>
      <c r="C204" s="52"/>
      <c r="D204" s="52"/>
      <c r="E204" s="52"/>
      <c r="F204" s="52"/>
      <c r="G204" s="52"/>
      <c r="H204" s="1"/>
      <c r="I204" s="1"/>
      <c r="J204" s="183"/>
    </row>
    <row r="205" spans="1:10" s="130" customFormat="1" ht="15.75" hidden="1" x14ac:dyDescent="0.25">
      <c r="A205" s="59">
        <v>187</v>
      </c>
      <c r="B205" s="166" t="s">
        <v>886</v>
      </c>
      <c r="C205" s="52"/>
      <c r="D205" s="52"/>
      <c r="E205" s="52"/>
      <c r="F205" s="52"/>
      <c r="G205" s="52"/>
      <c r="H205" s="1"/>
      <c r="I205" s="1"/>
      <c r="J205" s="183"/>
    </row>
    <row r="206" spans="1:10" s="130" customFormat="1" ht="15.75" hidden="1" x14ac:dyDescent="0.25">
      <c r="A206" s="59">
        <v>188</v>
      </c>
      <c r="B206" s="166" t="s">
        <v>887</v>
      </c>
      <c r="C206" s="52"/>
      <c r="D206" s="52"/>
      <c r="E206" s="52"/>
      <c r="F206" s="52"/>
      <c r="G206" s="52"/>
      <c r="H206" s="1"/>
      <c r="I206" s="1"/>
      <c r="J206" s="121"/>
    </row>
    <row r="207" spans="1:10" s="130" customFormat="1" ht="30" hidden="1" x14ac:dyDescent="0.25">
      <c r="A207" s="59">
        <v>189</v>
      </c>
      <c r="B207" s="76" t="s">
        <v>888</v>
      </c>
      <c r="C207" s="52"/>
      <c r="D207" s="52"/>
      <c r="E207" s="52"/>
      <c r="F207" s="52"/>
      <c r="G207" s="52"/>
      <c r="H207" s="1"/>
      <c r="I207" s="1"/>
      <c r="J207" s="183"/>
    </row>
    <row r="208" spans="1:10" s="130" customFormat="1" ht="15.75" hidden="1" x14ac:dyDescent="0.25">
      <c r="A208" s="59">
        <v>190</v>
      </c>
      <c r="B208" s="169" t="s">
        <v>889</v>
      </c>
      <c r="C208" s="52"/>
      <c r="D208" s="52"/>
      <c r="E208" s="52"/>
      <c r="F208" s="52"/>
      <c r="G208" s="52"/>
      <c r="H208" s="1"/>
      <c r="I208" s="1"/>
      <c r="J208" s="121"/>
    </row>
    <row r="209" spans="1:10" s="130" customFormat="1" ht="15.75" hidden="1" x14ac:dyDescent="0.25">
      <c r="A209" s="59">
        <v>191</v>
      </c>
      <c r="B209" s="169" t="s">
        <v>896</v>
      </c>
      <c r="C209" s="52"/>
      <c r="D209" s="52"/>
      <c r="E209" s="52"/>
      <c r="F209" s="52"/>
      <c r="G209" s="52"/>
      <c r="H209" s="1"/>
      <c r="I209" s="1"/>
      <c r="J209" s="183"/>
    </row>
    <row r="210" spans="1:10" s="130" customFormat="1" ht="15.75" hidden="1" x14ac:dyDescent="0.25">
      <c r="A210" s="59">
        <v>192</v>
      </c>
      <c r="B210" s="169" t="s">
        <v>897</v>
      </c>
      <c r="C210" s="52"/>
      <c r="D210" s="52"/>
      <c r="E210" s="52"/>
      <c r="F210" s="52"/>
      <c r="G210" s="52"/>
      <c r="H210" s="1"/>
      <c r="I210" s="1"/>
      <c r="J210" s="183"/>
    </row>
    <row r="211" spans="1:10" s="130" customFormat="1" ht="15.75" hidden="1" x14ac:dyDescent="0.25">
      <c r="A211" s="59">
        <v>193</v>
      </c>
      <c r="B211" s="169" t="s">
        <v>911</v>
      </c>
      <c r="C211" s="52"/>
      <c r="D211" s="52"/>
      <c r="E211" s="52"/>
      <c r="F211" s="52"/>
      <c r="G211" s="52"/>
      <c r="H211" s="1"/>
      <c r="I211" s="1"/>
      <c r="J211" s="183"/>
    </row>
    <row r="212" spans="1:10" s="130" customFormat="1" ht="15.75" hidden="1" x14ac:dyDescent="0.25">
      <c r="A212" s="59">
        <v>194</v>
      </c>
      <c r="B212" s="169" t="s">
        <v>898</v>
      </c>
      <c r="C212" s="52"/>
      <c r="D212" s="52"/>
      <c r="E212" s="52"/>
      <c r="F212" s="52"/>
      <c r="G212" s="52"/>
      <c r="H212" s="1"/>
      <c r="I212" s="1"/>
      <c r="J212" s="183"/>
    </row>
    <row r="213" spans="1:10" s="130" customFormat="1" ht="15.75" hidden="1" x14ac:dyDescent="0.25">
      <c r="A213" s="59">
        <v>195</v>
      </c>
      <c r="B213" s="169" t="s">
        <v>899</v>
      </c>
      <c r="C213" s="52"/>
      <c r="D213" s="52"/>
      <c r="E213" s="52"/>
      <c r="F213" s="52"/>
      <c r="G213" s="52"/>
      <c r="H213" s="1"/>
      <c r="I213" s="1"/>
      <c r="J213" s="183"/>
    </row>
    <row r="214" spans="1:10" s="130" customFormat="1" ht="15.75" hidden="1" x14ac:dyDescent="0.25">
      <c r="A214" s="59">
        <v>196</v>
      </c>
      <c r="B214" s="169" t="s">
        <v>900</v>
      </c>
      <c r="C214" s="52"/>
      <c r="D214" s="52"/>
      <c r="E214" s="52"/>
      <c r="F214" s="52"/>
      <c r="G214" s="52"/>
      <c r="H214" s="1"/>
      <c r="I214" s="1"/>
      <c r="J214" s="183"/>
    </row>
    <row r="215" spans="1:10" s="130" customFormat="1" ht="15.75" hidden="1" x14ac:dyDescent="0.25">
      <c r="A215" s="59">
        <v>197</v>
      </c>
      <c r="B215" s="169" t="s">
        <v>901</v>
      </c>
      <c r="C215" s="52"/>
      <c r="D215" s="52"/>
      <c r="E215" s="52"/>
      <c r="F215" s="52"/>
      <c r="G215" s="52"/>
      <c r="H215" s="1"/>
      <c r="I215" s="1"/>
      <c r="J215" s="183"/>
    </row>
    <row r="216" spans="1:10" s="130" customFormat="1" ht="15.75" hidden="1" x14ac:dyDescent="0.25">
      <c r="A216" s="59">
        <v>198</v>
      </c>
      <c r="B216" s="169" t="s">
        <v>902</v>
      </c>
      <c r="C216" s="52"/>
      <c r="D216" s="52"/>
      <c r="E216" s="52"/>
      <c r="F216" s="52"/>
      <c r="G216" s="52"/>
      <c r="H216" s="1"/>
      <c r="I216" s="1"/>
      <c r="J216" s="183"/>
    </row>
    <row r="217" spans="1:10" s="130" customFormat="1" ht="15.75" hidden="1" x14ac:dyDescent="0.25">
      <c r="A217" s="59">
        <v>199</v>
      </c>
      <c r="B217" s="169" t="s">
        <v>903</v>
      </c>
      <c r="C217" s="52"/>
      <c r="D217" s="52"/>
      <c r="E217" s="52"/>
      <c r="F217" s="52"/>
      <c r="G217" s="52"/>
      <c r="H217" s="1"/>
      <c r="I217" s="1"/>
      <c r="J217" s="183"/>
    </row>
    <row r="218" spans="1:10" s="130" customFormat="1" ht="15.75" hidden="1" x14ac:dyDescent="0.25">
      <c r="A218" s="59">
        <v>200</v>
      </c>
      <c r="B218" s="169" t="s">
        <v>904</v>
      </c>
      <c r="C218" s="52"/>
      <c r="D218" s="52"/>
      <c r="E218" s="52"/>
      <c r="F218" s="52"/>
      <c r="G218" s="52"/>
      <c r="H218" s="1"/>
      <c r="I218" s="1"/>
      <c r="J218" s="121"/>
    </row>
    <row r="219" spans="1:10" s="130" customFormat="1" ht="15.75" hidden="1" x14ac:dyDescent="0.25">
      <c r="A219" s="59">
        <v>201</v>
      </c>
      <c r="B219" s="169" t="s">
        <v>914</v>
      </c>
      <c r="C219" s="52"/>
      <c r="D219" s="52"/>
      <c r="E219" s="52"/>
      <c r="F219" s="52"/>
      <c r="G219" s="52"/>
      <c r="H219" s="1"/>
      <c r="I219" s="1"/>
      <c r="J219" s="121"/>
    </row>
    <row r="220" spans="1:10" s="130" customFormat="1" ht="15.75" hidden="1" x14ac:dyDescent="0.25">
      <c r="A220" s="59">
        <v>202</v>
      </c>
      <c r="B220" s="49" t="s">
        <v>927</v>
      </c>
      <c r="C220" s="52"/>
      <c r="D220" s="52"/>
      <c r="E220" s="52"/>
      <c r="F220" s="52"/>
      <c r="G220" s="52"/>
      <c r="H220" s="1"/>
      <c r="I220" s="1"/>
      <c r="J220" s="183"/>
    </row>
    <row r="221" spans="1:10" s="130" customFormat="1" ht="30" hidden="1" customHeight="1" x14ac:dyDescent="0.25">
      <c r="A221" s="59">
        <v>203</v>
      </c>
      <c r="B221" s="49" t="s">
        <v>927</v>
      </c>
      <c r="C221" s="52"/>
      <c r="D221" s="52"/>
      <c r="E221" s="52"/>
      <c r="F221" s="52"/>
      <c r="G221" s="52"/>
      <c r="H221" s="1"/>
      <c r="I221" s="1"/>
      <c r="J221" s="183"/>
    </row>
    <row r="222" spans="1:10" s="130" customFormat="1" ht="15.75" x14ac:dyDescent="0.25">
      <c r="A222" s="59">
        <v>204</v>
      </c>
      <c r="B222" s="49" t="s">
        <v>928</v>
      </c>
      <c r="C222" s="52"/>
      <c r="D222" s="52"/>
      <c r="E222" s="52"/>
      <c r="F222" s="52"/>
      <c r="G222" s="52"/>
      <c r="H222" s="1"/>
      <c r="I222" s="1"/>
      <c r="J222" s="183"/>
    </row>
    <row r="223" spans="1:10" s="130" customFormat="1" ht="30" x14ac:dyDescent="0.25">
      <c r="A223" s="59">
        <v>205</v>
      </c>
      <c r="B223" s="49" t="s">
        <v>929</v>
      </c>
      <c r="C223" s="52"/>
      <c r="D223" s="52"/>
      <c r="E223" s="52"/>
      <c r="F223" s="52"/>
      <c r="G223" s="52"/>
      <c r="H223" s="1"/>
      <c r="I223" s="1"/>
      <c r="J223" s="183"/>
    </row>
    <row r="224" spans="1:10" s="130" customFormat="1" ht="30.75" x14ac:dyDescent="0.25">
      <c r="A224" s="59">
        <v>206</v>
      </c>
      <c r="B224" s="90" t="s">
        <v>934</v>
      </c>
      <c r="C224" s="52"/>
      <c r="D224" s="52"/>
      <c r="E224" s="52"/>
      <c r="F224" s="52"/>
      <c r="G224" s="52"/>
      <c r="H224" s="1"/>
      <c r="I224" s="1"/>
      <c r="J224" s="183"/>
    </row>
    <row r="225" spans="1:10" s="130" customFormat="1" ht="15.75" x14ac:dyDescent="0.25">
      <c r="A225" s="59">
        <v>207</v>
      </c>
      <c r="B225" s="49" t="s">
        <v>930</v>
      </c>
      <c r="C225" s="52"/>
      <c r="D225" s="52"/>
      <c r="E225" s="52"/>
      <c r="F225" s="52"/>
      <c r="G225" s="52"/>
      <c r="H225" s="1"/>
      <c r="I225" s="1"/>
      <c r="J225" s="183"/>
    </row>
    <row r="226" spans="1:10" s="130" customFormat="1" ht="15.75" x14ac:dyDescent="0.25">
      <c r="A226" s="59">
        <v>208</v>
      </c>
      <c r="B226" s="158" t="s">
        <v>932</v>
      </c>
      <c r="C226" s="52"/>
      <c r="D226" s="52"/>
      <c r="E226" s="52"/>
      <c r="F226" s="52"/>
      <c r="G226" s="52"/>
      <c r="H226" s="1"/>
      <c r="I226" s="1"/>
      <c r="J226" s="121"/>
    </row>
    <row r="227" spans="1:10" s="130" customFormat="1" ht="15.75" x14ac:dyDescent="0.25">
      <c r="A227" s="59">
        <v>209</v>
      </c>
      <c r="B227" s="158" t="s">
        <v>933</v>
      </c>
      <c r="C227" s="52"/>
      <c r="D227" s="52"/>
      <c r="E227" s="52"/>
      <c r="F227" s="52"/>
      <c r="G227" s="52"/>
      <c r="H227" s="1"/>
      <c r="I227" s="1"/>
      <c r="J227" s="121"/>
    </row>
    <row r="228" spans="1:10" s="130" customFormat="1" ht="15.75" x14ac:dyDescent="0.25">
      <c r="A228" s="59">
        <v>210</v>
      </c>
      <c r="B228" s="158" t="s">
        <v>946</v>
      </c>
      <c r="C228" s="52"/>
      <c r="D228" s="52"/>
      <c r="E228" s="52"/>
      <c r="F228" s="52"/>
      <c r="G228" s="52"/>
      <c r="H228" s="1"/>
      <c r="I228" s="1"/>
      <c r="J228" s="121"/>
    </row>
    <row r="229" spans="1:10" s="130" customFormat="1" ht="15.75" x14ac:dyDescent="0.25">
      <c r="A229" s="59">
        <v>211</v>
      </c>
      <c r="B229" s="55" t="s">
        <v>955</v>
      </c>
      <c r="C229" s="52"/>
      <c r="D229" s="52"/>
      <c r="E229" s="52"/>
      <c r="F229" s="52"/>
      <c r="G229" s="52"/>
      <c r="H229" s="1"/>
      <c r="I229" s="1"/>
      <c r="J229" s="121"/>
    </row>
    <row r="230" spans="1:10" s="303" customFormat="1" ht="15.75" x14ac:dyDescent="0.25">
      <c r="A230" s="59">
        <v>212</v>
      </c>
      <c r="B230" s="55" t="s">
        <v>1070</v>
      </c>
      <c r="C230" s="52">
        <v>12</v>
      </c>
      <c r="D230" s="52">
        <v>13</v>
      </c>
      <c r="E230" s="52"/>
      <c r="F230" s="52"/>
      <c r="G230" s="52"/>
      <c r="H230" s="1"/>
      <c r="I230" s="1">
        <v>13</v>
      </c>
      <c r="J230" s="121" t="s">
        <v>1084</v>
      </c>
    </row>
    <row r="231" spans="1:10" s="130" customFormat="1" ht="15.75" x14ac:dyDescent="0.25">
      <c r="A231" s="59">
        <v>213</v>
      </c>
      <c r="B231" s="55" t="s">
        <v>1075</v>
      </c>
      <c r="C231" s="52">
        <v>1</v>
      </c>
      <c r="D231" s="52">
        <v>1</v>
      </c>
      <c r="E231" s="52"/>
      <c r="F231" s="52"/>
      <c r="G231" s="52"/>
      <c r="H231" s="1"/>
      <c r="I231" s="1">
        <v>1</v>
      </c>
      <c r="J231" s="121"/>
    </row>
    <row r="232" spans="1:10" s="262" customFormat="1" ht="15.75" hidden="1" x14ac:dyDescent="0.25">
      <c r="A232" s="59">
        <v>214</v>
      </c>
      <c r="B232" s="55" t="s">
        <v>1069</v>
      </c>
      <c r="C232" s="52"/>
      <c r="D232" s="52"/>
      <c r="E232" s="52"/>
      <c r="F232" s="52"/>
      <c r="G232" s="52"/>
      <c r="H232" s="1"/>
      <c r="I232" s="1"/>
      <c r="J232" s="121"/>
    </row>
    <row r="233" spans="1:10" s="130" customFormat="1" ht="15.75" x14ac:dyDescent="0.25">
      <c r="A233" s="332">
        <v>215</v>
      </c>
      <c r="B233" s="340" t="s">
        <v>1086</v>
      </c>
      <c r="C233" s="52"/>
      <c r="D233" s="52">
        <v>1</v>
      </c>
      <c r="E233" s="52"/>
      <c r="F233" s="52"/>
      <c r="G233" s="52"/>
      <c r="H233" s="1"/>
      <c r="I233" s="1">
        <v>1</v>
      </c>
      <c r="J233" s="121"/>
    </row>
    <row r="234" spans="1:10" s="342" customFormat="1" ht="15.75" x14ac:dyDescent="0.25">
      <c r="A234" s="332">
        <v>216</v>
      </c>
      <c r="B234" s="56" t="s">
        <v>947</v>
      </c>
      <c r="C234" s="52">
        <v>9</v>
      </c>
      <c r="D234" s="52">
        <v>9</v>
      </c>
      <c r="E234" s="52"/>
      <c r="F234" s="52"/>
      <c r="G234" s="52"/>
      <c r="H234" s="1"/>
      <c r="I234" s="1">
        <v>9</v>
      </c>
      <c r="J234" s="121"/>
    </row>
  </sheetData>
  <autoFilter ref="A2:M234" xr:uid="{00000000-0009-0000-0000-000002000000}">
    <filterColumn colId="3">
      <customFilters>
        <customFilter operator="notEqual" val=" "/>
      </customFilters>
    </filterColumn>
    <filterColumn colId="4" showButton="0"/>
    <filterColumn colId="5" showButton="0"/>
  </autoFilter>
  <mergeCells count="3">
    <mergeCell ref="A1:J1"/>
    <mergeCell ref="E2:G2"/>
    <mergeCell ref="A5:J5"/>
  </mergeCells>
  <printOptions horizontalCentered="1"/>
  <pageMargins left="0.31496062992125984" right="0.19" top="0.74803149606299213" bottom="0.74803149606299213" header="0.31496062992125984" footer="0.31496062992125984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7216"/>
  </sheetPr>
  <dimension ref="A1:T33"/>
  <sheetViews>
    <sheetView view="pageBreakPreview" zoomScale="75" zoomScaleNormal="75" zoomScaleSheetLayoutView="75" workbookViewId="0">
      <pane ySplit="5" topLeftCell="A6" activePane="bottomLeft" state="frozen"/>
      <selection pane="bottomLeft" activeCell="H27" sqref="H27"/>
    </sheetView>
  </sheetViews>
  <sheetFormatPr defaultRowHeight="15.75" x14ac:dyDescent="0.25"/>
  <cols>
    <col min="1" max="1" width="6.28515625" style="6" customWidth="1"/>
    <col min="2" max="2" width="42" style="5" customWidth="1"/>
    <col min="3" max="3" width="11" style="37" bestFit="1" customWidth="1"/>
    <col min="4" max="4" width="11" style="37" customWidth="1"/>
    <col min="5" max="5" width="10.7109375" style="37" customWidth="1"/>
    <col min="6" max="6" width="8.7109375" style="37" bestFit="1" customWidth="1"/>
    <col min="7" max="7" width="9" style="37" customWidth="1"/>
    <col min="8" max="8" width="7" style="37" customWidth="1"/>
    <col min="9" max="9" width="9.5703125" style="37" customWidth="1"/>
    <col min="10" max="11" width="9.7109375" style="37" customWidth="1"/>
    <col min="12" max="12" width="12.5703125" style="37" customWidth="1"/>
    <col min="13" max="13" width="9.140625" style="37" customWidth="1"/>
    <col min="14" max="14" width="9.85546875" style="37" customWidth="1"/>
    <col min="15" max="15" width="8.85546875" style="4" customWidth="1"/>
    <col min="16" max="16" width="11.42578125" style="5" customWidth="1"/>
    <col min="17" max="17" width="13.42578125" style="5" bestFit="1" customWidth="1"/>
    <col min="18" max="18" width="12" style="5" bestFit="1" customWidth="1"/>
    <col min="19" max="19" width="14.140625" style="5" customWidth="1"/>
    <col min="20" max="20" width="81" style="5" customWidth="1"/>
    <col min="21" max="16384" width="9.140625" style="5"/>
  </cols>
  <sheetData>
    <row r="1" spans="1:20" ht="42" customHeight="1" x14ac:dyDescent="0.25">
      <c r="A1" s="99" t="s">
        <v>282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313" t="s">
        <v>1081</v>
      </c>
    </row>
    <row r="2" spans="1:20" x14ac:dyDescent="0.2">
      <c r="A2" s="370" t="s">
        <v>82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</row>
    <row r="3" spans="1:20" x14ac:dyDescent="0.25">
      <c r="A3" s="37"/>
      <c r="B3" s="100"/>
      <c r="R3" s="371"/>
      <c r="S3" s="372"/>
      <c r="T3" s="372"/>
    </row>
    <row r="4" spans="1:20" s="101" customFormat="1" ht="15.75" customHeight="1" x14ac:dyDescent="0.25">
      <c r="A4" s="373" t="s">
        <v>0</v>
      </c>
      <c r="B4" s="374" t="s">
        <v>18</v>
      </c>
      <c r="C4" s="375" t="s">
        <v>19</v>
      </c>
      <c r="D4" s="376"/>
      <c r="E4" s="373" t="s">
        <v>33</v>
      </c>
      <c r="F4" s="373"/>
      <c r="G4" s="373"/>
      <c r="H4" s="373"/>
      <c r="I4" s="373"/>
      <c r="J4" s="373"/>
      <c r="K4" s="373"/>
      <c r="L4" s="373"/>
      <c r="M4" s="377" t="s">
        <v>20</v>
      </c>
      <c r="N4" s="377" t="s">
        <v>34</v>
      </c>
      <c r="O4" s="379" t="s">
        <v>35</v>
      </c>
      <c r="P4" s="374" t="s">
        <v>23</v>
      </c>
      <c r="Q4" s="374" t="s">
        <v>24</v>
      </c>
      <c r="R4" s="374" t="s">
        <v>25</v>
      </c>
      <c r="S4" s="374" t="s">
        <v>26</v>
      </c>
      <c r="T4" s="381" t="s">
        <v>156</v>
      </c>
    </row>
    <row r="5" spans="1:20" s="101" customFormat="1" ht="31.5" x14ac:dyDescent="0.25">
      <c r="A5" s="373"/>
      <c r="B5" s="374"/>
      <c r="C5" s="246" t="s">
        <v>27</v>
      </c>
      <c r="D5" s="246" t="s">
        <v>28</v>
      </c>
      <c r="E5" s="207" t="s">
        <v>15</v>
      </c>
      <c r="F5" s="207" t="s">
        <v>36</v>
      </c>
      <c r="G5" s="207" t="s">
        <v>29</v>
      </c>
      <c r="H5" s="207" t="s">
        <v>37</v>
      </c>
      <c r="I5" s="207" t="s">
        <v>38</v>
      </c>
      <c r="J5" s="207" t="s">
        <v>39</v>
      </c>
      <c r="K5" s="207" t="s">
        <v>40</v>
      </c>
      <c r="L5" s="207" t="s">
        <v>30</v>
      </c>
      <c r="M5" s="378"/>
      <c r="N5" s="378"/>
      <c r="O5" s="380"/>
      <c r="P5" s="374"/>
      <c r="Q5" s="374"/>
      <c r="R5" s="374"/>
      <c r="S5" s="374"/>
      <c r="T5" s="361"/>
    </row>
    <row r="6" spans="1:20" s="101" customFormat="1" x14ac:dyDescent="0.25">
      <c r="A6" s="207" t="s">
        <v>1</v>
      </c>
      <c r="B6" s="272" t="s">
        <v>2</v>
      </c>
      <c r="C6" s="207" t="s">
        <v>3</v>
      </c>
      <c r="D6" s="207" t="s">
        <v>4</v>
      </c>
      <c r="E6" s="207" t="s">
        <v>5</v>
      </c>
      <c r="F6" s="207" t="s">
        <v>6</v>
      </c>
      <c r="G6" s="207" t="s">
        <v>7</v>
      </c>
      <c r="H6" s="207" t="s">
        <v>8</v>
      </c>
      <c r="I6" s="207" t="s">
        <v>9</v>
      </c>
      <c r="J6" s="207" t="s">
        <v>10</v>
      </c>
      <c r="K6" s="207" t="s">
        <v>11</v>
      </c>
      <c r="L6" s="207" t="s">
        <v>12</v>
      </c>
      <c r="M6" s="207" t="s">
        <v>13</v>
      </c>
      <c r="N6" s="207" t="s">
        <v>31</v>
      </c>
      <c r="O6" s="207" t="s">
        <v>32</v>
      </c>
      <c r="P6" s="207" t="s">
        <v>41</v>
      </c>
      <c r="Q6" s="207" t="s">
        <v>42</v>
      </c>
      <c r="R6" s="207" t="s">
        <v>43</v>
      </c>
      <c r="S6" s="207" t="s">
        <v>44</v>
      </c>
      <c r="T6" s="207" t="s">
        <v>45</v>
      </c>
    </row>
    <row r="7" spans="1:20" ht="69.75" customHeight="1" x14ac:dyDescent="0.2">
      <c r="A7" s="1">
        <v>1</v>
      </c>
      <c r="B7" s="13" t="s">
        <v>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2"/>
      <c r="O7" s="53"/>
      <c r="P7" s="54"/>
      <c r="Q7" s="54"/>
      <c r="R7" s="54"/>
      <c r="S7" s="54"/>
      <c r="T7" s="274"/>
    </row>
    <row r="8" spans="1:20" s="2" customFormat="1" ht="36.75" customHeight="1" x14ac:dyDescent="0.25">
      <c r="A8" s="1">
        <v>2</v>
      </c>
      <c r="B8" s="13" t="s">
        <v>84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2"/>
      <c r="O8" s="53"/>
      <c r="P8" s="54"/>
      <c r="Q8" s="54"/>
      <c r="R8" s="54"/>
      <c r="S8" s="54"/>
      <c r="T8" s="49"/>
    </row>
    <row r="9" spans="1:20" ht="33" customHeight="1" x14ac:dyDescent="0.2">
      <c r="A9" s="1">
        <v>3</v>
      </c>
      <c r="B9" s="13" t="s">
        <v>85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2"/>
      <c r="O9" s="53"/>
      <c r="P9" s="54"/>
      <c r="Q9" s="54"/>
      <c r="R9" s="54"/>
      <c r="S9" s="54"/>
      <c r="T9" s="193"/>
    </row>
    <row r="10" spans="1:20" x14ac:dyDescent="0.2">
      <c r="A10" s="1">
        <v>4</v>
      </c>
      <c r="B10" s="13" t="s">
        <v>86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2"/>
      <c r="O10" s="53"/>
      <c r="P10" s="54"/>
      <c r="Q10" s="54"/>
      <c r="R10" s="54"/>
      <c r="S10" s="54"/>
      <c r="T10" s="64"/>
    </row>
    <row r="11" spans="1:20" ht="15" x14ac:dyDescent="0.2">
      <c r="A11" s="1">
        <v>5</v>
      </c>
      <c r="B11" s="13" t="s">
        <v>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2"/>
      <c r="O11" s="53"/>
      <c r="P11" s="54"/>
      <c r="Q11" s="54"/>
      <c r="R11" s="54"/>
      <c r="S11" s="54"/>
      <c r="T11" s="49"/>
    </row>
    <row r="12" spans="1:20" ht="15" x14ac:dyDescent="0.2">
      <c r="A12" s="1">
        <v>6</v>
      </c>
      <c r="B12" s="13" t="s">
        <v>88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2"/>
      <c r="O12" s="53"/>
      <c r="P12" s="54"/>
      <c r="Q12" s="54"/>
      <c r="R12" s="54"/>
      <c r="S12" s="54"/>
      <c r="T12" s="49"/>
    </row>
    <row r="13" spans="1:20" ht="15" x14ac:dyDescent="0.2">
      <c r="A13" s="1">
        <v>7</v>
      </c>
      <c r="B13" s="13" t="s">
        <v>89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2"/>
      <c r="O13" s="53"/>
      <c r="P13" s="54"/>
      <c r="Q13" s="54"/>
      <c r="R13" s="54"/>
      <c r="S13" s="54"/>
    </row>
    <row r="14" spans="1:20" ht="15" x14ac:dyDescent="0.2">
      <c r="A14" s="1">
        <v>8</v>
      </c>
      <c r="B14" s="13" t="s">
        <v>90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2"/>
      <c r="O14" s="53"/>
      <c r="P14" s="54"/>
      <c r="Q14" s="54"/>
      <c r="R14" s="54"/>
      <c r="S14" s="54"/>
      <c r="T14" s="65"/>
    </row>
    <row r="15" spans="1:20" ht="15" x14ac:dyDescent="0.2">
      <c r="A15" s="1">
        <v>9</v>
      </c>
      <c r="B15" s="13" t="s">
        <v>91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52"/>
      <c r="O15" s="53"/>
      <c r="P15" s="54"/>
      <c r="Q15" s="54"/>
      <c r="R15" s="54"/>
      <c r="S15" s="54"/>
      <c r="T15" s="65"/>
    </row>
    <row r="16" spans="1:20" ht="15" x14ac:dyDescent="0.2">
      <c r="A16" s="1">
        <v>10</v>
      </c>
      <c r="B16" s="13" t="s">
        <v>92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2"/>
      <c r="O16" s="53"/>
      <c r="P16" s="54"/>
      <c r="Q16" s="54"/>
      <c r="R16" s="54"/>
      <c r="S16" s="54"/>
      <c r="T16" s="65"/>
    </row>
    <row r="17" spans="1:20" ht="15" x14ac:dyDescent="0.2">
      <c r="A17" s="1">
        <v>11</v>
      </c>
      <c r="B17" s="13" t="s">
        <v>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2"/>
      <c r="O17" s="53"/>
      <c r="P17" s="54"/>
      <c r="Q17" s="54"/>
      <c r="R17" s="54"/>
      <c r="S17" s="54"/>
      <c r="T17" s="65"/>
    </row>
    <row r="18" spans="1:20" ht="57.75" customHeight="1" x14ac:dyDescent="0.2">
      <c r="A18" s="1">
        <v>12</v>
      </c>
      <c r="B18" s="13" t="s">
        <v>94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2"/>
      <c r="O18" s="53"/>
      <c r="P18" s="54"/>
      <c r="Q18" s="54"/>
      <c r="R18" s="54"/>
      <c r="S18" s="54"/>
      <c r="T18" s="250"/>
    </row>
    <row r="19" spans="1:20" ht="15" x14ac:dyDescent="0.2">
      <c r="A19" s="1">
        <v>13</v>
      </c>
      <c r="B19" s="13" t="s">
        <v>95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2"/>
      <c r="O19" s="53"/>
      <c r="P19" s="54"/>
      <c r="Q19" s="54"/>
      <c r="R19" s="54"/>
      <c r="S19" s="54"/>
      <c r="T19" s="65"/>
    </row>
    <row r="20" spans="1:20" ht="15" x14ac:dyDescent="0.2">
      <c r="A20" s="1">
        <v>14</v>
      </c>
      <c r="B20" s="13" t="s">
        <v>96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2"/>
      <c r="O20" s="53"/>
      <c r="P20" s="54"/>
      <c r="Q20" s="54"/>
      <c r="R20" s="54"/>
      <c r="S20" s="54"/>
      <c r="T20" s="65"/>
    </row>
    <row r="21" spans="1:20" x14ac:dyDescent="0.2">
      <c r="A21" s="1">
        <v>15</v>
      </c>
      <c r="B21" s="13" t="s">
        <v>97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2"/>
      <c r="O21" s="53"/>
      <c r="P21" s="54"/>
      <c r="Q21" s="54"/>
      <c r="R21" s="54"/>
      <c r="S21" s="54"/>
      <c r="T21" s="66"/>
    </row>
    <row r="22" spans="1:20" ht="15" x14ac:dyDescent="0.2">
      <c r="A22" s="1">
        <v>16</v>
      </c>
      <c r="B22" s="13" t="s">
        <v>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2"/>
      <c r="O22" s="53"/>
      <c r="P22" s="54"/>
      <c r="Q22" s="54"/>
      <c r="R22" s="54"/>
      <c r="S22" s="54"/>
      <c r="T22" s="65"/>
    </row>
    <row r="23" spans="1:20" x14ac:dyDescent="0.2">
      <c r="A23" s="1">
        <v>17</v>
      </c>
      <c r="B23" s="13" t="s">
        <v>99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52"/>
      <c r="O23" s="53"/>
      <c r="P23" s="54"/>
      <c r="Q23" s="54"/>
      <c r="R23" s="54"/>
      <c r="S23" s="54"/>
      <c r="T23" s="98"/>
    </row>
    <row r="24" spans="1:20" ht="15" x14ac:dyDescent="0.2">
      <c r="A24" s="67">
        <v>18</v>
      </c>
      <c r="B24" s="105" t="s">
        <v>276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8"/>
      <c r="O24" s="53"/>
      <c r="P24" s="54"/>
      <c r="Q24" s="54"/>
      <c r="R24" s="54"/>
      <c r="S24" s="54"/>
      <c r="T24" s="67"/>
    </row>
    <row r="25" spans="1:20" s="2" customFormat="1" ht="30" customHeight="1" x14ac:dyDescent="0.25">
      <c r="A25" s="67">
        <v>19</v>
      </c>
      <c r="B25" s="105" t="s">
        <v>588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304"/>
      <c r="Q25" s="304"/>
      <c r="R25" s="304"/>
      <c r="S25" s="304"/>
      <c r="T25" s="193"/>
    </row>
    <row r="26" spans="1:20" s="2" customFormat="1" ht="30" customHeight="1" x14ac:dyDescent="0.25">
      <c r="A26" s="67">
        <v>20</v>
      </c>
      <c r="B26" s="105" t="s">
        <v>1076</v>
      </c>
      <c r="C26" s="108">
        <v>12</v>
      </c>
      <c r="D26" s="108">
        <v>13</v>
      </c>
      <c r="E26" s="108"/>
      <c r="F26" s="108"/>
      <c r="G26" s="108">
        <v>2</v>
      </c>
      <c r="H26" s="108"/>
      <c r="I26" s="108"/>
      <c r="J26" s="108"/>
      <c r="K26" s="108"/>
      <c r="L26" s="108"/>
      <c r="M26" s="108">
        <v>1</v>
      </c>
      <c r="N26" s="108">
        <v>1</v>
      </c>
      <c r="O26" s="108">
        <v>11</v>
      </c>
      <c r="P26" s="304">
        <f t="shared" ref="P26" si="0">IF(D26=0,"-",(M26/D26))</f>
        <v>7.6923076923076927E-2</v>
      </c>
      <c r="Q26" s="304">
        <f t="shared" ref="Q26" si="1">IF(D26=0,"-",(N26/D26))</f>
        <v>7.6923076923076927E-2</v>
      </c>
      <c r="R26" s="304">
        <f t="shared" ref="R26" si="2">IF(D26=0,"-",(O26/D26))</f>
        <v>0.84615384615384615</v>
      </c>
      <c r="S26" s="304">
        <f t="shared" ref="S26" si="3">IF(D26=0,"-",(Q26+R26))</f>
        <v>0.92307692307692313</v>
      </c>
      <c r="T26" s="193" t="s">
        <v>1077</v>
      </c>
    </row>
    <row r="27" spans="1:20" s="2" customFormat="1" ht="45.75" customHeight="1" x14ac:dyDescent="0.25">
      <c r="A27" s="67">
        <v>21</v>
      </c>
      <c r="B27" s="105" t="s">
        <v>1092</v>
      </c>
      <c r="C27" s="108">
        <v>48</v>
      </c>
      <c r="D27" s="108">
        <v>48</v>
      </c>
      <c r="E27" s="108"/>
      <c r="F27" s="108"/>
      <c r="G27" s="108"/>
      <c r="H27" s="108"/>
      <c r="I27" s="108"/>
      <c r="J27" s="108"/>
      <c r="K27" s="108"/>
      <c r="L27" s="108"/>
      <c r="M27" s="108">
        <v>1</v>
      </c>
      <c r="N27" s="108"/>
      <c r="O27" s="108">
        <v>47</v>
      </c>
      <c r="P27" s="304">
        <f t="shared" ref="P27" si="4">IF(D27=0,"-",(M27/D27))</f>
        <v>2.0833333333333332E-2</v>
      </c>
      <c r="Q27" s="304">
        <f t="shared" ref="Q27" si="5">IF(D27=0,"-",(N27/D27))</f>
        <v>0</v>
      </c>
      <c r="R27" s="304">
        <f t="shared" ref="R27" si="6">IF(D27=0,"-",(O27/D27))</f>
        <v>0.97916666666666663</v>
      </c>
      <c r="S27" s="304">
        <f t="shared" ref="S27" si="7">IF(D27=0,"-",(Q27+R27))</f>
        <v>0.97916666666666663</v>
      </c>
      <c r="T27" s="193" t="s">
        <v>1093</v>
      </c>
    </row>
    <row r="28" spans="1:20" ht="36" customHeight="1" x14ac:dyDescent="0.25">
      <c r="A28" s="369" t="s">
        <v>289</v>
      </c>
      <c r="B28" s="369"/>
      <c r="C28" s="207">
        <f>SUM(C26:C27)</f>
        <v>60</v>
      </c>
      <c r="D28" s="207">
        <f t="shared" ref="D28:O28" si="8">SUM(D26:D27)</f>
        <v>61</v>
      </c>
      <c r="E28" s="207">
        <f t="shared" si="8"/>
        <v>0</v>
      </c>
      <c r="F28" s="207">
        <f t="shared" si="8"/>
        <v>0</v>
      </c>
      <c r="G28" s="207">
        <f t="shared" si="8"/>
        <v>2</v>
      </c>
      <c r="H28" s="207">
        <f t="shared" si="8"/>
        <v>0</v>
      </c>
      <c r="I28" s="207">
        <f t="shared" si="8"/>
        <v>0</v>
      </c>
      <c r="J28" s="207">
        <f t="shared" si="8"/>
        <v>0</v>
      </c>
      <c r="K28" s="207">
        <f t="shared" si="8"/>
        <v>0</v>
      </c>
      <c r="L28" s="207">
        <f t="shared" si="8"/>
        <v>0</v>
      </c>
      <c r="M28" s="207">
        <f t="shared" si="8"/>
        <v>2</v>
      </c>
      <c r="N28" s="207">
        <f t="shared" si="8"/>
        <v>1</v>
      </c>
      <c r="O28" s="207">
        <f t="shared" si="8"/>
        <v>58</v>
      </c>
      <c r="P28" s="207"/>
      <c r="Q28" s="207"/>
      <c r="R28" s="207"/>
      <c r="S28" s="207"/>
      <c r="T28" s="70"/>
    </row>
    <row r="29" spans="1:20" x14ac:dyDescent="0.25">
      <c r="T29" s="5" t="s">
        <v>282</v>
      </c>
    </row>
    <row r="31" spans="1:20" x14ac:dyDescent="0.25">
      <c r="S31" s="5" t="s">
        <v>282</v>
      </c>
    </row>
    <row r="33" spans="20:20" x14ac:dyDescent="0.25">
      <c r="T33" s="15"/>
    </row>
  </sheetData>
  <protectedRanges>
    <protectedRange sqref="T9" name="Range1"/>
    <protectedRange sqref="B24" name="Range1_1_1_1"/>
  </protectedRanges>
  <mergeCells count="15">
    <mergeCell ref="A28:B28"/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R4:R5"/>
    <mergeCell ref="S4:S5"/>
    <mergeCell ref="T4:T5"/>
    <mergeCell ref="P4:P5"/>
    <mergeCell ref="Q4:Q5"/>
  </mergeCells>
  <dataValidations count="2">
    <dataValidation type="whole" allowBlank="1" showInputMessage="1" showErrorMessage="1" errorTitle="Value Between 0 to 200000" sqref="O7:O24" xr:uid="{00000000-0002-0000-0300-000000000000}">
      <formula1>0</formula1>
      <formula2>200000</formula2>
    </dataValidation>
    <dataValidation type="whole" allowBlank="1" showInputMessage="1" showErrorMessage="1" sqref="C7:L24 N9:N14 N16:N22 N24" xr:uid="{00000000-0002-0000-0300-000001000000}">
      <formula1>0</formula1>
      <formula2>50000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147216"/>
  </sheetPr>
  <dimension ref="A1:T76"/>
  <sheetViews>
    <sheetView view="pageBreakPreview" zoomScale="70" zoomScaleSheetLayoutView="70" workbookViewId="0">
      <pane ySplit="5" topLeftCell="A6" activePane="bottomLeft" state="frozen"/>
      <selection pane="bottomLeft" activeCell="F74" sqref="F74"/>
    </sheetView>
  </sheetViews>
  <sheetFormatPr defaultRowHeight="15" x14ac:dyDescent="0.2"/>
  <cols>
    <col min="1" max="1" width="5.5703125" style="3" customWidth="1"/>
    <col min="2" max="2" width="44.5703125" style="15" customWidth="1"/>
    <col min="3" max="3" width="12.140625" style="37" customWidth="1"/>
    <col min="4" max="4" width="10.140625" style="37" customWidth="1"/>
    <col min="5" max="5" width="7.5703125" style="37" customWidth="1"/>
    <col min="6" max="6" width="7.42578125" style="37" customWidth="1"/>
    <col min="7" max="7" width="6.28515625" style="37" customWidth="1"/>
    <col min="8" max="8" width="13" style="37" customWidth="1"/>
    <col min="9" max="9" width="6.28515625" style="37" customWidth="1"/>
    <col min="10" max="10" width="10.85546875" style="37" customWidth="1"/>
    <col min="11" max="11" width="9.7109375" style="37" customWidth="1"/>
    <col min="12" max="12" width="10.42578125" style="5" customWidth="1"/>
    <col min="13" max="13" width="11.7109375" style="5" customWidth="1"/>
    <col min="14" max="14" width="9.7109375" style="5" customWidth="1"/>
    <col min="15" max="15" width="18" style="5" customWidth="1"/>
    <col min="16" max="16" width="13.85546875" style="5" customWidth="1"/>
    <col min="17" max="17" width="54" style="5" customWidth="1"/>
    <col min="18" max="16384" width="9.140625" style="5"/>
  </cols>
  <sheetData>
    <row r="1" spans="1:20" ht="27" customHeight="1" x14ac:dyDescent="0.2">
      <c r="N1" s="5" t="s">
        <v>626</v>
      </c>
      <c r="P1" s="132"/>
      <c r="Q1" s="188" t="s">
        <v>912</v>
      </c>
    </row>
    <row r="2" spans="1:20" ht="15.75" x14ac:dyDescent="0.2">
      <c r="A2" s="382" t="s">
        <v>100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20" s="101" customFormat="1" ht="15.75" customHeight="1" x14ac:dyDescent="0.25">
      <c r="A3" s="379" t="s">
        <v>0</v>
      </c>
      <c r="B3" s="381" t="s">
        <v>18</v>
      </c>
      <c r="C3" s="373" t="s">
        <v>19</v>
      </c>
      <c r="D3" s="373"/>
      <c r="E3" s="373" t="s">
        <v>33</v>
      </c>
      <c r="F3" s="373"/>
      <c r="G3" s="373"/>
      <c r="H3" s="373"/>
      <c r="I3" s="373"/>
      <c r="J3" s="381" t="s">
        <v>20</v>
      </c>
      <c r="K3" s="381" t="s">
        <v>21</v>
      </c>
      <c r="L3" s="381" t="s">
        <v>22</v>
      </c>
      <c r="M3" s="381" t="s">
        <v>23</v>
      </c>
      <c r="N3" s="381" t="s">
        <v>24</v>
      </c>
      <c r="O3" s="381" t="s">
        <v>25</v>
      </c>
      <c r="P3" s="381" t="s">
        <v>26</v>
      </c>
      <c r="Q3" s="381" t="s">
        <v>156</v>
      </c>
    </row>
    <row r="4" spans="1:20" s="101" customFormat="1" ht="63" x14ac:dyDescent="0.25">
      <c r="A4" s="380"/>
      <c r="B4" s="381"/>
      <c r="C4" s="272" t="s">
        <v>27</v>
      </c>
      <c r="D4" s="272" t="s">
        <v>28</v>
      </c>
      <c r="E4" s="240" t="s">
        <v>600</v>
      </c>
      <c r="F4" s="124" t="s">
        <v>36</v>
      </c>
      <c r="G4" s="125" t="s">
        <v>29</v>
      </c>
      <c r="H4" s="126" t="s">
        <v>599</v>
      </c>
      <c r="I4" s="125" t="s">
        <v>30</v>
      </c>
      <c r="J4" s="381"/>
      <c r="K4" s="381"/>
      <c r="L4" s="381"/>
      <c r="M4" s="381"/>
      <c r="N4" s="381"/>
      <c r="O4" s="381"/>
      <c r="P4" s="381"/>
      <c r="Q4" s="361"/>
      <c r="T4" s="101" t="s">
        <v>282</v>
      </c>
    </row>
    <row r="5" spans="1:20" s="6" customFormat="1" ht="18.75" customHeight="1" x14ac:dyDescent="0.2">
      <c r="A5" s="108" t="s">
        <v>1</v>
      </c>
      <c r="B5" s="72" t="s">
        <v>2</v>
      </c>
      <c r="C5" s="108" t="s">
        <v>3</v>
      </c>
      <c r="D5" s="108" t="s">
        <v>4</v>
      </c>
      <c r="E5" s="108" t="s">
        <v>5</v>
      </c>
      <c r="F5" s="108" t="s">
        <v>6</v>
      </c>
      <c r="G5" s="108" t="s">
        <v>7</v>
      </c>
      <c r="H5" s="108" t="s">
        <v>8</v>
      </c>
      <c r="I5" s="108" t="s">
        <v>9</v>
      </c>
      <c r="J5" s="108" t="s">
        <v>10</v>
      </c>
      <c r="K5" s="108" t="s">
        <v>11</v>
      </c>
      <c r="L5" s="108" t="s">
        <v>12</v>
      </c>
      <c r="M5" s="108" t="s">
        <v>13</v>
      </c>
      <c r="N5" s="108" t="s">
        <v>31</v>
      </c>
      <c r="O5" s="108" t="s">
        <v>32</v>
      </c>
      <c r="P5" s="108" t="s">
        <v>41</v>
      </c>
      <c r="Q5" s="108" t="s">
        <v>42</v>
      </c>
    </row>
    <row r="6" spans="1:20" s="2" customFormat="1" ht="35.25" hidden="1" customHeight="1" x14ac:dyDescent="0.25">
      <c r="A6" s="1">
        <v>1</v>
      </c>
      <c r="B6" s="49" t="s">
        <v>101</v>
      </c>
      <c r="C6" s="51"/>
      <c r="D6" s="51"/>
      <c r="E6" s="51"/>
      <c r="F6" s="51"/>
      <c r="G6" s="51"/>
      <c r="H6" s="51"/>
      <c r="I6" s="51"/>
      <c r="J6" s="51"/>
      <c r="K6" s="52"/>
      <c r="L6" s="53"/>
      <c r="M6" s="54"/>
      <c r="N6" s="133"/>
      <c r="O6" s="54"/>
      <c r="P6" s="54"/>
      <c r="Q6" s="97"/>
      <c r="S6" s="2" t="s">
        <v>282</v>
      </c>
    </row>
    <row r="7" spans="1:20" ht="21" hidden="1" customHeight="1" x14ac:dyDescent="0.2">
      <c r="A7" s="1">
        <v>2</v>
      </c>
      <c r="B7" s="49" t="s">
        <v>102</v>
      </c>
      <c r="C7" s="51"/>
      <c r="D7" s="51"/>
      <c r="E7" s="51"/>
      <c r="F7" s="51"/>
      <c r="G7" s="51"/>
      <c r="H7" s="51"/>
      <c r="I7" s="51"/>
      <c r="J7" s="51"/>
      <c r="K7" s="52"/>
      <c r="L7" s="53"/>
      <c r="M7" s="54"/>
      <c r="N7" s="133"/>
      <c r="O7" s="54"/>
      <c r="P7" s="54"/>
      <c r="Q7" s="76"/>
    </row>
    <row r="8" spans="1:20" s="2" customFormat="1" ht="21.75" hidden="1" customHeight="1" x14ac:dyDescent="0.25">
      <c r="A8" s="1">
        <v>3</v>
      </c>
      <c r="B8" s="56" t="s">
        <v>103</v>
      </c>
      <c r="C8" s="51"/>
      <c r="D8" s="51"/>
      <c r="E8" s="51"/>
      <c r="F8" s="51"/>
      <c r="G8" s="51"/>
      <c r="H8" s="51"/>
      <c r="I8" s="51"/>
      <c r="J8" s="51"/>
      <c r="K8" s="52"/>
      <c r="L8" s="53"/>
      <c r="M8" s="54"/>
      <c r="N8" s="133"/>
      <c r="O8" s="54"/>
      <c r="P8" s="54"/>
      <c r="Q8" s="97"/>
      <c r="T8" s="2" t="s">
        <v>282</v>
      </c>
    </row>
    <row r="9" spans="1:20" s="2" customFormat="1" ht="15.75" hidden="1" x14ac:dyDescent="0.25">
      <c r="A9" s="1">
        <v>4</v>
      </c>
      <c r="B9" s="49" t="s">
        <v>104</v>
      </c>
      <c r="C9" s="51"/>
      <c r="D9" s="51"/>
      <c r="E9" s="51"/>
      <c r="F9" s="51"/>
      <c r="G9" s="51"/>
      <c r="H9" s="51"/>
      <c r="I9" s="51"/>
      <c r="J9" s="51"/>
      <c r="K9" s="52"/>
      <c r="L9" s="53"/>
      <c r="M9" s="54"/>
      <c r="N9" s="133"/>
      <c r="O9" s="54"/>
      <c r="P9" s="54"/>
      <c r="Q9" s="119"/>
    </row>
    <row r="10" spans="1:20" ht="33.75" hidden="1" customHeight="1" x14ac:dyDescent="0.2">
      <c r="A10" s="1">
        <v>5</v>
      </c>
      <c r="B10" s="49" t="s">
        <v>105</v>
      </c>
      <c r="C10" s="51"/>
      <c r="D10" s="51"/>
      <c r="E10" s="51"/>
      <c r="F10" s="51"/>
      <c r="G10" s="51"/>
      <c r="H10" s="51"/>
      <c r="I10" s="51"/>
      <c r="J10" s="51"/>
      <c r="K10" s="52"/>
      <c r="L10" s="53"/>
      <c r="M10" s="54"/>
      <c r="N10" s="133"/>
      <c r="O10" s="54"/>
      <c r="P10" s="54"/>
      <c r="Q10" s="120"/>
      <c r="S10" s="5" t="s">
        <v>282</v>
      </c>
    </row>
    <row r="11" spans="1:20" s="2" customFormat="1" ht="27" customHeight="1" x14ac:dyDescent="0.25">
      <c r="A11" s="1">
        <v>6</v>
      </c>
      <c r="B11" s="49" t="s">
        <v>399</v>
      </c>
      <c r="C11" s="305">
        <v>6</v>
      </c>
      <c r="D11" s="305">
        <v>2</v>
      </c>
      <c r="E11" s="305"/>
      <c r="F11" s="305"/>
      <c r="G11" s="305"/>
      <c r="H11" s="305"/>
      <c r="I11" s="305"/>
      <c r="J11" s="154"/>
      <c r="K11" s="305"/>
      <c r="L11" s="306">
        <v>2</v>
      </c>
      <c r="M11" s="304">
        <f t="shared" ref="M11" si="0">IF(D11=0,"-",(J11/D11))</f>
        <v>0</v>
      </c>
      <c r="N11" s="304">
        <f>IF(D11=0,"-",(K11/D11))</f>
        <v>0</v>
      </c>
      <c r="O11" s="304">
        <f t="shared" ref="O11" si="1">IF(D11=0,"-",(L11/D11))</f>
        <v>1</v>
      </c>
      <c r="P11" s="304">
        <f t="shared" ref="P11" si="2">IF(D11=0,"-",(N11+O11))</f>
        <v>1</v>
      </c>
      <c r="Q11" s="76"/>
    </row>
    <row r="12" spans="1:20" s="2" customFormat="1" hidden="1" x14ac:dyDescent="0.25">
      <c r="A12" s="1">
        <v>7</v>
      </c>
      <c r="B12" s="49" t="s">
        <v>374</v>
      </c>
      <c r="C12" s="51"/>
      <c r="D12" s="51"/>
      <c r="E12" s="51"/>
      <c r="F12" s="51"/>
      <c r="G12" s="51"/>
      <c r="H12" s="51"/>
      <c r="I12" s="51"/>
      <c r="J12" s="51"/>
      <c r="K12" s="52"/>
      <c r="L12" s="53"/>
      <c r="M12" s="54"/>
      <c r="N12" s="133"/>
      <c r="O12" s="54"/>
      <c r="P12" s="54"/>
      <c r="Q12" s="96"/>
    </row>
    <row r="13" spans="1:20" ht="24" hidden="1" customHeight="1" x14ac:dyDescent="0.2">
      <c r="A13" s="1">
        <v>8</v>
      </c>
      <c r="B13" s="49" t="s">
        <v>106</v>
      </c>
      <c r="C13" s="51"/>
      <c r="D13" s="51"/>
      <c r="E13" s="51"/>
      <c r="F13" s="51"/>
      <c r="G13" s="51"/>
      <c r="H13" s="51"/>
      <c r="I13" s="51"/>
      <c r="J13" s="51"/>
      <c r="K13" s="52"/>
      <c r="L13" s="53"/>
      <c r="M13" s="54"/>
      <c r="N13" s="133"/>
      <c r="O13" s="54"/>
      <c r="P13" s="54"/>
      <c r="Q13" s="120"/>
    </row>
    <row r="14" spans="1:20" ht="24" hidden="1" customHeight="1" x14ac:dyDescent="0.2">
      <c r="A14" s="1">
        <v>9</v>
      </c>
      <c r="B14" s="49" t="s">
        <v>107</v>
      </c>
      <c r="C14" s="51"/>
      <c r="D14" s="51"/>
      <c r="E14" s="51"/>
      <c r="F14" s="51"/>
      <c r="G14" s="51"/>
      <c r="H14" s="51"/>
      <c r="I14" s="51"/>
      <c r="J14" s="51"/>
      <c r="K14" s="52"/>
      <c r="L14" s="53"/>
      <c r="M14" s="54"/>
      <c r="N14" s="133"/>
      <c r="O14" s="54"/>
      <c r="P14" s="54"/>
      <c r="Q14" s="120"/>
    </row>
    <row r="15" spans="1:20" s="2" customFormat="1" ht="25.5" customHeight="1" x14ac:dyDescent="0.2">
      <c r="A15" s="1">
        <v>10</v>
      </c>
      <c r="B15" s="49" t="s">
        <v>108</v>
      </c>
      <c r="C15" s="305">
        <v>21</v>
      </c>
      <c r="D15" s="305">
        <v>13</v>
      </c>
      <c r="E15" s="305"/>
      <c r="F15" s="305"/>
      <c r="G15" s="305"/>
      <c r="H15" s="305"/>
      <c r="I15" s="305"/>
      <c r="J15" s="154"/>
      <c r="K15" s="305"/>
      <c r="L15" s="306">
        <v>13</v>
      </c>
      <c r="M15" s="304">
        <f t="shared" ref="M15" si="3">IF(D15=0,"-",(J15/D15))</f>
        <v>0</v>
      </c>
      <c r="N15" s="304">
        <f t="shared" ref="N15" si="4">IF(D15=0,"-",(K15/D15))</f>
        <v>0</v>
      </c>
      <c r="O15" s="304">
        <f t="shared" ref="O15" si="5">IF(D15=0,"-",(L15/D15))</f>
        <v>1</v>
      </c>
      <c r="P15" s="304">
        <f t="shared" ref="P15" si="6">IF(D15=0,"-",(N15+O15))</f>
        <v>1</v>
      </c>
      <c r="Q15" s="175"/>
    </row>
    <row r="16" spans="1:20" s="2" customFormat="1" ht="15.75" hidden="1" x14ac:dyDescent="0.25">
      <c r="A16" s="1">
        <v>11</v>
      </c>
      <c r="B16" s="49" t="s">
        <v>109</v>
      </c>
      <c r="C16" s="51"/>
      <c r="D16" s="51"/>
      <c r="E16" s="51"/>
      <c r="F16" s="51"/>
      <c r="G16" s="51"/>
      <c r="H16" s="51"/>
      <c r="I16" s="51"/>
      <c r="J16" s="51"/>
      <c r="K16" s="52"/>
      <c r="L16" s="53"/>
      <c r="M16" s="54"/>
      <c r="N16" s="133"/>
      <c r="O16" s="54"/>
      <c r="P16" s="54"/>
      <c r="Q16" s="98"/>
    </row>
    <row r="17" spans="1:20" ht="24" hidden="1" customHeight="1" x14ac:dyDescent="0.2">
      <c r="A17" s="1">
        <v>12</v>
      </c>
      <c r="B17" s="49" t="s">
        <v>110</v>
      </c>
      <c r="C17" s="51"/>
      <c r="D17" s="51"/>
      <c r="E17" s="51"/>
      <c r="F17" s="51"/>
      <c r="G17" s="51"/>
      <c r="H17" s="51"/>
      <c r="I17" s="51"/>
      <c r="J17" s="51"/>
      <c r="K17" s="52"/>
      <c r="L17" s="53"/>
      <c r="M17" s="54"/>
      <c r="N17" s="133"/>
      <c r="O17" s="54"/>
      <c r="P17" s="54"/>
      <c r="Q17" s="96"/>
    </row>
    <row r="18" spans="1:20" ht="42" hidden="1" customHeight="1" x14ac:dyDescent="0.2">
      <c r="A18" s="1">
        <v>13</v>
      </c>
      <c r="B18" s="49" t="s">
        <v>111</v>
      </c>
      <c r="C18" s="51"/>
      <c r="D18" s="51"/>
      <c r="E18" s="51"/>
      <c r="F18" s="51"/>
      <c r="G18" s="51"/>
      <c r="H18" s="51"/>
      <c r="I18" s="51"/>
      <c r="J18" s="51"/>
      <c r="K18" s="52"/>
      <c r="L18" s="53"/>
      <c r="M18" s="54"/>
      <c r="N18" s="133"/>
      <c r="O18" s="54"/>
      <c r="P18" s="54"/>
      <c r="Q18" s="76"/>
    </row>
    <row r="19" spans="1:20" ht="24" hidden="1" customHeight="1" x14ac:dyDescent="0.2">
      <c r="A19" s="1">
        <v>14</v>
      </c>
      <c r="B19" s="49" t="s">
        <v>112</v>
      </c>
      <c r="C19" s="51"/>
      <c r="D19" s="51"/>
      <c r="E19" s="51"/>
      <c r="F19" s="51"/>
      <c r="G19" s="51"/>
      <c r="H19" s="51"/>
      <c r="I19" s="51"/>
      <c r="J19" s="51"/>
      <c r="K19" s="52"/>
      <c r="L19" s="53"/>
      <c r="M19" s="54"/>
      <c r="N19" s="133"/>
      <c r="O19" s="54"/>
      <c r="P19" s="54"/>
      <c r="Q19" s="120"/>
    </row>
    <row r="20" spans="1:20" hidden="1" x14ac:dyDescent="0.2">
      <c r="A20" s="1">
        <v>15</v>
      </c>
      <c r="B20" s="49" t="s">
        <v>688</v>
      </c>
      <c r="C20" s="51"/>
      <c r="D20" s="51"/>
      <c r="E20" s="51"/>
      <c r="F20" s="51"/>
      <c r="G20" s="51"/>
      <c r="H20" s="51"/>
      <c r="I20" s="51"/>
      <c r="J20" s="51"/>
      <c r="K20" s="52"/>
      <c r="L20" s="53"/>
      <c r="M20" s="54"/>
      <c r="N20" s="133"/>
      <c r="O20" s="54"/>
      <c r="P20" s="54"/>
      <c r="Q20" s="121"/>
    </row>
    <row r="21" spans="1:20" hidden="1" x14ac:dyDescent="0.2">
      <c r="A21" s="1">
        <v>16</v>
      </c>
      <c r="B21" s="49" t="s">
        <v>113</v>
      </c>
      <c r="C21" s="51"/>
      <c r="D21" s="51"/>
      <c r="E21" s="51"/>
      <c r="F21" s="51"/>
      <c r="G21" s="51"/>
      <c r="H21" s="51"/>
      <c r="I21" s="51"/>
      <c r="J21" s="51"/>
      <c r="K21" s="52"/>
      <c r="L21" s="53"/>
      <c r="M21" s="54"/>
      <c r="N21" s="133"/>
      <c r="O21" s="54"/>
      <c r="P21" s="54"/>
      <c r="Q21" s="121"/>
    </row>
    <row r="22" spans="1:20" hidden="1" x14ac:dyDescent="0.2">
      <c r="A22" s="1">
        <v>17</v>
      </c>
      <c r="B22" s="49" t="s">
        <v>378</v>
      </c>
      <c r="C22" s="51"/>
      <c r="D22" s="51"/>
      <c r="E22" s="51"/>
      <c r="F22" s="51"/>
      <c r="G22" s="51"/>
      <c r="H22" s="51"/>
      <c r="I22" s="51"/>
      <c r="J22" s="51"/>
      <c r="K22" s="52"/>
      <c r="L22" s="53"/>
      <c r="M22" s="54"/>
      <c r="N22" s="133"/>
      <c r="O22" s="54"/>
      <c r="P22" s="54"/>
      <c r="Q22" s="76"/>
    </row>
    <row r="23" spans="1:20" hidden="1" x14ac:dyDescent="0.2">
      <c r="A23" s="1">
        <v>18</v>
      </c>
      <c r="B23" s="49" t="s">
        <v>379</v>
      </c>
      <c r="C23" s="51"/>
      <c r="D23" s="51"/>
      <c r="E23" s="51"/>
      <c r="F23" s="51"/>
      <c r="G23" s="51"/>
      <c r="H23" s="51"/>
      <c r="I23" s="51"/>
      <c r="J23" s="51"/>
      <c r="K23" s="52"/>
      <c r="L23" s="53"/>
      <c r="M23" s="54"/>
      <c r="N23" s="133"/>
      <c r="O23" s="54"/>
      <c r="P23" s="54"/>
      <c r="Q23" s="76"/>
    </row>
    <row r="24" spans="1:20" ht="24" hidden="1" customHeight="1" x14ac:dyDescent="0.2">
      <c r="A24" s="1">
        <v>19</v>
      </c>
      <c r="B24" s="49" t="s">
        <v>114</v>
      </c>
      <c r="C24" s="305"/>
      <c r="D24" s="305"/>
      <c r="E24" s="305"/>
      <c r="F24" s="305"/>
      <c r="G24" s="305"/>
      <c r="H24" s="305"/>
      <c r="I24" s="305"/>
      <c r="J24" s="154"/>
      <c r="K24" s="305"/>
      <c r="L24" s="306"/>
      <c r="M24" s="304" t="str">
        <f t="shared" ref="M24:M27" si="7">IF(D24=0,"-",(J24/D24))</f>
        <v>-</v>
      </c>
      <c r="N24" s="304" t="str">
        <f t="shared" ref="N24:N27" si="8">IF(D24=0,"-",(K24/D24))</f>
        <v>-</v>
      </c>
      <c r="O24" s="304" t="str">
        <f t="shared" ref="O24:O27" si="9">IF(D24=0,"-",(L24/D24))</f>
        <v>-</v>
      </c>
      <c r="P24" s="304" t="str">
        <f t="shared" ref="P24:P27" si="10">IF(D24=0,"-",(N24+O24))</f>
        <v>-</v>
      </c>
      <c r="Q24" s="120"/>
    </row>
    <row r="25" spans="1:20" ht="30" hidden="1" x14ac:dyDescent="0.2">
      <c r="A25" s="1">
        <v>20</v>
      </c>
      <c r="B25" s="49" t="s">
        <v>115</v>
      </c>
      <c r="C25" s="236">
        <v>220</v>
      </c>
      <c r="D25" s="305"/>
      <c r="E25" s="305"/>
      <c r="F25" s="305"/>
      <c r="G25" s="305"/>
      <c r="H25" s="50"/>
      <c r="I25" s="305"/>
      <c r="J25" s="154"/>
      <c r="K25" s="305"/>
      <c r="L25" s="306"/>
      <c r="M25" s="304" t="str">
        <f t="shared" si="7"/>
        <v>-</v>
      </c>
      <c r="N25" s="304" t="str">
        <f>IF(D25=0,"-",(K25/D25))</f>
        <v>-</v>
      </c>
      <c r="O25" s="304" t="str">
        <f t="shared" si="9"/>
        <v>-</v>
      </c>
      <c r="P25" s="304" t="str">
        <f t="shared" si="10"/>
        <v>-</v>
      </c>
      <c r="Q25" s="315" t="s">
        <v>1072</v>
      </c>
    </row>
    <row r="26" spans="1:20" s="312" customFormat="1" ht="22.5" customHeight="1" x14ac:dyDescent="0.25">
      <c r="A26" s="1">
        <v>21</v>
      </c>
      <c r="B26" s="49" t="s">
        <v>116</v>
      </c>
      <c r="C26" s="343">
        <v>220</v>
      </c>
      <c r="D26" s="305">
        <v>6</v>
      </c>
      <c r="E26" s="305"/>
      <c r="F26" s="305"/>
      <c r="G26" s="305"/>
      <c r="H26" s="317"/>
      <c r="I26" s="317"/>
      <c r="J26" s="318"/>
      <c r="K26" s="317"/>
      <c r="L26" s="319">
        <v>6</v>
      </c>
      <c r="M26" s="320">
        <f t="shared" si="7"/>
        <v>0</v>
      </c>
      <c r="N26" s="320">
        <f t="shared" si="8"/>
        <v>0</v>
      </c>
      <c r="O26" s="320">
        <f t="shared" si="9"/>
        <v>1</v>
      </c>
      <c r="P26" s="320">
        <f t="shared" si="10"/>
        <v>1</v>
      </c>
      <c r="Q26" s="316"/>
    </row>
    <row r="27" spans="1:20" s="2" customFormat="1" ht="24.75" customHeight="1" x14ac:dyDescent="0.25">
      <c r="A27" s="1">
        <v>22</v>
      </c>
      <c r="B27" s="49" t="s">
        <v>117</v>
      </c>
      <c r="C27" s="339"/>
      <c r="D27" s="305">
        <v>317</v>
      </c>
      <c r="E27" s="305"/>
      <c r="F27" s="305"/>
      <c r="G27" s="305"/>
      <c r="H27" s="305"/>
      <c r="I27" s="305"/>
      <c r="J27" s="154"/>
      <c r="K27" s="305"/>
      <c r="L27" s="306">
        <v>317</v>
      </c>
      <c r="M27" s="304">
        <f t="shared" si="7"/>
        <v>0</v>
      </c>
      <c r="N27" s="304">
        <f t="shared" si="8"/>
        <v>0</v>
      </c>
      <c r="O27" s="304">
        <f t="shared" si="9"/>
        <v>1</v>
      </c>
      <c r="P27" s="304">
        <f t="shared" si="10"/>
        <v>1</v>
      </c>
      <c r="Q27" s="316"/>
    </row>
    <row r="28" spans="1:20" s="2" customFormat="1" ht="35.25" hidden="1" customHeight="1" x14ac:dyDescent="0.25">
      <c r="A28" s="1">
        <v>23</v>
      </c>
      <c r="B28" s="49" t="s">
        <v>597</v>
      </c>
      <c r="C28" s="51"/>
      <c r="D28" s="51"/>
      <c r="E28" s="51"/>
      <c r="F28" s="51"/>
      <c r="G28" s="51"/>
      <c r="H28" s="51"/>
      <c r="I28" s="51"/>
      <c r="J28" s="51"/>
      <c r="K28" s="52"/>
      <c r="L28" s="53"/>
      <c r="M28" s="54"/>
      <c r="N28" s="133"/>
      <c r="O28" s="54"/>
      <c r="P28" s="54"/>
      <c r="Q28" s="275"/>
      <c r="R28" s="276"/>
      <c r="S28" s="276"/>
      <c r="T28" s="277"/>
    </row>
    <row r="29" spans="1:20" s="312" customFormat="1" ht="45" customHeight="1" x14ac:dyDescent="0.25">
      <c r="A29" s="1">
        <v>24</v>
      </c>
      <c r="B29" s="49" t="s">
        <v>118</v>
      </c>
      <c r="C29" s="50">
        <v>330</v>
      </c>
      <c r="D29" s="50">
        <v>207</v>
      </c>
      <c r="E29" s="350"/>
      <c r="F29" s="350"/>
      <c r="G29" s="350"/>
      <c r="H29" s="350">
        <v>3</v>
      </c>
      <c r="I29" s="350"/>
      <c r="J29" s="351">
        <v>3</v>
      </c>
      <c r="K29" s="350"/>
      <c r="L29" s="352">
        <v>204</v>
      </c>
      <c r="M29" s="345">
        <f t="shared" ref="M29" si="11">IF(D29=0,"-",(J29/D29))</f>
        <v>1.4492753623188406E-2</v>
      </c>
      <c r="N29" s="345">
        <f t="shared" ref="N29" si="12">IF(D29=0,"-",(K29/D29))</f>
        <v>0</v>
      </c>
      <c r="O29" s="345">
        <f t="shared" ref="O29" si="13">IF(D29=0,"-",(L29/D29))</f>
        <v>0.98550724637681164</v>
      </c>
      <c r="P29" s="345">
        <f t="shared" ref="P29" si="14">IF(D29=0,"-",(N29+O29))</f>
        <v>0.98550724637681164</v>
      </c>
      <c r="Q29" s="265" t="s">
        <v>1118</v>
      </c>
    </row>
    <row r="30" spans="1:20" ht="37.5" hidden="1" customHeight="1" x14ac:dyDescent="0.2">
      <c r="A30" s="1">
        <v>25</v>
      </c>
      <c r="B30" s="49" t="s">
        <v>119</v>
      </c>
      <c r="C30" s="51"/>
      <c r="D30" s="51"/>
      <c r="E30" s="51"/>
      <c r="F30" s="51"/>
      <c r="G30" s="51"/>
      <c r="H30" s="51"/>
      <c r="I30" s="51"/>
      <c r="J30" s="51"/>
      <c r="K30" s="52"/>
      <c r="L30" s="53"/>
      <c r="M30" s="54"/>
      <c r="N30" s="133"/>
      <c r="O30" s="54"/>
      <c r="P30" s="54"/>
      <c r="Q30" s="66"/>
    </row>
    <row r="31" spans="1:20" ht="26.25" customHeight="1" x14ac:dyDescent="0.2">
      <c r="A31" s="1">
        <v>26</v>
      </c>
      <c r="B31" s="49" t="s">
        <v>120</v>
      </c>
      <c r="C31" s="305">
        <v>31</v>
      </c>
      <c r="D31" s="305">
        <v>31</v>
      </c>
      <c r="E31" s="305"/>
      <c r="F31" s="305"/>
      <c r="G31" s="305"/>
      <c r="H31" s="305"/>
      <c r="I31" s="305"/>
      <c r="J31" s="154"/>
      <c r="K31" s="305"/>
      <c r="L31" s="306">
        <v>31</v>
      </c>
      <c r="M31" s="304">
        <f t="shared" ref="M31" si="15">IF(D31=0,"-",(J31/D31))</f>
        <v>0</v>
      </c>
      <c r="N31" s="304">
        <f t="shared" ref="N31" si="16">IF(D31=0,"-",(K31/D31))</f>
        <v>0</v>
      </c>
      <c r="O31" s="304">
        <f t="shared" ref="O31" si="17">IF(D31=0,"-",(L31/D31))</f>
        <v>1</v>
      </c>
      <c r="P31" s="304">
        <f t="shared" ref="P31" si="18">IF(D31=0,"-",(N31+O31))</f>
        <v>1</v>
      </c>
      <c r="Q31" s="76"/>
    </row>
    <row r="32" spans="1:20" s="2" customFormat="1" ht="19.5" hidden="1" customHeight="1" x14ac:dyDescent="0.2">
      <c r="A32" s="1">
        <v>27</v>
      </c>
      <c r="B32" s="49" t="s">
        <v>121</v>
      </c>
      <c r="C32" s="51"/>
      <c r="D32" s="51"/>
      <c r="E32" s="51"/>
      <c r="F32" s="51"/>
      <c r="G32" s="51"/>
      <c r="H32" s="51"/>
      <c r="I32" s="51"/>
      <c r="J32" s="51"/>
      <c r="K32" s="52"/>
      <c r="L32" s="53"/>
      <c r="M32" s="54"/>
      <c r="N32" s="133"/>
      <c r="O32" s="54"/>
      <c r="P32" s="54"/>
      <c r="Q32" s="121"/>
    </row>
    <row r="33" spans="1:17" hidden="1" x14ac:dyDescent="0.2">
      <c r="A33" s="1">
        <v>28</v>
      </c>
      <c r="B33" s="49" t="s">
        <v>122</v>
      </c>
      <c r="C33" s="51"/>
      <c r="D33" s="51"/>
      <c r="E33" s="51"/>
      <c r="F33" s="51"/>
      <c r="G33" s="51"/>
      <c r="H33" s="51"/>
      <c r="I33" s="51"/>
      <c r="J33" s="51"/>
      <c r="K33" s="52"/>
      <c r="L33" s="53"/>
      <c r="M33" s="54"/>
      <c r="N33" s="133"/>
      <c r="O33" s="54"/>
      <c r="P33" s="54"/>
      <c r="Q33" s="120"/>
    </row>
    <row r="34" spans="1:17" hidden="1" x14ac:dyDescent="0.2">
      <c r="A34" s="1">
        <v>29</v>
      </c>
      <c r="B34" s="49" t="s">
        <v>123</v>
      </c>
      <c r="C34" s="51"/>
      <c r="D34" s="51"/>
      <c r="E34" s="51"/>
      <c r="F34" s="51"/>
      <c r="G34" s="51"/>
      <c r="H34" s="51"/>
      <c r="I34" s="51"/>
      <c r="J34" s="51"/>
      <c r="K34" s="52"/>
      <c r="L34" s="53"/>
      <c r="M34" s="54"/>
      <c r="N34" s="133"/>
      <c r="O34" s="54"/>
      <c r="P34" s="54"/>
      <c r="Q34" s="120"/>
    </row>
    <row r="35" spans="1:17" hidden="1" x14ac:dyDescent="0.2">
      <c r="A35" s="1">
        <v>30</v>
      </c>
      <c r="B35" s="49" t="s">
        <v>124</v>
      </c>
      <c r="C35" s="51"/>
      <c r="D35" s="51"/>
      <c r="E35" s="51"/>
      <c r="F35" s="51"/>
      <c r="G35" s="51"/>
      <c r="H35" s="51"/>
      <c r="I35" s="51"/>
      <c r="J35" s="51"/>
      <c r="K35" s="52"/>
      <c r="L35" s="53"/>
      <c r="M35" s="54"/>
      <c r="N35" s="133"/>
      <c r="O35" s="54"/>
      <c r="P35" s="54"/>
      <c r="Q35" s="120"/>
    </row>
    <row r="36" spans="1:17" hidden="1" x14ac:dyDescent="0.2">
      <c r="A36" s="1">
        <v>31</v>
      </c>
      <c r="B36" s="49" t="s">
        <v>125</v>
      </c>
      <c r="C36" s="51"/>
      <c r="D36" s="51"/>
      <c r="E36" s="51"/>
      <c r="F36" s="51"/>
      <c r="G36" s="51"/>
      <c r="H36" s="51"/>
      <c r="I36" s="51"/>
      <c r="J36" s="51"/>
      <c r="K36" s="52"/>
      <c r="L36" s="53"/>
      <c r="M36" s="54"/>
      <c r="N36" s="133"/>
      <c r="O36" s="54"/>
      <c r="P36" s="54"/>
      <c r="Q36" s="121"/>
    </row>
    <row r="37" spans="1:17" hidden="1" x14ac:dyDescent="0.2">
      <c r="A37" s="1">
        <v>32</v>
      </c>
      <c r="B37" s="49" t="s">
        <v>126</v>
      </c>
      <c r="C37" s="51"/>
      <c r="D37" s="51"/>
      <c r="E37" s="51"/>
      <c r="F37" s="51"/>
      <c r="G37" s="51"/>
      <c r="H37" s="51"/>
      <c r="I37" s="51"/>
      <c r="J37" s="51"/>
      <c r="K37" s="52"/>
      <c r="L37" s="53"/>
      <c r="M37" s="54"/>
      <c r="N37" s="133"/>
      <c r="O37" s="54"/>
      <c r="P37" s="54"/>
      <c r="Q37" s="120"/>
    </row>
    <row r="38" spans="1:17" hidden="1" x14ac:dyDescent="0.2">
      <c r="A38" s="1">
        <v>33</v>
      </c>
      <c r="B38" s="49" t="s">
        <v>127</v>
      </c>
      <c r="C38" s="51"/>
      <c r="D38" s="51"/>
      <c r="E38" s="51"/>
      <c r="F38" s="51"/>
      <c r="G38" s="51"/>
      <c r="H38" s="51"/>
      <c r="I38" s="51"/>
      <c r="J38" s="51"/>
      <c r="K38" s="52"/>
      <c r="L38" s="53"/>
      <c r="M38" s="54"/>
      <c r="N38" s="133"/>
      <c r="O38" s="54"/>
      <c r="P38" s="54"/>
      <c r="Q38" s="120"/>
    </row>
    <row r="39" spans="1:17" ht="30" hidden="1" x14ac:dyDescent="0.2">
      <c r="A39" s="1">
        <v>34</v>
      </c>
      <c r="B39" s="49" t="s">
        <v>283</v>
      </c>
      <c r="C39" s="51"/>
      <c r="D39" s="51"/>
      <c r="E39" s="51"/>
      <c r="F39" s="51"/>
      <c r="G39" s="51"/>
      <c r="H39" s="51"/>
      <c r="I39" s="51"/>
      <c r="J39" s="51"/>
      <c r="K39" s="52"/>
      <c r="L39" s="53"/>
      <c r="M39" s="54"/>
      <c r="N39" s="133"/>
      <c r="O39" s="54"/>
      <c r="P39" s="54"/>
      <c r="Q39" s="76"/>
    </row>
    <row r="40" spans="1:17" ht="15.75" hidden="1" x14ac:dyDescent="0.25">
      <c r="A40" s="1">
        <v>35</v>
      </c>
      <c r="B40" s="49" t="s">
        <v>128</v>
      </c>
      <c r="C40" s="51"/>
      <c r="D40" s="51"/>
      <c r="E40" s="51"/>
      <c r="F40" s="51"/>
      <c r="G40" s="51"/>
      <c r="H40" s="51"/>
      <c r="I40" s="51"/>
      <c r="J40" s="51"/>
      <c r="K40" s="52"/>
      <c r="L40" s="53"/>
      <c r="M40" s="54"/>
      <c r="N40" s="133"/>
      <c r="O40" s="54"/>
      <c r="P40" s="54"/>
      <c r="Q40" s="122"/>
    </row>
    <row r="41" spans="1:17" hidden="1" x14ac:dyDescent="0.2">
      <c r="A41" s="1">
        <v>36</v>
      </c>
      <c r="B41" s="49" t="s">
        <v>129</v>
      </c>
      <c r="C41" s="51"/>
      <c r="D41" s="51"/>
      <c r="E41" s="51"/>
      <c r="F41" s="51"/>
      <c r="G41" s="51"/>
      <c r="H41" s="51"/>
      <c r="I41" s="51"/>
      <c r="J41" s="51"/>
      <c r="K41" s="52"/>
      <c r="L41" s="53"/>
      <c r="M41" s="54"/>
      <c r="N41" s="133"/>
      <c r="O41" s="54"/>
      <c r="P41" s="54"/>
      <c r="Q41" s="120"/>
    </row>
    <row r="42" spans="1:17" hidden="1" x14ac:dyDescent="0.2">
      <c r="A42" s="1">
        <v>37</v>
      </c>
      <c r="B42" s="49" t="s">
        <v>130</v>
      </c>
      <c r="C42" s="51"/>
      <c r="D42" s="51"/>
      <c r="E42" s="51"/>
      <c r="F42" s="51"/>
      <c r="G42" s="51"/>
      <c r="H42" s="51"/>
      <c r="I42" s="51"/>
      <c r="J42" s="51"/>
      <c r="K42" s="52"/>
      <c r="L42" s="53"/>
      <c r="M42" s="54"/>
      <c r="N42" s="133"/>
      <c r="O42" s="54"/>
      <c r="P42" s="54"/>
      <c r="Q42" s="120"/>
    </row>
    <row r="43" spans="1:17" ht="19.5" hidden="1" customHeight="1" x14ac:dyDescent="0.2">
      <c r="A43" s="1">
        <v>38</v>
      </c>
      <c r="B43" s="49" t="s">
        <v>131</v>
      </c>
      <c r="C43" s="51"/>
      <c r="D43" s="51"/>
      <c r="E43" s="51"/>
      <c r="F43" s="51"/>
      <c r="G43" s="51"/>
      <c r="H43" s="51"/>
      <c r="I43" s="51"/>
      <c r="J43" s="51"/>
      <c r="K43" s="52"/>
      <c r="L43" s="53"/>
      <c r="M43" s="54"/>
      <c r="N43" s="133"/>
      <c r="O43" s="54"/>
      <c r="P43" s="54"/>
      <c r="Q43" s="121"/>
    </row>
    <row r="44" spans="1:17" ht="49.5" hidden="1" customHeight="1" x14ac:dyDescent="0.2">
      <c r="A44" s="1">
        <v>39</v>
      </c>
      <c r="B44" s="49" t="s">
        <v>132</v>
      </c>
      <c r="C44" s="51"/>
      <c r="D44" s="51"/>
      <c r="E44" s="51"/>
      <c r="F44" s="51"/>
      <c r="G44" s="51"/>
      <c r="H44" s="51"/>
      <c r="I44" s="51"/>
      <c r="J44" s="51"/>
      <c r="K44" s="52"/>
      <c r="L44" s="53"/>
      <c r="M44" s="54"/>
      <c r="N44" s="133"/>
      <c r="O44" s="54"/>
      <c r="P44" s="54"/>
      <c r="Q44" s="76"/>
    </row>
    <row r="45" spans="1:17" ht="28.5" hidden="1" customHeight="1" x14ac:dyDescent="0.2">
      <c r="A45" s="1">
        <v>40</v>
      </c>
      <c r="B45" s="49" t="s">
        <v>133</v>
      </c>
      <c r="C45" s="51"/>
      <c r="D45" s="51"/>
      <c r="E45" s="51"/>
      <c r="F45" s="51"/>
      <c r="G45" s="51"/>
      <c r="H45" s="51"/>
      <c r="I45" s="51"/>
      <c r="J45" s="51"/>
      <c r="K45" s="52"/>
      <c r="L45" s="53"/>
      <c r="M45" s="54"/>
      <c r="N45" s="133"/>
      <c r="O45" s="54"/>
      <c r="P45" s="54"/>
      <c r="Q45" s="97"/>
    </row>
    <row r="46" spans="1:17" s="2" customFormat="1" ht="48" hidden="1" customHeight="1" x14ac:dyDescent="0.25">
      <c r="A46" s="1">
        <v>41</v>
      </c>
      <c r="B46" s="49" t="s">
        <v>134</v>
      </c>
      <c r="C46" s="51"/>
      <c r="D46" s="51"/>
      <c r="E46" s="51"/>
      <c r="F46" s="51"/>
      <c r="G46" s="51"/>
      <c r="H46" s="51"/>
      <c r="I46" s="51"/>
      <c r="J46" s="51"/>
      <c r="K46" s="52"/>
      <c r="L46" s="53"/>
      <c r="M46" s="54"/>
      <c r="N46" s="133"/>
      <c r="O46" s="54"/>
      <c r="P46" s="54"/>
      <c r="Q46" s="65"/>
    </row>
    <row r="47" spans="1:17" hidden="1" x14ac:dyDescent="0.2">
      <c r="A47" s="1">
        <v>42</v>
      </c>
      <c r="B47" s="49" t="s">
        <v>135</v>
      </c>
      <c r="C47" s="208"/>
      <c r="D47" s="208"/>
      <c r="E47" s="51"/>
      <c r="F47" s="51"/>
      <c r="G47" s="51"/>
      <c r="H47" s="51"/>
      <c r="I47" s="51"/>
      <c r="J47" s="51"/>
      <c r="K47" s="52"/>
      <c r="L47" s="53"/>
      <c r="M47" s="54"/>
      <c r="N47" s="133"/>
      <c r="O47" s="54"/>
      <c r="P47" s="54"/>
      <c r="Q47" s="97"/>
    </row>
    <row r="48" spans="1:17" ht="24" hidden="1" customHeight="1" x14ac:dyDescent="0.2">
      <c r="A48" s="1">
        <v>43</v>
      </c>
      <c r="B48" s="49" t="s">
        <v>136</v>
      </c>
      <c r="C48" s="51"/>
      <c r="D48" s="51"/>
      <c r="E48" s="51"/>
      <c r="F48" s="51"/>
      <c r="G48" s="51"/>
      <c r="H48" s="51"/>
      <c r="I48" s="51"/>
      <c r="J48" s="51"/>
      <c r="K48" s="52"/>
      <c r="L48" s="53"/>
      <c r="M48" s="54"/>
      <c r="N48" s="133"/>
      <c r="O48" s="54"/>
      <c r="P48" s="54"/>
      <c r="Q48" s="120"/>
    </row>
    <row r="49" spans="1:20" hidden="1" x14ac:dyDescent="0.2">
      <c r="A49" s="1">
        <v>44</v>
      </c>
      <c r="B49" s="49" t="s">
        <v>137</v>
      </c>
      <c r="C49" s="51"/>
      <c r="D49" s="51"/>
      <c r="E49" s="51"/>
      <c r="F49" s="51"/>
      <c r="G49" s="51"/>
      <c r="H49" s="51"/>
      <c r="I49" s="51"/>
      <c r="J49" s="51"/>
      <c r="K49" s="52"/>
      <c r="L49" s="53"/>
      <c r="M49" s="54"/>
      <c r="N49" s="133"/>
      <c r="O49" s="54"/>
      <c r="P49" s="54"/>
      <c r="Q49" s="76"/>
    </row>
    <row r="50" spans="1:20" ht="24" hidden="1" customHeight="1" x14ac:dyDescent="0.2">
      <c r="A50" s="1">
        <v>45</v>
      </c>
      <c r="B50" s="49" t="s">
        <v>138</v>
      </c>
      <c r="C50" s="51"/>
      <c r="D50" s="51"/>
      <c r="E50" s="51"/>
      <c r="F50" s="51"/>
      <c r="G50" s="51"/>
      <c r="H50" s="51"/>
      <c r="I50" s="51"/>
      <c r="J50" s="51"/>
      <c r="K50" s="52"/>
      <c r="L50" s="53"/>
      <c r="M50" s="54"/>
      <c r="N50" s="133"/>
      <c r="O50" s="54"/>
      <c r="P50" s="54"/>
      <c r="Q50" s="120"/>
    </row>
    <row r="51" spans="1:20" ht="19.5" hidden="1" customHeight="1" x14ac:dyDescent="0.2">
      <c r="A51" s="1">
        <v>46</v>
      </c>
      <c r="B51" s="49" t="s">
        <v>139</v>
      </c>
      <c r="C51" s="209"/>
      <c r="D51" s="209"/>
      <c r="E51" s="51"/>
      <c r="F51" s="51"/>
      <c r="G51" s="51"/>
      <c r="H51" s="51"/>
      <c r="I51" s="51"/>
      <c r="J51" s="51"/>
      <c r="K51" s="52"/>
      <c r="L51" s="53"/>
      <c r="M51" s="54"/>
      <c r="N51" s="133"/>
      <c r="O51" s="54"/>
      <c r="P51" s="54"/>
      <c r="Q51" s="120"/>
    </row>
    <row r="52" spans="1:20" s="2" customFormat="1" hidden="1" x14ac:dyDescent="0.25">
      <c r="A52" s="1">
        <v>47</v>
      </c>
      <c r="B52" s="49" t="s">
        <v>398</v>
      </c>
      <c r="C52" s="51"/>
      <c r="D52" s="51"/>
      <c r="E52" s="51"/>
      <c r="F52" s="51"/>
      <c r="G52" s="51"/>
      <c r="H52" s="51"/>
      <c r="I52" s="51"/>
      <c r="J52" s="51"/>
      <c r="K52" s="52"/>
      <c r="L52" s="53"/>
      <c r="M52" s="54"/>
      <c r="N52" s="133"/>
      <c r="O52" s="54"/>
      <c r="P52" s="54"/>
      <c r="Q52" s="97"/>
    </row>
    <row r="53" spans="1:20" ht="30" hidden="1" x14ac:dyDescent="0.2">
      <c r="A53" s="1">
        <v>48</v>
      </c>
      <c r="B53" s="49" t="s">
        <v>140</v>
      </c>
      <c r="C53" s="51"/>
      <c r="D53" s="51"/>
      <c r="E53" s="51"/>
      <c r="F53" s="51"/>
      <c r="G53" s="51"/>
      <c r="H53" s="51"/>
      <c r="I53" s="51"/>
      <c r="J53" s="51"/>
      <c r="K53" s="52"/>
      <c r="L53" s="53"/>
      <c r="M53" s="54"/>
      <c r="N53" s="133"/>
      <c r="O53" s="54"/>
      <c r="P53" s="54"/>
      <c r="Q53" s="76"/>
    </row>
    <row r="54" spans="1:20" s="2" customFormat="1" ht="30" hidden="1" x14ac:dyDescent="0.25">
      <c r="A54" s="1">
        <v>49</v>
      </c>
      <c r="B54" s="49" t="s">
        <v>141</v>
      </c>
      <c r="C54" s="51"/>
      <c r="D54" s="51"/>
      <c r="E54" s="51"/>
      <c r="F54" s="51"/>
      <c r="G54" s="51"/>
      <c r="H54" s="51"/>
      <c r="I54" s="51"/>
      <c r="J54" s="51"/>
      <c r="K54" s="52"/>
      <c r="L54" s="53"/>
      <c r="M54" s="54"/>
      <c r="N54" s="133"/>
      <c r="O54" s="54"/>
      <c r="P54" s="54"/>
      <c r="Q54" s="96"/>
    </row>
    <row r="55" spans="1:20" ht="15.75" hidden="1" x14ac:dyDescent="0.2">
      <c r="A55" s="1">
        <v>50</v>
      </c>
      <c r="B55" s="49" t="s">
        <v>142</v>
      </c>
      <c r="C55" s="51"/>
      <c r="D55" s="51"/>
      <c r="E55" s="51"/>
      <c r="F55" s="51"/>
      <c r="G55" s="51"/>
      <c r="H55" s="51"/>
      <c r="I55" s="51"/>
      <c r="J55" s="51"/>
      <c r="K55" s="52"/>
      <c r="L55" s="53"/>
      <c r="M55" s="54"/>
      <c r="N55" s="133"/>
      <c r="O55" s="54"/>
      <c r="P55" s="54"/>
      <c r="Q55" s="77"/>
    </row>
    <row r="56" spans="1:20" ht="15.75" hidden="1" x14ac:dyDescent="0.25">
      <c r="A56" s="1">
        <v>51</v>
      </c>
      <c r="B56" s="49" t="s">
        <v>143</v>
      </c>
      <c r="C56" s="51"/>
      <c r="D56" s="51"/>
      <c r="E56" s="51"/>
      <c r="F56" s="51"/>
      <c r="G56" s="51"/>
      <c r="H56" s="51"/>
      <c r="I56" s="51"/>
      <c r="J56" s="51"/>
      <c r="K56" s="52"/>
      <c r="L56" s="53"/>
      <c r="M56" s="54"/>
      <c r="N56" s="133"/>
      <c r="O56" s="54"/>
      <c r="P56" s="54"/>
      <c r="Q56" s="122"/>
    </row>
    <row r="57" spans="1:20" ht="44.25" hidden="1" customHeight="1" x14ac:dyDescent="0.2">
      <c r="A57" s="1">
        <v>52</v>
      </c>
      <c r="B57" s="49" t="s">
        <v>144</v>
      </c>
      <c r="C57" s="51"/>
      <c r="D57" s="51"/>
      <c r="E57" s="51"/>
      <c r="F57" s="51"/>
      <c r="G57" s="51"/>
      <c r="H57" s="51"/>
      <c r="I57" s="51"/>
      <c r="J57" s="51"/>
      <c r="K57" s="52"/>
      <c r="L57" s="53"/>
      <c r="M57" s="54"/>
      <c r="N57" s="133"/>
      <c r="O57" s="54"/>
      <c r="P57" s="54"/>
      <c r="Q57" s="97"/>
      <c r="T57" s="5" t="s">
        <v>282</v>
      </c>
    </row>
    <row r="58" spans="1:20" hidden="1" x14ac:dyDescent="0.2">
      <c r="A58" s="1">
        <v>53</v>
      </c>
      <c r="B58" s="80" t="s">
        <v>145</v>
      </c>
      <c r="C58" s="51"/>
      <c r="D58" s="51"/>
      <c r="E58" s="51"/>
      <c r="F58" s="51"/>
      <c r="G58" s="51"/>
      <c r="H58" s="51"/>
      <c r="I58" s="51"/>
      <c r="J58" s="51"/>
      <c r="K58" s="52"/>
      <c r="L58" s="53"/>
      <c r="M58" s="54"/>
      <c r="N58" s="133"/>
      <c r="O58" s="54"/>
      <c r="P58" s="54"/>
      <c r="Q58" s="120"/>
    </row>
    <row r="59" spans="1:20" ht="35.25" hidden="1" customHeight="1" x14ac:dyDescent="0.2">
      <c r="A59" s="1">
        <v>54</v>
      </c>
      <c r="B59" s="49" t="s">
        <v>146</v>
      </c>
      <c r="C59" s="51"/>
      <c r="D59" s="51"/>
      <c r="E59" s="51"/>
      <c r="F59" s="51"/>
      <c r="G59" s="51"/>
      <c r="H59" s="51"/>
      <c r="I59" s="51"/>
      <c r="J59" s="51"/>
      <c r="K59" s="52"/>
      <c r="L59" s="53"/>
      <c r="M59" s="54"/>
      <c r="N59" s="133"/>
      <c r="O59" s="54"/>
      <c r="P59" s="54"/>
      <c r="Q59" s="76"/>
      <c r="T59" s="5" t="s">
        <v>282</v>
      </c>
    </row>
    <row r="60" spans="1:20" s="15" customFormat="1" hidden="1" x14ac:dyDescent="0.2">
      <c r="A60" s="1">
        <v>55</v>
      </c>
      <c r="B60" s="49" t="s">
        <v>147</v>
      </c>
      <c r="C60" s="305"/>
      <c r="D60" s="305"/>
      <c r="E60" s="305"/>
      <c r="F60" s="305"/>
      <c r="G60" s="305"/>
      <c r="H60" s="305"/>
      <c r="I60" s="305"/>
      <c r="J60" s="154"/>
      <c r="K60" s="305"/>
      <c r="L60" s="306"/>
      <c r="M60" s="304"/>
      <c r="N60" s="304"/>
      <c r="O60" s="304"/>
      <c r="P60" s="304"/>
      <c r="Q60" s="120"/>
    </row>
    <row r="61" spans="1:20" hidden="1" x14ac:dyDescent="0.2">
      <c r="A61" s="1">
        <v>56</v>
      </c>
      <c r="B61" s="49" t="s">
        <v>148</v>
      </c>
      <c r="C61" s="51"/>
      <c r="D61" s="51"/>
      <c r="E61" s="51"/>
      <c r="F61" s="51"/>
      <c r="G61" s="51"/>
      <c r="H61" s="51"/>
      <c r="I61" s="51"/>
      <c r="J61" s="51"/>
      <c r="K61" s="52"/>
      <c r="L61" s="53"/>
      <c r="M61" s="54"/>
      <c r="N61" s="133"/>
      <c r="O61" s="54"/>
      <c r="P61" s="54"/>
      <c r="Q61" s="160"/>
    </row>
    <row r="62" spans="1:20" s="2" customFormat="1" ht="21" customHeight="1" x14ac:dyDescent="0.2">
      <c r="A62" s="1">
        <v>57</v>
      </c>
      <c r="B62" s="88" t="s">
        <v>149</v>
      </c>
      <c r="C62" s="305">
        <v>0</v>
      </c>
      <c r="D62" s="305">
        <v>2</v>
      </c>
      <c r="E62" s="305"/>
      <c r="F62" s="305"/>
      <c r="G62" s="305"/>
      <c r="H62" s="305"/>
      <c r="I62" s="305"/>
      <c r="J62" s="154"/>
      <c r="K62" s="305"/>
      <c r="L62" s="306">
        <v>2</v>
      </c>
      <c r="M62" s="304">
        <f t="shared" ref="M62" si="19">IF(D62=0,"-",(J62/D62))</f>
        <v>0</v>
      </c>
      <c r="N62" s="304">
        <f t="shared" ref="N62" si="20">IF(D62=0,"-",(K62/D62))</f>
        <v>0</v>
      </c>
      <c r="O62" s="304">
        <f t="shared" ref="O62" si="21">IF(D62=0,"-",(L62/D62))</f>
        <v>1</v>
      </c>
      <c r="P62" s="304">
        <f t="shared" ref="P62" si="22">IF(D62=0,"-",(N62+O62))</f>
        <v>1</v>
      </c>
      <c r="Q62" s="120"/>
    </row>
    <row r="63" spans="1:20" s="2" customFormat="1" ht="15.75" hidden="1" x14ac:dyDescent="0.25">
      <c r="A63" s="1">
        <v>58</v>
      </c>
      <c r="B63" s="49" t="s">
        <v>377</v>
      </c>
      <c r="C63" s="51"/>
      <c r="D63" s="51"/>
      <c r="E63" s="51"/>
      <c r="F63" s="51"/>
      <c r="G63" s="51"/>
      <c r="H63" s="51"/>
      <c r="I63" s="51"/>
      <c r="J63" s="51"/>
      <c r="K63" s="52"/>
      <c r="L63" s="53"/>
      <c r="M63" s="54"/>
      <c r="N63" s="133"/>
      <c r="O63" s="54"/>
      <c r="P63" s="54"/>
      <c r="Q63" s="78"/>
    </row>
    <row r="64" spans="1:20" s="2" customFormat="1" hidden="1" x14ac:dyDescent="0.25">
      <c r="A64" s="1">
        <v>59</v>
      </c>
      <c r="B64" s="49" t="s">
        <v>375</v>
      </c>
      <c r="C64" s="51"/>
      <c r="D64" s="51"/>
      <c r="E64" s="51"/>
      <c r="F64" s="51"/>
      <c r="G64" s="51"/>
      <c r="H64" s="51"/>
      <c r="I64" s="51"/>
      <c r="J64" s="51"/>
      <c r="K64" s="52"/>
      <c r="L64" s="53"/>
      <c r="M64" s="54"/>
      <c r="N64" s="133"/>
      <c r="O64" s="54"/>
      <c r="P64" s="54"/>
      <c r="Q64" s="97"/>
    </row>
    <row r="65" spans="1:17" s="2" customFormat="1" ht="15.75" hidden="1" x14ac:dyDescent="0.25">
      <c r="A65" s="1">
        <v>60</v>
      </c>
      <c r="B65" s="49" t="s">
        <v>376</v>
      </c>
      <c r="C65" s="51"/>
      <c r="D65" s="51"/>
      <c r="E65" s="51"/>
      <c r="F65" s="51"/>
      <c r="G65" s="51"/>
      <c r="H65" s="51"/>
      <c r="I65" s="51"/>
      <c r="J65" s="51"/>
      <c r="K65" s="52"/>
      <c r="L65" s="53"/>
      <c r="M65" s="54"/>
      <c r="N65" s="133"/>
      <c r="O65" s="54"/>
      <c r="P65" s="54"/>
      <c r="Q65" s="48"/>
    </row>
    <row r="66" spans="1:17" s="2" customFormat="1" ht="33" hidden="1" customHeight="1" x14ac:dyDescent="0.25">
      <c r="A66" s="1">
        <v>61</v>
      </c>
      <c r="B66" s="88" t="s">
        <v>389</v>
      </c>
      <c r="C66" s="51"/>
      <c r="D66" s="51"/>
      <c r="E66" s="51"/>
      <c r="F66" s="51"/>
      <c r="G66" s="51"/>
      <c r="H66" s="51"/>
      <c r="I66" s="51"/>
      <c r="J66" s="51"/>
      <c r="K66" s="68"/>
      <c r="L66" s="53"/>
      <c r="M66" s="54"/>
      <c r="N66" s="133"/>
      <c r="O66" s="54"/>
      <c r="P66" s="54"/>
      <c r="Q66" s="87"/>
    </row>
    <row r="67" spans="1:17" s="2" customFormat="1" ht="24" hidden="1" customHeight="1" x14ac:dyDescent="0.25">
      <c r="A67" s="1">
        <v>62</v>
      </c>
      <c r="B67" s="88" t="s">
        <v>395</v>
      </c>
      <c r="C67" s="51"/>
      <c r="D67" s="51"/>
      <c r="E67" s="51"/>
      <c r="F67" s="51"/>
      <c r="G67" s="51"/>
      <c r="H67" s="51"/>
      <c r="I67" s="51"/>
      <c r="J67" s="51"/>
      <c r="K67" s="68"/>
      <c r="L67" s="53"/>
      <c r="M67" s="54"/>
      <c r="N67" s="133"/>
      <c r="O67" s="54"/>
      <c r="P67" s="54"/>
      <c r="Q67" s="76"/>
    </row>
    <row r="68" spans="1:17" s="2" customFormat="1" ht="24" hidden="1" customHeight="1" x14ac:dyDescent="0.25">
      <c r="A68" s="1">
        <v>63</v>
      </c>
      <c r="B68" s="88" t="s">
        <v>396</v>
      </c>
      <c r="C68" s="51"/>
      <c r="D68" s="51"/>
      <c r="E68" s="51"/>
      <c r="F68" s="51"/>
      <c r="G68" s="51"/>
      <c r="H68" s="51"/>
      <c r="I68" s="51"/>
      <c r="J68" s="51"/>
      <c r="K68" s="68"/>
      <c r="L68" s="53"/>
      <c r="M68" s="54"/>
      <c r="N68" s="133"/>
      <c r="O68" s="54"/>
      <c r="P68" s="54"/>
      <c r="Q68" s="76"/>
    </row>
    <row r="69" spans="1:17" s="2" customFormat="1" ht="24" hidden="1" customHeight="1" x14ac:dyDescent="0.25">
      <c r="A69" s="1">
        <v>64</v>
      </c>
      <c r="B69" s="105" t="s">
        <v>397</v>
      </c>
      <c r="C69" s="51"/>
      <c r="D69" s="51"/>
      <c r="E69" s="51"/>
      <c r="F69" s="51"/>
      <c r="G69" s="51"/>
      <c r="H69" s="51"/>
      <c r="I69" s="51"/>
      <c r="J69" s="51"/>
      <c r="K69" s="68"/>
      <c r="L69" s="53"/>
      <c r="M69" s="54"/>
      <c r="N69" s="133"/>
      <c r="O69" s="54"/>
      <c r="P69" s="54"/>
      <c r="Q69" s="97"/>
    </row>
    <row r="70" spans="1:17" s="2" customFormat="1" ht="24" hidden="1" customHeight="1" x14ac:dyDescent="0.25">
      <c r="A70" s="1">
        <v>65</v>
      </c>
      <c r="B70" s="88" t="s">
        <v>607</v>
      </c>
      <c r="C70" s="51"/>
      <c r="D70" s="51"/>
      <c r="E70" s="51"/>
      <c r="F70" s="51"/>
      <c r="G70" s="51"/>
      <c r="H70" s="51"/>
      <c r="I70" s="51"/>
      <c r="J70" s="51"/>
      <c r="K70" s="68"/>
      <c r="L70" s="53"/>
      <c r="M70" s="54"/>
      <c r="N70" s="133"/>
      <c r="O70" s="54"/>
      <c r="P70" s="54"/>
      <c r="Q70" s="265"/>
    </row>
    <row r="71" spans="1:17" s="2" customFormat="1" ht="24" hidden="1" customHeight="1" x14ac:dyDescent="0.25">
      <c r="A71" s="1">
        <v>66</v>
      </c>
      <c r="B71" s="88" t="s">
        <v>675</v>
      </c>
      <c r="C71" s="51"/>
      <c r="D71" s="51"/>
      <c r="E71" s="51"/>
      <c r="F71" s="51"/>
      <c r="G71" s="51"/>
      <c r="H71" s="51"/>
      <c r="I71" s="51"/>
      <c r="J71" s="51"/>
      <c r="K71" s="68"/>
      <c r="L71" s="53"/>
      <c r="M71" s="54"/>
      <c r="N71" s="133"/>
      <c r="O71" s="54"/>
      <c r="P71" s="54"/>
      <c r="Q71" s="76"/>
    </row>
    <row r="72" spans="1:17" s="2" customFormat="1" ht="24" hidden="1" customHeight="1" x14ac:dyDescent="0.25">
      <c r="A72" s="1">
        <v>67</v>
      </c>
      <c r="B72" s="88" t="s">
        <v>931</v>
      </c>
      <c r="C72" s="51"/>
      <c r="D72" s="51"/>
      <c r="E72" s="51"/>
      <c r="F72" s="51"/>
      <c r="G72" s="51"/>
      <c r="H72" s="51"/>
      <c r="I72" s="51"/>
      <c r="J72" s="51"/>
      <c r="K72" s="68"/>
      <c r="L72" s="53"/>
      <c r="M72" s="54"/>
      <c r="N72" s="133"/>
      <c r="O72" s="54"/>
      <c r="P72" s="54"/>
      <c r="Q72" s="265"/>
    </row>
    <row r="73" spans="1:17" s="307" customFormat="1" x14ac:dyDescent="0.2">
      <c r="A73" s="108">
        <v>52</v>
      </c>
      <c r="B73" s="193" t="s">
        <v>1073</v>
      </c>
      <c r="C73" s="305">
        <v>3</v>
      </c>
      <c r="D73" s="305">
        <v>1</v>
      </c>
      <c r="E73" s="305"/>
      <c r="F73" s="305"/>
      <c r="G73" s="305"/>
      <c r="H73" s="305"/>
      <c r="I73" s="305"/>
      <c r="J73" s="154"/>
      <c r="K73" s="305"/>
      <c r="L73" s="306">
        <v>1</v>
      </c>
      <c r="M73" s="304">
        <f t="shared" ref="M73" si="23">IF(D73=0,"-",(J73/D73))</f>
        <v>0</v>
      </c>
      <c r="N73" s="304">
        <f t="shared" ref="N73" si="24">IF(D73=0,"-",(K73/D73))</f>
        <v>0</v>
      </c>
      <c r="O73" s="304">
        <f t="shared" ref="O73" si="25">IF(D73=0,"-",(L73/D73))</f>
        <v>1</v>
      </c>
      <c r="P73" s="304">
        <f t="shared" ref="P73" si="26">IF(D73=0,"-",(N73+O73))</f>
        <v>1</v>
      </c>
      <c r="Q73" s="120"/>
    </row>
    <row r="74" spans="1:17" s="135" customFormat="1" ht="20.25" customHeight="1" x14ac:dyDescent="0.25">
      <c r="A74" s="123"/>
      <c r="B74" s="162" t="s">
        <v>289</v>
      </c>
      <c r="C74" s="134">
        <f>SUBTOTAL(9,C11:C73)</f>
        <v>611</v>
      </c>
      <c r="D74" s="134">
        <f t="shared" ref="D74:L74" si="27">SUM(D6:D73)</f>
        <v>579</v>
      </c>
      <c r="E74" s="134">
        <f t="shared" si="27"/>
        <v>0</v>
      </c>
      <c r="F74" s="134">
        <f t="shared" si="27"/>
        <v>0</v>
      </c>
      <c r="G74" s="134">
        <f t="shared" si="27"/>
        <v>0</v>
      </c>
      <c r="H74" s="134">
        <f t="shared" si="27"/>
        <v>3</v>
      </c>
      <c r="I74" s="134">
        <f t="shared" si="27"/>
        <v>0</v>
      </c>
      <c r="J74" s="134">
        <f t="shared" si="27"/>
        <v>3</v>
      </c>
      <c r="K74" s="134">
        <f t="shared" si="27"/>
        <v>0</v>
      </c>
      <c r="L74" s="134">
        <f t="shared" si="27"/>
        <v>576</v>
      </c>
      <c r="M74" s="134"/>
      <c r="N74" s="134"/>
      <c r="O74" s="134"/>
      <c r="P74" s="134"/>
      <c r="Q74" s="123"/>
    </row>
    <row r="75" spans="1:17" hidden="1" x14ac:dyDescent="0.2">
      <c r="N75" s="5" t="s">
        <v>282</v>
      </c>
    </row>
    <row r="76" spans="1:17" hidden="1" x14ac:dyDescent="0.2">
      <c r="M76" s="5" t="s">
        <v>282</v>
      </c>
    </row>
  </sheetData>
  <protectedRanges>
    <protectedRange sqref="B58:B63" name="Range1_3_1"/>
    <protectedRange sqref="B64:B65" name="Range1_1_1_1"/>
    <protectedRange sqref="B66:B68" name="Range1_2_1_1"/>
    <protectedRange sqref="B70:B71" name="Range1_1"/>
    <protectedRange sqref="B72" name="Range1"/>
    <protectedRange sqref="B73" name="Range1_2"/>
  </protectedRanges>
  <autoFilter ref="A5:Q76" xr:uid="{00000000-0009-0000-0000-000004000000}">
    <filterColumn colId="3">
      <customFilters>
        <customFilter operator="notEqual" val=" "/>
      </customFilters>
    </filterColumn>
    <filterColumn colId="15">
      <filters blank="1">
        <filter val="100.00%"/>
        <filter val="98.14%"/>
      </filters>
    </filterColumn>
  </autoFilter>
  <mergeCells count="13">
    <mergeCell ref="A2:Q2"/>
    <mergeCell ref="K3:K4"/>
    <mergeCell ref="L3:L4"/>
    <mergeCell ref="O3:O4"/>
    <mergeCell ref="P3:P4"/>
    <mergeCell ref="Q3:Q4"/>
    <mergeCell ref="M3:M4"/>
    <mergeCell ref="N3:N4"/>
    <mergeCell ref="A3:A4"/>
    <mergeCell ref="B3:B4"/>
    <mergeCell ref="C3:D3"/>
    <mergeCell ref="E3:I3"/>
    <mergeCell ref="J3:J4"/>
  </mergeCells>
  <dataValidations xWindow="214" yWindow="556" count="3">
    <dataValidation type="whole" allowBlank="1" showInputMessage="1" showErrorMessage="1" sqref="Q30 C6:I23 C24:C25 D24:I27 C28:I73" xr:uid="{00000000-0002-0000-0400-000000000000}">
      <formula1>0</formula1>
      <formula2>50000</formula2>
    </dataValidation>
    <dataValidation allowBlank="1" showInputMessage="1" showErrorMessage="1" promptTitle="FORMULA USED" prompt="Don't Ammend Here" sqref="B6:B51" xr:uid="{00000000-0002-0000-0400-000001000000}"/>
    <dataValidation type="whole" allowBlank="1" showInputMessage="1" showErrorMessage="1" errorTitle="Value Between 0 to 200000" sqref="L6:L73" xr:uid="{00000000-0002-0000-0400-000002000000}">
      <formula1>0</formula1>
      <formula2>200000</formula2>
    </dataValidation>
  </dataValidations>
  <printOptions horizontalCentered="1"/>
  <pageMargins left="0.27559055118110237" right="0.23622047244094491" top="0.23622047244094491" bottom="0.15748031496062992" header="0.23622047244094491" footer="0.19685039370078741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147216"/>
  </sheetPr>
  <dimension ref="A1:R1048576"/>
  <sheetViews>
    <sheetView view="pageBreakPreview" zoomScaleNormal="85" zoomScaleSheetLayoutView="100" workbookViewId="0">
      <pane ySplit="4" topLeftCell="A5" activePane="bottomLeft" state="frozen"/>
      <selection pane="bottomLeft" activeCell="B74" sqref="B74"/>
    </sheetView>
  </sheetViews>
  <sheetFormatPr defaultRowHeight="15" x14ac:dyDescent="0.25"/>
  <cols>
    <col min="1" max="1" width="6.85546875" style="3" customWidth="1"/>
    <col min="2" max="2" width="41.140625" style="2" customWidth="1"/>
    <col min="3" max="4" width="10.42578125" style="3" bestFit="1" customWidth="1"/>
    <col min="5" max="5" width="6.5703125" style="3" customWidth="1"/>
    <col min="6" max="6" width="9.42578125" style="3" customWidth="1"/>
    <col min="7" max="7" width="5.28515625" style="3" customWidth="1"/>
    <col min="8" max="8" width="5.140625" style="3" customWidth="1"/>
    <col min="9" max="9" width="4.42578125" style="3" customWidth="1"/>
    <col min="10" max="10" width="6.140625" style="3" customWidth="1"/>
    <col min="11" max="12" width="9.140625" style="3" customWidth="1"/>
    <col min="13" max="13" width="9.85546875" style="2" customWidth="1"/>
    <col min="14" max="14" width="13.7109375" style="2" customWidth="1"/>
    <col min="15" max="17" width="13.28515625" style="2" customWidth="1"/>
    <col min="18" max="18" width="59.85546875" style="2" customWidth="1"/>
    <col min="19" max="16384" width="9.140625" style="2"/>
  </cols>
  <sheetData>
    <row r="1" spans="1:18" ht="49.5" customHeight="1" x14ac:dyDescent="0.25">
      <c r="Q1" s="57"/>
      <c r="R1" s="232" t="s">
        <v>690</v>
      </c>
    </row>
    <row r="2" spans="1:18" ht="15.75" x14ac:dyDescent="0.25">
      <c r="A2" s="386" t="s">
        <v>587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</row>
    <row r="3" spans="1:18" s="95" customFormat="1" ht="15.75" customHeight="1" x14ac:dyDescent="0.25">
      <c r="A3" s="361" t="s">
        <v>0</v>
      </c>
      <c r="B3" s="381" t="s">
        <v>14</v>
      </c>
      <c r="C3" s="361" t="s">
        <v>19</v>
      </c>
      <c r="D3" s="361"/>
      <c r="E3" s="361" t="s">
        <v>33</v>
      </c>
      <c r="F3" s="361"/>
      <c r="G3" s="361"/>
      <c r="H3" s="361"/>
      <c r="I3" s="361"/>
      <c r="J3" s="361"/>
      <c r="K3" s="381" t="s">
        <v>20</v>
      </c>
      <c r="L3" s="381" t="s">
        <v>34</v>
      </c>
      <c r="M3" s="381" t="s">
        <v>586</v>
      </c>
      <c r="N3" s="381" t="s">
        <v>23</v>
      </c>
      <c r="O3" s="381" t="s">
        <v>24</v>
      </c>
      <c r="P3" s="381" t="s">
        <v>25</v>
      </c>
      <c r="Q3" s="381" t="s">
        <v>26</v>
      </c>
      <c r="R3" s="381" t="s">
        <v>156</v>
      </c>
    </row>
    <row r="4" spans="1:18" s="95" customFormat="1" ht="31.5" x14ac:dyDescent="0.25">
      <c r="A4" s="361"/>
      <c r="B4" s="381"/>
      <c r="C4" s="240" t="s">
        <v>27</v>
      </c>
      <c r="D4" s="240" t="s">
        <v>28</v>
      </c>
      <c r="E4" s="162" t="s">
        <v>36</v>
      </c>
      <c r="F4" s="240" t="s">
        <v>585</v>
      </c>
      <c r="G4" s="162" t="s">
        <v>37</v>
      </c>
      <c r="H4" s="162" t="s">
        <v>39</v>
      </c>
      <c r="I4" s="162" t="s">
        <v>40</v>
      </c>
      <c r="J4" s="162" t="s">
        <v>30</v>
      </c>
      <c r="K4" s="381"/>
      <c r="L4" s="381"/>
      <c r="M4" s="361"/>
      <c r="N4" s="381"/>
      <c r="O4" s="381"/>
      <c r="P4" s="381"/>
      <c r="Q4" s="381"/>
      <c r="R4" s="361"/>
    </row>
    <row r="5" spans="1:18" s="3" customFormat="1" ht="27.75" customHeight="1" x14ac:dyDescent="0.25">
      <c r="A5" s="1" t="s">
        <v>1</v>
      </c>
      <c r="B5" s="59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31</v>
      </c>
      <c r="O5" s="1" t="s">
        <v>32</v>
      </c>
      <c r="P5" s="1" t="s">
        <v>41</v>
      </c>
      <c r="Q5" s="1" t="s">
        <v>42</v>
      </c>
      <c r="R5" s="1" t="s">
        <v>43</v>
      </c>
    </row>
    <row r="6" spans="1:18" s="95" customFormat="1" ht="15.75" hidden="1" x14ac:dyDescent="0.25">
      <c r="A6" s="60" t="s">
        <v>584</v>
      </c>
      <c r="B6" s="60"/>
      <c r="C6" s="383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5"/>
    </row>
    <row r="7" spans="1:18" ht="21.75" hidden="1" customHeight="1" x14ac:dyDescent="0.25">
      <c r="A7" s="1">
        <v>1</v>
      </c>
      <c r="B7" s="56" t="s">
        <v>583</v>
      </c>
      <c r="C7" s="1"/>
      <c r="D7" s="1"/>
      <c r="E7" s="50"/>
      <c r="F7" s="50"/>
      <c r="G7" s="50"/>
      <c r="H7" s="50"/>
      <c r="I7" s="50"/>
      <c r="J7" s="50"/>
      <c r="K7" s="51"/>
      <c r="L7" s="50"/>
      <c r="M7" s="53"/>
      <c r="N7" s="54"/>
      <c r="O7" s="54"/>
      <c r="P7" s="54"/>
      <c r="Q7" s="54"/>
      <c r="R7" s="55"/>
    </row>
    <row r="8" spans="1:18" ht="21.75" hidden="1" customHeight="1" x14ac:dyDescent="0.25">
      <c r="A8" s="1">
        <v>2</v>
      </c>
      <c r="B8" s="49" t="s">
        <v>582</v>
      </c>
      <c r="C8" s="1"/>
      <c r="D8" s="1"/>
      <c r="E8" s="50"/>
      <c r="F8" s="50"/>
      <c r="G8" s="50"/>
      <c r="H8" s="50"/>
      <c r="I8" s="50"/>
      <c r="J8" s="50"/>
      <c r="K8" s="51"/>
      <c r="L8" s="50"/>
      <c r="M8" s="53"/>
      <c r="N8" s="54"/>
      <c r="O8" s="54"/>
      <c r="P8" s="54"/>
      <c r="Q8" s="54"/>
      <c r="R8" s="55"/>
    </row>
    <row r="9" spans="1:18" ht="21.75" hidden="1" customHeight="1" x14ac:dyDescent="0.25">
      <c r="A9" s="1">
        <v>3</v>
      </c>
      <c r="B9" s="49" t="s">
        <v>581</v>
      </c>
      <c r="C9" s="1"/>
      <c r="D9" s="1"/>
      <c r="E9" s="50"/>
      <c r="F9" s="50"/>
      <c r="G9" s="50"/>
      <c r="H9" s="50"/>
      <c r="I9" s="50"/>
      <c r="J9" s="50"/>
      <c r="K9" s="51"/>
      <c r="L9" s="50"/>
      <c r="M9" s="53"/>
      <c r="N9" s="54"/>
      <c r="O9" s="54"/>
      <c r="P9" s="54"/>
      <c r="Q9" s="54"/>
      <c r="R9" s="55"/>
    </row>
    <row r="10" spans="1:18" ht="21.75" hidden="1" customHeight="1" x14ac:dyDescent="0.25">
      <c r="A10" s="1">
        <v>4</v>
      </c>
      <c r="B10" s="56" t="s">
        <v>580</v>
      </c>
      <c r="C10" s="1"/>
      <c r="D10" s="1"/>
      <c r="E10" s="50"/>
      <c r="F10" s="50"/>
      <c r="G10" s="50"/>
      <c r="H10" s="50"/>
      <c r="I10" s="50"/>
      <c r="J10" s="50"/>
      <c r="K10" s="51"/>
      <c r="L10" s="50"/>
      <c r="M10" s="53"/>
      <c r="N10" s="54"/>
      <c r="O10" s="54"/>
      <c r="P10" s="54"/>
      <c r="Q10" s="54"/>
    </row>
    <row r="11" spans="1:18" ht="23.25" hidden="1" customHeight="1" x14ac:dyDescent="0.25">
      <c r="A11" s="1">
        <v>5</v>
      </c>
      <c r="B11" s="56" t="s">
        <v>579</v>
      </c>
      <c r="C11" s="1"/>
      <c r="D11" s="1"/>
      <c r="E11" s="50"/>
      <c r="F11" s="50"/>
      <c r="G11" s="50"/>
      <c r="H11" s="50"/>
      <c r="I11" s="50"/>
      <c r="J11" s="50"/>
      <c r="K11" s="51"/>
      <c r="L11" s="50"/>
      <c r="M11" s="53"/>
      <c r="N11" s="54"/>
      <c r="O11" s="54"/>
      <c r="P11" s="54"/>
      <c r="Q11" s="54"/>
      <c r="R11" s="96"/>
    </row>
    <row r="12" spans="1:18" ht="15.75" hidden="1" x14ac:dyDescent="0.25">
      <c r="A12" s="1">
        <v>6</v>
      </c>
      <c r="B12" s="56" t="s">
        <v>578</v>
      </c>
      <c r="C12" s="1"/>
      <c r="D12" s="1"/>
      <c r="E12" s="50"/>
      <c r="F12" s="50"/>
      <c r="G12" s="50"/>
      <c r="H12" s="50"/>
      <c r="I12" s="50"/>
      <c r="J12" s="50"/>
      <c r="K12" s="51"/>
      <c r="L12" s="50"/>
      <c r="M12" s="53"/>
      <c r="N12" s="54"/>
      <c r="O12" s="54"/>
      <c r="P12" s="54"/>
      <c r="Q12" s="54"/>
      <c r="R12" s="74"/>
    </row>
    <row r="13" spans="1:18" ht="15.75" hidden="1" x14ac:dyDescent="0.25">
      <c r="A13" s="1">
        <v>7</v>
      </c>
      <c r="B13" s="56" t="s">
        <v>577</v>
      </c>
      <c r="C13" s="1"/>
      <c r="D13" s="1"/>
      <c r="E13" s="50"/>
      <c r="F13" s="50"/>
      <c r="G13" s="50"/>
      <c r="H13" s="50"/>
      <c r="I13" s="50"/>
      <c r="J13" s="50"/>
      <c r="K13" s="51"/>
      <c r="L13" s="50"/>
      <c r="M13" s="53"/>
      <c r="N13" s="54"/>
      <c r="O13" s="54"/>
      <c r="P13" s="54"/>
      <c r="Q13" s="54"/>
      <c r="R13" s="74"/>
    </row>
    <row r="14" spans="1:18" ht="34.5" hidden="1" customHeight="1" x14ac:dyDescent="0.25">
      <c r="A14" s="1">
        <v>8</v>
      </c>
      <c r="B14" s="56" t="s">
        <v>576</v>
      </c>
      <c r="C14" s="1"/>
      <c r="D14" s="1"/>
      <c r="E14" s="50"/>
      <c r="F14" s="50"/>
      <c r="G14" s="50"/>
      <c r="H14" s="50"/>
      <c r="I14" s="50"/>
      <c r="J14" s="50"/>
      <c r="K14" s="51"/>
      <c r="L14" s="52"/>
      <c r="M14" s="53"/>
      <c r="N14" s="54"/>
      <c r="O14" s="54"/>
      <c r="P14" s="54"/>
      <c r="Q14" s="54"/>
      <c r="R14" s="258"/>
    </row>
    <row r="15" spans="1:18" ht="36" hidden="1" customHeight="1" x14ac:dyDescent="0.25">
      <c r="A15" s="1">
        <v>9</v>
      </c>
      <c r="B15" s="56" t="s">
        <v>575</v>
      </c>
      <c r="C15" s="1"/>
      <c r="D15" s="1"/>
      <c r="E15" s="50"/>
      <c r="F15" s="50"/>
      <c r="G15" s="50"/>
      <c r="H15" s="50"/>
      <c r="I15" s="50"/>
      <c r="J15" s="50"/>
      <c r="K15" s="51"/>
      <c r="L15" s="50"/>
      <c r="M15" s="53"/>
      <c r="N15" s="54"/>
      <c r="O15" s="54"/>
      <c r="P15" s="54"/>
      <c r="Q15" s="54"/>
      <c r="R15" s="265"/>
    </row>
    <row r="16" spans="1:18" s="83" customFormat="1" ht="38.25" customHeight="1" x14ac:dyDescent="0.25">
      <c r="A16" s="1">
        <v>10</v>
      </c>
      <c r="B16" s="56" t="s">
        <v>574</v>
      </c>
      <c r="C16" s="50">
        <v>23</v>
      </c>
      <c r="D16" s="50">
        <v>24</v>
      </c>
      <c r="E16" s="50"/>
      <c r="F16" s="50">
        <v>1</v>
      </c>
      <c r="G16" s="50"/>
      <c r="H16" s="50"/>
      <c r="I16" s="50"/>
      <c r="J16" s="50"/>
      <c r="K16" s="51">
        <v>1</v>
      </c>
      <c r="L16" s="50"/>
      <c r="M16" s="53">
        <v>23</v>
      </c>
      <c r="N16" s="54">
        <f t="shared" ref="N16" si="0">IF(D16=0,"-",(K16/D16))</f>
        <v>4.1666666666666664E-2</v>
      </c>
      <c r="O16" s="54">
        <f t="shared" ref="O16:O17" si="1">IF(D16=0,"-",(L16/D16))</f>
        <v>0</v>
      </c>
      <c r="P16" s="54">
        <f t="shared" ref="P16:P17" si="2">IF(D16=0,"-",(M16/D16))</f>
        <v>0.95833333333333337</v>
      </c>
      <c r="Q16" s="54">
        <f t="shared" ref="Q16:Q17" si="3">IF(D16=0,"-",(O16+P16))</f>
        <v>0.95833333333333337</v>
      </c>
      <c r="R16" s="353" t="s">
        <v>1120</v>
      </c>
    </row>
    <row r="17" spans="1:18" ht="68.25" customHeight="1" x14ac:dyDescent="0.25">
      <c r="A17" s="1">
        <v>11</v>
      </c>
      <c r="B17" s="56" t="s">
        <v>573</v>
      </c>
      <c r="C17" s="50">
        <v>37</v>
      </c>
      <c r="D17" s="50">
        <v>37</v>
      </c>
      <c r="E17" s="50"/>
      <c r="F17" s="50"/>
      <c r="G17" s="50"/>
      <c r="H17" s="50"/>
      <c r="I17" s="50"/>
      <c r="J17" s="50"/>
      <c r="K17" s="51"/>
      <c r="L17" s="50"/>
      <c r="M17" s="352">
        <v>37</v>
      </c>
      <c r="N17" s="345">
        <f>IF(D17=0,"-",(K17/D17))</f>
        <v>0</v>
      </c>
      <c r="O17" s="345">
        <f t="shared" si="1"/>
        <v>0</v>
      </c>
      <c r="P17" s="345">
        <f t="shared" si="2"/>
        <v>1</v>
      </c>
      <c r="Q17" s="345">
        <f t="shared" si="3"/>
        <v>1</v>
      </c>
      <c r="R17" s="354" t="s">
        <v>1119</v>
      </c>
    </row>
    <row r="18" spans="1:18" hidden="1" x14ac:dyDescent="0.25">
      <c r="A18" s="1">
        <v>12</v>
      </c>
      <c r="B18" s="56" t="s">
        <v>572</v>
      </c>
      <c r="C18" s="1"/>
      <c r="D18" s="1"/>
      <c r="E18" s="50"/>
      <c r="F18" s="50"/>
      <c r="G18" s="50"/>
      <c r="H18" s="50"/>
      <c r="I18" s="50"/>
      <c r="J18" s="50"/>
      <c r="K18" s="51"/>
      <c r="L18" s="50"/>
      <c r="M18" s="53"/>
      <c r="N18" s="54"/>
      <c r="O18" s="54"/>
      <c r="P18" s="54"/>
      <c r="Q18" s="54"/>
      <c r="R18" s="55"/>
    </row>
    <row r="19" spans="1:18" hidden="1" x14ac:dyDescent="0.25">
      <c r="A19" s="1">
        <v>13</v>
      </c>
      <c r="B19" s="56" t="s">
        <v>571</v>
      </c>
      <c r="C19" s="1"/>
      <c r="D19" s="1"/>
      <c r="E19" s="50"/>
      <c r="F19" s="50"/>
      <c r="G19" s="50"/>
      <c r="H19" s="50"/>
      <c r="I19" s="50"/>
      <c r="J19" s="50"/>
      <c r="K19" s="51"/>
      <c r="L19" s="50"/>
      <c r="M19" s="53"/>
      <c r="N19" s="54"/>
      <c r="O19" s="54"/>
      <c r="P19" s="54"/>
      <c r="Q19" s="54"/>
      <c r="R19" s="55"/>
    </row>
    <row r="20" spans="1:18" s="83" customFormat="1" ht="30" customHeight="1" x14ac:dyDescent="0.25">
      <c r="A20" s="1">
        <v>14</v>
      </c>
      <c r="B20" s="56" t="s">
        <v>1085</v>
      </c>
      <c r="C20" s="1">
        <v>12</v>
      </c>
      <c r="D20" s="1">
        <v>11</v>
      </c>
      <c r="E20" s="50"/>
      <c r="F20" s="50"/>
      <c r="G20" s="50"/>
      <c r="H20" s="50"/>
      <c r="I20" s="50"/>
      <c r="J20" s="50"/>
      <c r="K20" s="51"/>
      <c r="L20" s="50"/>
      <c r="M20" s="352">
        <v>11</v>
      </c>
      <c r="N20" s="345">
        <f t="shared" ref="N20" si="4">IF(D20=0,"-",(K20/D20))</f>
        <v>0</v>
      </c>
      <c r="O20" s="345">
        <f t="shared" ref="O20" si="5">IF(D20=0,"-",(L20/D20))</f>
        <v>0</v>
      </c>
      <c r="P20" s="345">
        <f t="shared" ref="P20" si="6">IF(D20=0,"-",(M20/D20))</f>
        <v>1</v>
      </c>
      <c r="Q20" s="345">
        <f t="shared" ref="Q20" si="7">IF(D20=0,"-",(O20+P20))</f>
        <v>1</v>
      </c>
      <c r="R20" s="354" t="s">
        <v>1119</v>
      </c>
    </row>
    <row r="21" spans="1:18" x14ac:dyDescent="0.25">
      <c r="A21" s="1">
        <v>15</v>
      </c>
      <c r="B21" s="56" t="s">
        <v>570</v>
      </c>
      <c r="C21" s="305">
        <v>12</v>
      </c>
      <c r="D21" s="305">
        <v>8</v>
      </c>
      <c r="E21" s="305"/>
      <c r="F21" s="305"/>
      <c r="G21" s="305"/>
      <c r="H21" s="305"/>
      <c r="I21" s="305"/>
      <c r="J21" s="305"/>
      <c r="K21" s="154"/>
      <c r="L21" s="305"/>
      <c r="M21" s="306">
        <v>8</v>
      </c>
      <c r="N21" s="304">
        <f t="shared" ref="N21" si="8">IF(D21=0,"-",(K21/D21))</f>
        <v>0</v>
      </c>
      <c r="O21" s="304">
        <f t="shared" ref="O21" si="9">IF(D21=0,"-",(L21/D21))</f>
        <v>0</v>
      </c>
      <c r="P21" s="304">
        <f t="shared" ref="P21" si="10">IF(D21=0,"-",(M21/D21))</f>
        <v>1</v>
      </c>
      <c r="Q21" s="304">
        <f t="shared" ref="Q21" si="11">IF(D21=0,"-",(O21+P21))</f>
        <v>1</v>
      </c>
      <c r="R21" s="97"/>
    </row>
    <row r="22" spans="1:18" hidden="1" x14ac:dyDescent="0.25">
      <c r="A22" s="1">
        <v>16</v>
      </c>
      <c r="B22" s="56" t="s">
        <v>569</v>
      </c>
      <c r="C22" s="1"/>
      <c r="D22" s="1"/>
      <c r="E22" s="50"/>
      <c r="F22" s="50"/>
      <c r="G22" s="50"/>
      <c r="H22" s="50"/>
      <c r="I22" s="50"/>
      <c r="J22" s="50"/>
      <c r="K22" s="51"/>
      <c r="L22" s="50"/>
      <c r="M22" s="53"/>
      <c r="N22" s="54"/>
      <c r="O22" s="54"/>
      <c r="P22" s="54"/>
      <c r="Q22" s="54"/>
      <c r="R22" s="265"/>
    </row>
    <row r="23" spans="1:18" hidden="1" x14ac:dyDescent="0.25">
      <c r="A23" s="1">
        <v>17</v>
      </c>
      <c r="B23" s="56" t="s">
        <v>568</v>
      </c>
      <c r="C23" s="1"/>
      <c r="D23" s="1"/>
      <c r="E23" s="50"/>
      <c r="F23" s="50"/>
      <c r="G23" s="50"/>
      <c r="H23" s="50"/>
      <c r="I23" s="50"/>
      <c r="J23" s="50"/>
      <c r="K23" s="51"/>
      <c r="L23" s="52"/>
      <c r="M23" s="53"/>
      <c r="N23" s="54"/>
      <c r="O23" s="54"/>
      <c r="P23" s="54"/>
      <c r="Q23" s="54"/>
      <c r="R23" s="65"/>
    </row>
    <row r="24" spans="1:18" hidden="1" x14ac:dyDescent="0.25">
      <c r="A24" s="1">
        <v>18</v>
      </c>
      <c r="B24" s="49" t="s">
        <v>567</v>
      </c>
      <c r="C24" s="1"/>
      <c r="D24" s="1"/>
      <c r="E24" s="50"/>
      <c r="F24" s="50"/>
      <c r="G24" s="50"/>
      <c r="H24" s="50"/>
      <c r="I24" s="50"/>
      <c r="J24" s="50"/>
      <c r="K24" s="51"/>
      <c r="L24" s="50"/>
      <c r="M24" s="53"/>
      <c r="N24" s="54"/>
      <c r="O24" s="54"/>
      <c r="P24" s="54"/>
      <c r="Q24" s="54"/>
      <c r="R24" s="65"/>
    </row>
    <row r="25" spans="1:18" hidden="1" x14ac:dyDescent="0.25">
      <c r="A25" s="1">
        <v>19</v>
      </c>
      <c r="B25" s="49" t="s">
        <v>566</v>
      </c>
      <c r="C25" s="1"/>
      <c r="D25" s="1"/>
      <c r="E25" s="50"/>
      <c r="F25" s="50"/>
      <c r="G25" s="50"/>
      <c r="H25" s="50"/>
      <c r="I25" s="50"/>
      <c r="J25" s="50"/>
      <c r="K25" s="51"/>
      <c r="L25" s="52"/>
      <c r="M25" s="53"/>
      <c r="N25" s="54"/>
      <c r="O25" s="54"/>
      <c r="P25" s="54"/>
      <c r="Q25" s="54"/>
      <c r="R25" s="65"/>
    </row>
    <row r="26" spans="1:18" hidden="1" x14ac:dyDescent="0.25">
      <c r="A26" s="1">
        <v>20</v>
      </c>
      <c r="B26" s="56" t="s">
        <v>662</v>
      </c>
      <c r="C26" s="1"/>
      <c r="D26" s="1"/>
      <c r="E26" s="50"/>
      <c r="F26" s="50"/>
      <c r="G26" s="50"/>
      <c r="H26" s="50"/>
      <c r="I26" s="50"/>
      <c r="J26" s="50"/>
      <c r="K26" s="51"/>
      <c r="L26" s="50"/>
      <c r="M26" s="53"/>
      <c r="N26" s="54"/>
      <c r="O26" s="54"/>
      <c r="P26" s="54"/>
      <c r="Q26" s="54"/>
      <c r="R26" s="65"/>
    </row>
    <row r="27" spans="1:18" hidden="1" x14ac:dyDescent="0.25">
      <c r="A27" s="1">
        <v>21</v>
      </c>
      <c r="B27" s="56" t="s">
        <v>565</v>
      </c>
      <c r="C27" s="1"/>
      <c r="D27" s="1"/>
      <c r="E27" s="50"/>
      <c r="F27" s="50"/>
      <c r="G27" s="50"/>
      <c r="H27" s="50"/>
      <c r="I27" s="50"/>
      <c r="J27" s="50"/>
      <c r="K27" s="51"/>
      <c r="L27" s="52"/>
      <c r="M27" s="53"/>
      <c r="N27" s="54"/>
      <c r="O27" s="54"/>
      <c r="P27" s="54"/>
      <c r="Q27" s="54"/>
      <c r="R27" s="65"/>
    </row>
    <row r="28" spans="1:18" hidden="1" x14ac:dyDescent="0.25">
      <c r="A28" s="1">
        <v>22</v>
      </c>
      <c r="B28" s="56" t="s">
        <v>564</v>
      </c>
      <c r="C28" s="1"/>
      <c r="D28" s="1"/>
      <c r="E28" s="50"/>
      <c r="F28" s="50"/>
      <c r="G28" s="50"/>
      <c r="H28" s="50"/>
      <c r="I28" s="50"/>
      <c r="J28" s="50"/>
      <c r="K28" s="51"/>
      <c r="L28" s="50"/>
      <c r="M28" s="53"/>
      <c r="N28" s="54"/>
      <c r="O28" s="54"/>
      <c r="P28" s="54"/>
      <c r="Q28" s="54"/>
      <c r="R28" s="76"/>
    </row>
    <row r="29" spans="1:18" hidden="1" x14ac:dyDescent="0.25">
      <c r="A29" s="1">
        <v>23</v>
      </c>
      <c r="B29" s="56" t="s">
        <v>614</v>
      </c>
      <c r="C29" s="1"/>
      <c r="D29" s="1"/>
      <c r="E29" s="50"/>
      <c r="F29" s="50"/>
      <c r="G29" s="50"/>
      <c r="H29" s="50"/>
      <c r="I29" s="50"/>
      <c r="J29" s="50"/>
      <c r="K29" s="51"/>
      <c r="L29" s="50"/>
      <c r="M29" s="53"/>
      <c r="N29" s="54"/>
      <c r="O29" s="54"/>
      <c r="P29" s="54"/>
      <c r="Q29" s="54"/>
      <c r="R29" s="76"/>
    </row>
    <row r="30" spans="1:18" hidden="1" x14ac:dyDescent="0.25">
      <c r="A30" s="1">
        <v>24</v>
      </c>
      <c r="B30" s="56" t="s">
        <v>563</v>
      </c>
      <c r="C30" s="1"/>
      <c r="D30" s="1"/>
      <c r="E30" s="50"/>
      <c r="F30" s="50"/>
      <c r="G30" s="50"/>
      <c r="H30" s="50"/>
      <c r="I30" s="50"/>
      <c r="J30" s="50"/>
      <c r="K30" s="51"/>
      <c r="L30" s="52"/>
      <c r="M30" s="53"/>
      <c r="N30" s="54"/>
      <c r="O30" s="54"/>
      <c r="P30" s="54"/>
      <c r="Q30" s="54"/>
      <c r="R30" s="55"/>
    </row>
    <row r="31" spans="1:18" hidden="1" x14ac:dyDescent="0.25">
      <c r="A31" s="1">
        <v>25</v>
      </c>
      <c r="B31" s="56" t="s">
        <v>562</v>
      </c>
      <c r="C31" s="1"/>
      <c r="D31" s="1"/>
      <c r="E31" s="50"/>
      <c r="F31" s="50"/>
      <c r="G31" s="50"/>
      <c r="H31" s="50"/>
      <c r="I31" s="50"/>
      <c r="J31" s="50"/>
      <c r="K31" s="51"/>
      <c r="L31" s="52"/>
      <c r="M31" s="53"/>
      <c r="N31" s="54"/>
      <c r="O31" s="54"/>
      <c r="P31" s="54"/>
      <c r="Q31" s="54"/>
      <c r="R31" s="65"/>
    </row>
    <row r="32" spans="1:18" hidden="1" x14ac:dyDescent="0.25">
      <c r="A32" s="1">
        <v>26</v>
      </c>
      <c r="B32" s="56" t="s">
        <v>561</v>
      </c>
      <c r="C32" s="1"/>
      <c r="D32" s="1"/>
      <c r="E32" s="50"/>
      <c r="F32" s="50"/>
      <c r="G32" s="50"/>
      <c r="H32" s="50"/>
      <c r="I32" s="50"/>
      <c r="J32" s="50"/>
      <c r="K32" s="51"/>
      <c r="L32" s="52"/>
      <c r="M32" s="53"/>
      <c r="N32" s="54"/>
      <c r="O32" s="54"/>
      <c r="P32" s="54"/>
      <c r="Q32" s="54"/>
      <c r="R32" s="55"/>
    </row>
    <row r="33" spans="1:18" hidden="1" x14ac:dyDescent="0.25">
      <c r="A33" s="1">
        <v>27</v>
      </c>
      <c r="B33" s="56" t="s">
        <v>560</v>
      </c>
      <c r="C33" s="1"/>
      <c r="D33" s="1"/>
      <c r="E33" s="50"/>
      <c r="F33" s="50"/>
      <c r="G33" s="50"/>
      <c r="H33" s="50"/>
      <c r="I33" s="50"/>
      <c r="J33" s="50"/>
      <c r="K33" s="51"/>
      <c r="L33" s="52"/>
      <c r="M33" s="53"/>
      <c r="N33" s="54"/>
      <c r="O33" s="54"/>
      <c r="P33" s="54"/>
      <c r="Q33" s="54"/>
      <c r="R33" s="55"/>
    </row>
    <row r="34" spans="1:18" hidden="1" x14ac:dyDescent="0.25">
      <c r="A34" s="1">
        <v>28</v>
      </c>
      <c r="B34" s="56" t="s">
        <v>559</v>
      </c>
      <c r="C34" s="1"/>
      <c r="D34" s="1"/>
      <c r="E34" s="50"/>
      <c r="F34" s="50"/>
      <c r="G34" s="50"/>
      <c r="H34" s="50"/>
      <c r="I34" s="50"/>
      <c r="J34" s="50"/>
      <c r="K34" s="51"/>
      <c r="L34" s="52"/>
      <c r="M34" s="53"/>
      <c r="N34" s="54"/>
      <c r="O34" s="54"/>
      <c r="P34" s="54"/>
      <c r="Q34" s="54"/>
      <c r="R34" s="55"/>
    </row>
    <row r="35" spans="1:18" ht="20.25" hidden="1" customHeight="1" x14ac:dyDescent="0.25">
      <c r="A35" s="1">
        <v>29</v>
      </c>
      <c r="B35" s="49" t="s">
        <v>678</v>
      </c>
      <c r="C35" s="1"/>
      <c r="D35" s="1"/>
      <c r="E35" s="50"/>
      <c r="F35" s="50"/>
      <c r="G35" s="50"/>
      <c r="H35" s="50"/>
      <c r="I35" s="50"/>
      <c r="J35" s="50"/>
      <c r="K35" s="51"/>
      <c r="L35" s="52"/>
      <c r="M35" s="53"/>
      <c r="N35" s="54"/>
      <c r="O35" s="54"/>
      <c r="P35" s="54"/>
      <c r="Q35" s="54"/>
      <c r="R35" s="65"/>
    </row>
    <row r="36" spans="1:18" hidden="1" x14ac:dyDescent="0.25">
      <c r="A36" s="1">
        <v>30</v>
      </c>
      <c r="B36" s="49" t="s">
        <v>558</v>
      </c>
      <c r="C36" s="1"/>
      <c r="D36" s="1"/>
      <c r="E36" s="50"/>
      <c r="F36" s="50"/>
      <c r="G36" s="50"/>
      <c r="H36" s="50"/>
      <c r="I36" s="50"/>
      <c r="J36" s="50"/>
      <c r="K36" s="51"/>
      <c r="L36" s="52"/>
      <c r="M36" s="53"/>
      <c r="N36" s="54"/>
      <c r="O36" s="54"/>
      <c r="P36" s="54"/>
      <c r="Q36" s="54"/>
      <c r="R36" s="55"/>
    </row>
    <row r="37" spans="1:18" ht="36.75" hidden="1" customHeight="1" x14ac:dyDescent="0.25">
      <c r="A37" s="1">
        <v>31</v>
      </c>
      <c r="B37" s="62" t="s">
        <v>557</v>
      </c>
      <c r="C37" s="1"/>
      <c r="D37" s="1"/>
      <c r="E37" s="50"/>
      <c r="F37" s="50"/>
      <c r="G37" s="50"/>
      <c r="H37" s="50"/>
      <c r="I37" s="50"/>
      <c r="J37" s="50"/>
      <c r="K37" s="51"/>
      <c r="L37" s="50"/>
      <c r="M37" s="53"/>
      <c r="N37" s="54"/>
      <c r="O37" s="54"/>
      <c r="P37" s="54"/>
      <c r="Q37" s="54"/>
      <c r="R37" s="65"/>
    </row>
    <row r="38" spans="1:18" hidden="1" x14ac:dyDescent="0.25">
      <c r="A38" s="1">
        <v>32</v>
      </c>
      <c r="B38" s="62" t="s">
        <v>556</v>
      </c>
      <c r="C38" s="1"/>
      <c r="D38" s="1"/>
      <c r="E38" s="50"/>
      <c r="F38" s="50"/>
      <c r="G38" s="50"/>
      <c r="H38" s="50"/>
      <c r="I38" s="50"/>
      <c r="J38" s="50"/>
      <c r="K38" s="51"/>
      <c r="L38" s="52"/>
      <c r="M38" s="53"/>
      <c r="N38" s="54"/>
      <c r="O38" s="54"/>
      <c r="P38" s="54"/>
      <c r="Q38" s="54"/>
      <c r="R38" s="97"/>
    </row>
    <row r="39" spans="1:18" hidden="1" x14ac:dyDescent="0.25">
      <c r="A39" s="1">
        <v>33</v>
      </c>
      <c r="B39" s="62" t="s">
        <v>589</v>
      </c>
      <c r="C39" s="1"/>
      <c r="D39" s="1"/>
      <c r="E39" s="50"/>
      <c r="F39" s="50"/>
      <c r="G39" s="50"/>
      <c r="H39" s="50"/>
      <c r="I39" s="50"/>
      <c r="J39" s="50"/>
      <c r="K39" s="51"/>
      <c r="L39" s="52"/>
      <c r="M39" s="53"/>
      <c r="N39" s="54"/>
      <c r="O39" s="54"/>
      <c r="P39" s="54"/>
      <c r="Q39" s="54"/>
      <c r="R39" s="76"/>
    </row>
    <row r="40" spans="1:18" hidden="1" x14ac:dyDescent="0.25">
      <c r="A40" s="1">
        <v>34</v>
      </c>
      <c r="B40" s="49" t="s">
        <v>555</v>
      </c>
      <c r="C40" s="1"/>
      <c r="D40" s="1"/>
      <c r="E40" s="50"/>
      <c r="F40" s="50"/>
      <c r="G40" s="50"/>
      <c r="H40" s="50"/>
      <c r="I40" s="50"/>
      <c r="J40" s="50"/>
      <c r="K40" s="51"/>
      <c r="L40" s="50"/>
      <c r="M40" s="53"/>
      <c r="N40" s="54"/>
      <c r="O40" s="54"/>
      <c r="P40" s="54"/>
      <c r="Q40" s="54"/>
      <c r="R40" s="55"/>
    </row>
    <row r="41" spans="1:18" hidden="1" x14ac:dyDescent="0.25">
      <c r="A41" s="1">
        <v>35</v>
      </c>
      <c r="B41" s="49" t="s">
        <v>554</v>
      </c>
      <c r="C41" s="1"/>
      <c r="D41" s="1"/>
      <c r="E41" s="50"/>
      <c r="F41" s="50"/>
      <c r="G41" s="50"/>
      <c r="H41" s="50"/>
      <c r="I41" s="50"/>
      <c r="J41" s="50"/>
      <c r="K41" s="51"/>
      <c r="L41" s="52"/>
      <c r="M41" s="53"/>
      <c r="N41" s="54"/>
      <c r="O41" s="54"/>
      <c r="P41" s="54"/>
      <c r="Q41" s="54"/>
      <c r="R41" s="55"/>
    </row>
    <row r="42" spans="1:18" hidden="1" x14ac:dyDescent="0.25">
      <c r="A42" s="1">
        <v>36</v>
      </c>
      <c r="B42" s="49" t="s">
        <v>553</v>
      </c>
      <c r="C42" s="1"/>
      <c r="D42" s="1"/>
      <c r="E42" s="50"/>
      <c r="F42" s="50"/>
      <c r="G42" s="50"/>
      <c r="H42" s="50"/>
      <c r="I42" s="50"/>
      <c r="J42" s="50"/>
      <c r="K42" s="51"/>
      <c r="L42" s="52"/>
      <c r="M42" s="53"/>
      <c r="N42" s="54"/>
      <c r="O42" s="54"/>
      <c r="P42" s="54"/>
      <c r="Q42" s="54"/>
      <c r="R42" s="55"/>
    </row>
    <row r="43" spans="1:18" hidden="1" x14ac:dyDescent="0.25">
      <c r="A43" s="1">
        <v>37</v>
      </c>
      <c r="B43" s="49" t="s">
        <v>552</v>
      </c>
      <c r="C43" s="1"/>
      <c r="D43" s="1"/>
      <c r="E43" s="50"/>
      <c r="F43" s="50"/>
      <c r="G43" s="50"/>
      <c r="H43" s="50"/>
      <c r="I43" s="50"/>
      <c r="J43" s="50"/>
      <c r="K43" s="51"/>
      <c r="L43" s="52"/>
      <c r="M43" s="53"/>
      <c r="N43" s="54"/>
      <c r="O43" s="54"/>
      <c r="P43" s="54"/>
      <c r="Q43" s="54"/>
      <c r="R43" s="55"/>
    </row>
    <row r="44" spans="1:18" hidden="1" x14ac:dyDescent="0.25">
      <c r="A44" s="1">
        <v>38</v>
      </c>
      <c r="B44" s="62" t="s">
        <v>551</v>
      </c>
      <c r="C44" s="1"/>
      <c r="D44" s="1"/>
      <c r="E44" s="50"/>
      <c r="F44" s="50"/>
      <c r="G44" s="50"/>
      <c r="H44" s="50"/>
      <c r="I44" s="50"/>
      <c r="J44" s="50"/>
      <c r="K44" s="51"/>
      <c r="L44" s="52"/>
      <c r="M44" s="53"/>
      <c r="N44" s="54"/>
      <c r="O44" s="54"/>
      <c r="P44" s="54"/>
      <c r="Q44" s="54"/>
      <c r="R44" s="55"/>
    </row>
    <row r="45" spans="1:18" hidden="1" x14ac:dyDescent="0.25">
      <c r="A45" s="1">
        <v>39</v>
      </c>
      <c r="B45" s="62" t="s">
        <v>550</v>
      </c>
      <c r="C45" s="1"/>
      <c r="D45" s="1"/>
      <c r="E45" s="50"/>
      <c r="F45" s="50"/>
      <c r="G45" s="50"/>
      <c r="H45" s="50"/>
      <c r="I45" s="50"/>
      <c r="J45" s="50"/>
      <c r="K45" s="51"/>
      <c r="L45" s="52"/>
      <c r="M45" s="53"/>
      <c r="N45" s="54"/>
      <c r="O45" s="54"/>
      <c r="P45" s="54"/>
      <c r="Q45" s="54"/>
      <c r="R45" s="76"/>
    </row>
    <row r="46" spans="1:18" hidden="1" x14ac:dyDescent="0.25">
      <c r="A46" s="1">
        <v>40</v>
      </c>
      <c r="B46" s="62" t="s">
        <v>549</v>
      </c>
      <c r="C46" s="1"/>
      <c r="D46" s="1"/>
      <c r="E46" s="50"/>
      <c r="F46" s="50"/>
      <c r="G46" s="50"/>
      <c r="H46" s="50"/>
      <c r="I46" s="50"/>
      <c r="J46" s="50"/>
      <c r="K46" s="51"/>
      <c r="L46" s="52"/>
      <c r="M46" s="53"/>
      <c r="N46" s="54"/>
      <c r="O46" s="54"/>
      <c r="P46" s="54"/>
      <c r="Q46" s="54"/>
      <c r="R46" s="55"/>
    </row>
    <row r="47" spans="1:18" hidden="1" x14ac:dyDescent="0.25">
      <c r="A47" s="1">
        <v>41</v>
      </c>
      <c r="B47" s="62" t="s">
        <v>590</v>
      </c>
      <c r="C47" s="1"/>
      <c r="D47" s="1"/>
      <c r="E47" s="50"/>
      <c r="F47" s="50"/>
      <c r="G47" s="50"/>
      <c r="H47" s="50"/>
      <c r="I47" s="50"/>
      <c r="J47" s="50"/>
      <c r="K47" s="51"/>
      <c r="L47" s="52"/>
      <c r="M47" s="53"/>
      <c r="N47" s="54"/>
      <c r="O47" s="54"/>
      <c r="P47" s="54"/>
      <c r="Q47" s="54"/>
      <c r="R47" s="55"/>
    </row>
    <row r="48" spans="1:18" hidden="1" x14ac:dyDescent="0.25">
      <c r="A48" s="1">
        <v>42</v>
      </c>
      <c r="B48" s="62" t="s">
        <v>548</v>
      </c>
      <c r="C48" s="1"/>
      <c r="D48" s="1"/>
      <c r="E48" s="50"/>
      <c r="F48" s="50"/>
      <c r="G48" s="50"/>
      <c r="H48" s="50"/>
      <c r="I48" s="50"/>
      <c r="J48" s="50"/>
      <c r="K48" s="51"/>
      <c r="L48" s="52"/>
      <c r="M48" s="53"/>
      <c r="N48" s="54"/>
      <c r="O48" s="54"/>
      <c r="P48" s="54"/>
      <c r="Q48" s="54"/>
      <c r="R48" s="55"/>
    </row>
    <row r="49" spans="1:18" hidden="1" x14ac:dyDescent="0.25">
      <c r="A49" s="1">
        <v>43</v>
      </c>
      <c r="B49" s="62" t="s">
        <v>547</v>
      </c>
      <c r="C49" s="1"/>
      <c r="D49" s="1"/>
      <c r="E49" s="50"/>
      <c r="F49" s="50"/>
      <c r="G49" s="50"/>
      <c r="H49" s="50"/>
      <c r="I49" s="50"/>
      <c r="J49" s="50"/>
      <c r="K49" s="51"/>
      <c r="L49" s="52"/>
      <c r="M49" s="53"/>
      <c r="N49" s="54"/>
      <c r="O49" s="54"/>
      <c r="P49" s="54"/>
      <c r="Q49" s="54"/>
      <c r="R49" s="55"/>
    </row>
    <row r="50" spans="1:18" hidden="1" x14ac:dyDescent="0.25">
      <c r="A50" s="1">
        <v>44</v>
      </c>
      <c r="B50" s="62" t="s">
        <v>546</v>
      </c>
      <c r="C50" s="1"/>
      <c r="D50" s="1"/>
      <c r="E50" s="50"/>
      <c r="F50" s="50"/>
      <c r="G50" s="50"/>
      <c r="H50" s="50"/>
      <c r="I50" s="50"/>
      <c r="J50" s="50"/>
      <c r="K50" s="51"/>
      <c r="L50" s="52"/>
      <c r="M50" s="53"/>
      <c r="N50" s="54"/>
      <c r="O50" s="54"/>
      <c r="P50" s="54"/>
      <c r="Q50" s="54"/>
      <c r="R50" s="55"/>
    </row>
    <row r="51" spans="1:18" hidden="1" x14ac:dyDescent="0.25">
      <c r="A51" s="1">
        <v>45</v>
      </c>
      <c r="B51" s="49" t="s">
        <v>545</v>
      </c>
      <c r="C51" s="1"/>
      <c r="D51" s="1"/>
      <c r="E51" s="50"/>
      <c r="F51" s="50"/>
      <c r="G51" s="50"/>
      <c r="H51" s="50"/>
      <c r="I51" s="50"/>
      <c r="J51" s="50"/>
      <c r="K51" s="51"/>
      <c r="L51" s="52"/>
      <c r="M51" s="53"/>
      <c r="N51" s="54"/>
      <c r="O51" s="54"/>
      <c r="P51" s="54"/>
      <c r="Q51" s="54"/>
      <c r="R51" s="55"/>
    </row>
    <row r="52" spans="1:18" hidden="1" x14ac:dyDescent="0.25">
      <c r="A52" s="1">
        <v>46</v>
      </c>
      <c r="B52" s="49" t="s">
        <v>544</v>
      </c>
      <c r="C52" s="1"/>
      <c r="D52" s="1"/>
      <c r="E52" s="50"/>
      <c r="F52" s="50"/>
      <c r="G52" s="50"/>
      <c r="H52" s="50"/>
      <c r="I52" s="50"/>
      <c r="J52" s="50"/>
      <c r="K52" s="51"/>
      <c r="L52" s="52"/>
      <c r="M52" s="53"/>
      <c r="N52" s="54"/>
      <c r="O52" s="54"/>
      <c r="P52" s="54"/>
      <c r="Q52" s="54"/>
      <c r="R52" s="55"/>
    </row>
    <row r="53" spans="1:18" hidden="1" x14ac:dyDescent="0.25">
      <c r="A53" s="1">
        <v>47</v>
      </c>
      <c r="B53" s="49" t="s">
        <v>543</v>
      </c>
      <c r="C53" s="1"/>
      <c r="D53" s="1"/>
      <c r="E53" s="50"/>
      <c r="F53" s="50"/>
      <c r="G53" s="50"/>
      <c r="H53" s="50"/>
      <c r="I53" s="50"/>
      <c r="J53" s="50"/>
      <c r="K53" s="51"/>
      <c r="L53" s="52"/>
      <c r="M53" s="53"/>
      <c r="N53" s="54"/>
      <c r="O53" s="54"/>
      <c r="P53" s="54"/>
      <c r="Q53" s="54"/>
      <c r="R53" s="55"/>
    </row>
    <row r="54" spans="1:18" ht="23.25" hidden="1" customHeight="1" x14ac:dyDescent="0.25">
      <c r="A54" s="1">
        <v>48</v>
      </c>
      <c r="B54" s="62" t="s">
        <v>542</v>
      </c>
      <c r="C54" s="1"/>
      <c r="D54" s="1"/>
      <c r="E54" s="50"/>
      <c r="F54" s="50"/>
      <c r="G54" s="50"/>
      <c r="H54" s="50"/>
      <c r="I54" s="50"/>
      <c r="J54" s="50"/>
      <c r="K54" s="51"/>
      <c r="L54" s="52"/>
      <c r="M54" s="53"/>
      <c r="N54" s="54"/>
      <c r="O54" s="54"/>
      <c r="P54" s="54"/>
      <c r="Q54" s="54"/>
      <c r="R54" s="65"/>
    </row>
    <row r="55" spans="1:18" ht="15.75" hidden="1" x14ac:dyDescent="0.25">
      <c r="A55" s="1">
        <v>49</v>
      </c>
      <c r="B55" s="56" t="s">
        <v>541</v>
      </c>
      <c r="C55" s="1"/>
      <c r="D55" s="1"/>
      <c r="E55" s="50"/>
      <c r="F55" s="50"/>
      <c r="G55" s="50"/>
      <c r="H55" s="50"/>
      <c r="I55" s="50"/>
      <c r="J55" s="50"/>
      <c r="K55" s="51"/>
      <c r="L55" s="50"/>
      <c r="M55" s="53"/>
      <c r="N55" s="54"/>
      <c r="O55" s="54"/>
      <c r="P55" s="54"/>
      <c r="Q55" s="54"/>
      <c r="R55" s="77"/>
    </row>
    <row r="56" spans="1:18" ht="15.75" hidden="1" x14ac:dyDescent="0.25">
      <c r="A56" s="1">
        <v>50</v>
      </c>
      <c r="B56" s="49" t="s">
        <v>540</v>
      </c>
      <c r="C56" s="1"/>
      <c r="D56" s="1"/>
      <c r="E56" s="50"/>
      <c r="F56" s="50"/>
      <c r="G56" s="50"/>
      <c r="H56" s="50"/>
      <c r="I56" s="50"/>
      <c r="J56" s="50"/>
      <c r="K56" s="51"/>
      <c r="L56" s="52"/>
      <c r="M56" s="53"/>
      <c r="N56" s="54"/>
      <c r="O56" s="54"/>
      <c r="P56" s="54"/>
      <c r="Q56" s="54"/>
      <c r="R56" s="77"/>
    </row>
    <row r="57" spans="1:18" hidden="1" x14ac:dyDescent="0.25">
      <c r="A57" s="1">
        <v>51</v>
      </c>
      <c r="B57" s="49" t="s">
        <v>539</v>
      </c>
      <c r="C57" s="1"/>
      <c r="D57" s="1"/>
      <c r="E57" s="50"/>
      <c r="F57" s="50"/>
      <c r="G57" s="50"/>
      <c r="H57" s="50"/>
      <c r="I57" s="50"/>
      <c r="J57" s="50"/>
      <c r="K57" s="51"/>
      <c r="L57" s="52"/>
      <c r="M57" s="53"/>
      <c r="N57" s="54"/>
      <c r="O57" s="54"/>
      <c r="P57" s="54"/>
      <c r="Q57" s="54"/>
      <c r="R57" s="65"/>
    </row>
    <row r="58" spans="1:18" hidden="1" x14ac:dyDescent="0.25">
      <c r="A58" s="1">
        <v>52</v>
      </c>
      <c r="B58" s="49" t="s">
        <v>538</v>
      </c>
      <c r="C58" s="1"/>
      <c r="D58" s="1"/>
      <c r="E58" s="50"/>
      <c r="F58" s="50"/>
      <c r="G58" s="50"/>
      <c r="H58" s="50"/>
      <c r="I58" s="50"/>
      <c r="J58" s="50"/>
      <c r="K58" s="51"/>
      <c r="L58" s="52"/>
      <c r="M58" s="53"/>
      <c r="N58" s="54"/>
      <c r="O58" s="54"/>
      <c r="P58" s="54"/>
      <c r="Q58" s="54"/>
      <c r="R58" s="65"/>
    </row>
    <row r="59" spans="1:18" ht="20.25" hidden="1" customHeight="1" x14ac:dyDescent="0.25">
      <c r="A59" s="1">
        <v>53</v>
      </c>
      <c r="B59" s="49" t="s">
        <v>537</v>
      </c>
      <c r="C59" s="1"/>
      <c r="D59" s="1"/>
      <c r="E59" s="50"/>
      <c r="F59" s="50"/>
      <c r="G59" s="50"/>
      <c r="H59" s="50"/>
      <c r="I59" s="50"/>
      <c r="J59" s="50"/>
      <c r="K59" s="51"/>
      <c r="L59" s="50"/>
      <c r="M59" s="53"/>
      <c r="N59" s="54"/>
      <c r="O59" s="54"/>
      <c r="P59" s="54"/>
      <c r="Q59" s="54"/>
      <c r="R59" s="97"/>
    </row>
    <row r="60" spans="1:18" hidden="1" x14ac:dyDescent="0.25">
      <c r="A60" s="1">
        <v>54</v>
      </c>
      <c r="B60" s="49" t="s">
        <v>536</v>
      </c>
      <c r="C60" s="1"/>
      <c r="D60" s="1"/>
      <c r="E60" s="50"/>
      <c r="F60" s="50"/>
      <c r="G60" s="50"/>
      <c r="H60" s="50"/>
      <c r="I60" s="50"/>
      <c r="J60" s="50"/>
      <c r="K60" s="51"/>
      <c r="L60" s="52"/>
      <c r="M60" s="53"/>
      <c r="N60" s="54"/>
      <c r="O60" s="54"/>
      <c r="P60" s="54"/>
      <c r="Q60" s="54"/>
      <c r="R60" s="55"/>
    </row>
    <row r="61" spans="1:18" hidden="1" x14ac:dyDescent="0.25">
      <c r="A61" s="1">
        <v>55</v>
      </c>
      <c r="B61" s="49" t="s">
        <v>535</v>
      </c>
      <c r="C61" s="1"/>
      <c r="D61" s="1"/>
      <c r="E61" s="50"/>
      <c r="F61" s="50"/>
      <c r="G61" s="50"/>
      <c r="H61" s="50"/>
      <c r="I61" s="50"/>
      <c r="J61" s="50"/>
      <c r="K61" s="51"/>
      <c r="L61" s="52"/>
      <c r="M61" s="53"/>
      <c r="N61" s="54"/>
      <c r="O61" s="54"/>
      <c r="P61" s="54"/>
      <c r="Q61" s="54"/>
      <c r="R61" s="55"/>
    </row>
    <row r="62" spans="1:18" hidden="1" x14ac:dyDescent="0.25">
      <c r="A62" s="1">
        <v>56</v>
      </c>
      <c r="B62" s="49" t="s">
        <v>534</v>
      </c>
      <c r="C62" s="1"/>
      <c r="D62" s="1"/>
      <c r="E62" s="50"/>
      <c r="F62" s="50"/>
      <c r="G62" s="50"/>
      <c r="H62" s="50"/>
      <c r="I62" s="50"/>
      <c r="J62" s="50"/>
      <c r="K62" s="51"/>
      <c r="L62" s="52"/>
      <c r="M62" s="53"/>
      <c r="N62" s="54"/>
      <c r="O62" s="54"/>
      <c r="P62" s="54"/>
      <c r="Q62" s="54"/>
      <c r="R62" s="97"/>
    </row>
    <row r="63" spans="1:18" hidden="1" x14ac:dyDescent="0.25">
      <c r="A63" s="1">
        <v>57</v>
      </c>
      <c r="B63" s="62" t="s">
        <v>533</v>
      </c>
      <c r="C63" s="1"/>
      <c r="D63" s="1"/>
      <c r="E63" s="50"/>
      <c r="F63" s="50"/>
      <c r="G63" s="50"/>
      <c r="H63" s="50"/>
      <c r="I63" s="50"/>
      <c r="J63" s="50"/>
      <c r="K63" s="51"/>
      <c r="L63" s="52"/>
      <c r="M63" s="53"/>
      <c r="N63" s="54"/>
      <c r="O63" s="54"/>
      <c r="P63" s="54"/>
      <c r="Q63" s="54"/>
      <c r="R63" s="55"/>
    </row>
    <row r="64" spans="1:18" hidden="1" x14ac:dyDescent="0.25">
      <c r="A64" s="1">
        <v>58</v>
      </c>
      <c r="B64" s="62" t="s">
        <v>532</v>
      </c>
      <c r="C64" s="1"/>
      <c r="D64" s="1"/>
      <c r="E64" s="50"/>
      <c r="F64" s="50"/>
      <c r="G64" s="50"/>
      <c r="H64" s="50"/>
      <c r="I64" s="50"/>
      <c r="J64" s="50"/>
      <c r="K64" s="51"/>
      <c r="L64" s="52"/>
      <c r="M64" s="53"/>
      <c r="N64" s="54"/>
      <c r="O64" s="54"/>
      <c r="P64" s="54"/>
      <c r="Q64" s="54"/>
      <c r="R64" s="55"/>
    </row>
    <row r="65" spans="1:18" hidden="1" x14ac:dyDescent="0.25">
      <c r="A65" s="1">
        <v>59</v>
      </c>
      <c r="B65" s="62" t="s">
        <v>531</v>
      </c>
      <c r="C65" s="1"/>
      <c r="D65" s="1"/>
      <c r="E65" s="50"/>
      <c r="F65" s="50"/>
      <c r="G65" s="50"/>
      <c r="H65" s="50"/>
      <c r="I65" s="50"/>
      <c r="J65" s="50"/>
      <c r="K65" s="51"/>
      <c r="L65" s="52"/>
      <c r="M65" s="53"/>
      <c r="N65" s="54"/>
      <c r="O65" s="54"/>
      <c r="P65" s="54"/>
      <c r="Q65" s="54"/>
      <c r="R65" s="76"/>
    </row>
    <row r="66" spans="1:18" hidden="1" x14ac:dyDescent="0.25">
      <c r="A66" s="1">
        <v>60</v>
      </c>
      <c r="B66" s="49" t="s">
        <v>530</v>
      </c>
      <c r="C66" s="1"/>
      <c r="D66" s="1"/>
      <c r="E66" s="50"/>
      <c r="F66" s="50"/>
      <c r="G66" s="50"/>
      <c r="H66" s="50"/>
      <c r="I66" s="50"/>
      <c r="J66" s="50"/>
      <c r="K66" s="51"/>
      <c r="L66" s="52"/>
      <c r="M66" s="53"/>
      <c r="N66" s="54"/>
      <c r="O66" s="54"/>
      <c r="P66" s="54"/>
      <c r="Q66" s="54"/>
      <c r="R66" s="55"/>
    </row>
    <row r="67" spans="1:18" hidden="1" x14ac:dyDescent="0.25">
      <c r="A67" s="1">
        <v>61</v>
      </c>
      <c r="B67" s="49" t="s">
        <v>529</v>
      </c>
      <c r="C67" s="1"/>
      <c r="D67" s="1"/>
      <c r="E67" s="50"/>
      <c r="F67" s="50"/>
      <c r="G67" s="50"/>
      <c r="H67" s="50"/>
      <c r="I67" s="50"/>
      <c r="J67" s="50"/>
      <c r="K67" s="51"/>
      <c r="L67" s="52"/>
      <c r="M67" s="53"/>
      <c r="N67" s="54"/>
      <c r="O67" s="54"/>
      <c r="P67" s="54"/>
      <c r="Q67" s="54"/>
      <c r="R67" s="55"/>
    </row>
    <row r="68" spans="1:18" hidden="1" x14ac:dyDescent="0.25">
      <c r="A68" s="1">
        <v>62</v>
      </c>
      <c r="B68" s="49" t="s">
        <v>528</v>
      </c>
      <c r="C68" s="1"/>
      <c r="D68" s="1"/>
      <c r="E68" s="50"/>
      <c r="F68" s="50"/>
      <c r="G68" s="50"/>
      <c r="H68" s="50"/>
      <c r="I68" s="50"/>
      <c r="J68" s="50"/>
      <c r="K68" s="51"/>
      <c r="L68" s="52"/>
      <c r="M68" s="53"/>
      <c r="N68" s="54"/>
      <c r="O68" s="54"/>
      <c r="P68" s="54"/>
      <c r="Q68" s="54"/>
      <c r="R68" s="55"/>
    </row>
    <row r="69" spans="1:18" hidden="1" x14ac:dyDescent="0.25">
      <c r="A69" s="1">
        <v>63</v>
      </c>
      <c r="B69" s="49" t="s">
        <v>527</v>
      </c>
      <c r="C69" s="1"/>
      <c r="D69" s="1"/>
      <c r="E69" s="50"/>
      <c r="F69" s="50"/>
      <c r="G69" s="50"/>
      <c r="H69" s="50"/>
      <c r="I69" s="50"/>
      <c r="J69" s="50"/>
      <c r="K69" s="51"/>
      <c r="L69" s="52"/>
      <c r="M69" s="53"/>
      <c r="N69" s="54"/>
      <c r="O69" s="54"/>
      <c r="P69" s="54"/>
      <c r="Q69" s="54"/>
      <c r="R69" s="55"/>
    </row>
    <row r="70" spans="1:18" hidden="1" x14ac:dyDescent="0.25">
      <c r="A70" s="1">
        <v>64</v>
      </c>
      <c r="B70" s="49" t="s">
        <v>526</v>
      </c>
      <c r="C70" s="1"/>
      <c r="D70" s="1"/>
      <c r="E70" s="50"/>
      <c r="F70" s="50"/>
      <c r="G70" s="50"/>
      <c r="H70" s="50"/>
      <c r="I70" s="50"/>
      <c r="J70" s="50"/>
      <c r="K70" s="51"/>
      <c r="L70" s="52"/>
      <c r="M70" s="53"/>
      <c r="N70" s="54"/>
      <c r="O70" s="54"/>
      <c r="P70" s="54"/>
      <c r="Q70" s="54"/>
      <c r="R70" s="55"/>
    </row>
    <row r="71" spans="1:18" hidden="1" x14ac:dyDescent="0.25">
      <c r="A71" s="1">
        <v>65</v>
      </c>
      <c r="B71" s="49" t="s">
        <v>525</v>
      </c>
      <c r="C71" s="1"/>
      <c r="D71" s="1"/>
      <c r="E71" s="50"/>
      <c r="F71" s="50"/>
      <c r="G71" s="50"/>
      <c r="H71" s="50"/>
      <c r="I71" s="50"/>
      <c r="J71" s="50"/>
      <c r="K71" s="51"/>
      <c r="L71" s="52"/>
      <c r="M71" s="53"/>
      <c r="N71" s="54"/>
      <c r="O71" s="54"/>
      <c r="P71" s="54"/>
      <c r="Q71" s="54"/>
      <c r="R71" s="55"/>
    </row>
    <row r="72" spans="1:18" hidden="1" x14ac:dyDescent="0.25">
      <c r="A72" s="1">
        <v>66</v>
      </c>
      <c r="B72" s="49" t="s">
        <v>524</v>
      </c>
      <c r="C72" s="1"/>
      <c r="D72" s="1"/>
      <c r="E72" s="50"/>
      <c r="F72" s="50"/>
      <c r="G72" s="50"/>
      <c r="H72" s="50"/>
      <c r="I72" s="50"/>
      <c r="J72" s="50"/>
      <c r="K72" s="51"/>
      <c r="L72" s="52"/>
      <c r="M72" s="53"/>
      <c r="N72" s="54"/>
      <c r="O72" s="54"/>
      <c r="P72" s="54"/>
      <c r="Q72" s="54"/>
      <c r="R72" s="55"/>
    </row>
    <row r="73" spans="1:18" hidden="1" x14ac:dyDescent="0.25">
      <c r="A73" s="1">
        <v>67</v>
      </c>
      <c r="B73" s="49" t="s">
        <v>523</v>
      </c>
      <c r="C73" s="1"/>
      <c r="D73" s="1"/>
      <c r="E73" s="50"/>
      <c r="F73" s="50"/>
      <c r="G73" s="50"/>
      <c r="H73" s="50"/>
      <c r="I73" s="50"/>
      <c r="J73" s="50"/>
      <c r="K73" s="51"/>
      <c r="L73" s="52"/>
      <c r="M73" s="53"/>
      <c r="N73" s="54"/>
      <c r="O73" s="54"/>
      <c r="P73" s="54"/>
      <c r="Q73" s="54"/>
      <c r="R73" s="97"/>
    </row>
    <row r="74" spans="1:18" ht="25.5" customHeight="1" x14ac:dyDescent="0.25">
      <c r="A74" s="1">
        <v>68</v>
      </c>
      <c r="B74" s="49" t="s">
        <v>522</v>
      </c>
      <c r="C74" s="305">
        <v>10</v>
      </c>
      <c r="D74" s="305">
        <v>12</v>
      </c>
      <c r="E74" s="305"/>
      <c r="F74" s="305"/>
      <c r="G74" s="305"/>
      <c r="H74" s="305"/>
      <c r="I74" s="305"/>
      <c r="J74" s="305"/>
      <c r="K74" s="154"/>
      <c r="L74" s="305"/>
      <c r="M74" s="306">
        <v>12</v>
      </c>
      <c r="N74" s="304">
        <f t="shared" ref="N74" si="12">IF(D74=0,"-",(K74/D74))</f>
        <v>0</v>
      </c>
      <c r="O74" s="304">
        <f t="shared" ref="O74" si="13">IF(D74=0,"-",(L74/D74))</f>
        <v>0</v>
      </c>
      <c r="P74" s="304">
        <f t="shared" ref="P74" si="14">IF(D74=0,"-",(M74/D74))</f>
        <v>1</v>
      </c>
      <c r="Q74" s="304">
        <f t="shared" ref="Q74" si="15">IF(D74=0,"-",(O74+P74))</f>
        <v>1</v>
      </c>
      <c r="R74" s="76"/>
    </row>
    <row r="75" spans="1:18" hidden="1" x14ac:dyDescent="0.25">
      <c r="A75" s="1">
        <v>69</v>
      </c>
      <c r="B75" s="49" t="s">
        <v>521</v>
      </c>
      <c r="C75" s="1"/>
      <c r="D75" s="1"/>
      <c r="E75" s="50"/>
      <c r="F75" s="50"/>
      <c r="G75" s="50"/>
      <c r="H75" s="50"/>
      <c r="I75" s="50"/>
      <c r="J75" s="50"/>
      <c r="K75" s="51"/>
      <c r="L75" s="52"/>
      <c r="M75" s="53"/>
      <c r="N75" s="54"/>
      <c r="O75" s="54"/>
      <c r="P75" s="54"/>
      <c r="Q75" s="54"/>
      <c r="R75" s="258"/>
    </row>
    <row r="76" spans="1:18" ht="24.75" hidden="1" customHeight="1" x14ac:dyDescent="0.25">
      <c r="A76" s="1">
        <v>70</v>
      </c>
      <c r="B76" s="49" t="s">
        <v>520</v>
      </c>
      <c r="C76" s="1"/>
      <c r="D76" s="1"/>
      <c r="E76" s="50"/>
      <c r="F76" s="50"/>
      <c r="G76" s="50"/>
      <c r="H76" s="50"/>
      <c r="I76" s="50"/>
      <c r="J76" s="50"/>
      <c r="K76" s="51"/>
      <c r="L76" s="52"/>
      <c r="M76" s="53"/>
      <c r="N76" s="54"/>
      <c r="O76" s="54"/>
      <c r="P76" s="54"/>
      <c r="Q76" s="54"/>
      <c r="R76" s="97"/>
    </row>
    <row r="77" spans="1:18" ht="27.75" hidden="1" customHeight="1" x14ac:dyDescent="0.25">
      <c r="A77" s="1">
        <v>71</v>
      </c>
      <c r="B77" s="49" t="s">
        <v>519</v>
      </c>
      <c r="C77" s="1"/>
      <c r="D77" s="1"/>
      <c r="E77" s="50"/>
      <c r="F77" s="50"/>
      <c r="G77" s="50"/>
      <c r="H77" s="50"/>
      <c r="I77" s="50"/>
      <c r="J77" s="50"/>
      <c r="K77" s="51"/>
      <c r="L77" s="52"/>
      <c r="M77" s="53"/>
      <c r="N77" s="54"/>
      <c r="O77" s="54"/>
      <c r="P77" s="54"/>
      <c r="Q77" s="54"/>
      <c r="R77" s="65"/>
    </row>
    <row r="78" spans="1:18" s="312" customFormat="1" ht="15.75" x14ac:dyDescent="0.25">
      <c r="A78" s="1">
        <v>72</v>
      </c>
      <c r="B78" s="49" t="s">
        <v>518</v>
      </c>
      <c r="C78" s="1">
        <v>10</v>
      </c>
      <c r="D78" s="1">
        <v>14</v>
      </c>
      <c r="E78" s="50"/>
      <c r="F78" s="50"/>
      <c r="G78" s="50"/>
      <c r="H78" s="50"/>
      <c r="I78" s="50"/>
      <c r="J78" s="50"/>
      <c r="K78" s="51"/>
      <c r="L78" s="52"/>
      <c r="M78" s="53">
        <v>14</v>
      </c>
      <c r="N78" s="54">
        <f t="shared" ref="N78" si="16">IF(D78=0,"-",(K78/D78))</f>
        <v>0</v>
      </c>
      <c r="O78" s="54">
        <f t="shared" ref="O78" si="17">IF(D78=0,"-",(L78/D78))</f>
        <v>0</v>
      </c>
      <c r="P78" s="54">
        <f t="shared" ref="P78" si="18">IF(D78=0,"-",(M78/D78))</f>
        <v>1</v>
      </c>
      <c r="Q78" s="54">
        <f t="shared" ref="Q78" si="19">IF(D78=0,"-",(O78+P78))</f>
        <v>1</v>
      </c>
      <c r="R78" s="65"/>
    </row>
    <row r="79" spans="1:18" ht="27.75" hidden="1" customHeight="1" x14ac:dyDescent="0.25">
      <c r="A79" s="1">
        <v>73</v>
      </c>
      <c r="B79" s="49" t="s">
        <v>517</v>
      </c>
      <c r="C79" s="1"/>
      <c r="D79" s="1"/>
      <c r="E79" s="50"/>
      <c r="F79" s="50"/>
      <c r="G79" s="50"/>
      <c r="H79" s="50"/>
      <c r="I79" s="50"/>
      <c r="J79" s="50"/>
      <c r="K79" s="51"/>
      <c r="L79" s="52"/>
      <c r="M79" s="53"/>
      <c r="N79" s="54"/>
      <c r="O79" s="54"/>
      <c r="P79" s="54"/>
      <c r="Q79" s="54"/>
      <c r="R79" s="65"/>
    </row>
    <row r="80" spans="1:18" ht="20.25" hidden="1" customHeight="1" x14ac:dyDescent="0.25">
      <c r="A80" s="1">
        <v>74</v>
      </c>
      <c r="B80" s="49" t="s">
        <v>516</v>
      </c>
      <c r="C80" s="1"/>
      <c r="D80" s="1"/>
      <c r="E80" s="50"/>
      <c r="F80" s="50"/>
      <c r="G80" s="50"/>
      <c r="H80" s="50"/>
      <c r="I80" s="50"/>
      <c r="J80" s="50"/>
      <c r="K80" s="51"/>
      <c r="L80" s="52"/>
      <c r="M80" s="53"/>
      <c r="N80" s="54"/>
      <c r="O80" s="54"/>
      <c r="P80" s="54"/>
      <c r="Q80" s="54"/>
      <c r="R80" s="65"/>
    </row>
    <row r="81" spans="1:18" hidden="1" x14ac:dyDescent="0.25">
      <c r="A81" s="1">
        <v>75</v>
      </c>
      <c r="B81" s="49" t="s">
        <v>515</v>
      </c>
      <c r="C81" s="1"/>
      <c r="D81" s="1"/>
      <c r="E81" s="50"/>
      <c r="F81" s="50"/>
      <c r="G81" s="50"/>
      <c r="H81" s="50"/>
      <c r="I81" s="50"/>
      <c r="J81" s="50"/>
      <c r="K81" s="51"/>
      <c r="L81" s="52"/>
      <c r="M81" s="53"/>
      <c r="N81" s="54"/>
      <c r="O81" s="54"/>
      <c r="P81" s="54"/>
      <c r="Q81" s="54"/>
      <c r="R81" s="55"/>
    </row>
    <row r="82" spans="1:18" hidden="1" x14ac:dyDescent="0.25">
      <c r="A82" s="1">
        <v>76</v>
      </c>
      <c r="B82" s="49" t="s">
        <v>514</v>
      </c>
      <c r="C82" s="1"/>
      <c r="D82" s="1"/>
      <c r="E82" s="50"/>
      <c r="F82" s="50"/>
      <c r="G82" s="50"/>
      <c r="H82" s="50"/>
      <c r="I82" s="50"/>
      <c r="J82" s="50"/>
      <c r="K82" s="51"/>
      <c r="L82" s="52"/>
      <c r="M82" s="53"/>
      <c r="N82" s="54"/>
      <c r="O82" s="54"/>
      <c r="P82" s="54"/>
      <c r="Q82" s="54"/>
      <c r="R82" s="55"/>
    </row>
    <row r="83" spans="1:18" hidden="1" x14ac:dyDescent="0.25">
      <c r="A83" s="1">
        <v>77</v>
      </c>
      <c r="B83" s="49" t="s">
        <v>513</v>
      </c>
      <c r="C83" s="1"/>
      <c r="D83" s="1"/>
      <c r="E83" s="50"/>
      <c r="F83" s="50"/>
      <c r="G83" s="50"/>
      <c r="H83" s="50"/>
      <c r="I83" s="50"/>
      <c r="J83" s="50"/>
      <c r="K83" s="51"/>
      <c r="L83" s="52"/>
      <c r="M83" s="53"/>
      <c r="N83" s="54"/>
      <c r="O83" s="54"/>
      <c r="P83" s="54"/>
      <c r="Q83" s="54"/>
      <c r="R83" s="55"/>
    </row>
    <row r="84" spans="1:18" ht="30" hidden="1" x14ac:dyDescent="0.25">
      <c r="A84" s="1">
        <v>78</v>
      </c>
      <c r="B84" s="49" t="s">
        <v>512</v>
      </c>
      <c r="C84" s="1"/>
      <c r="D84" s="1"/>
      <c r="E84" s="50"/>
      <c r="F84" s="50"/>
      <c r="G84" s="50"/>
      <c r="H84" s="50"/>
      <c r="I84" s="50"/>
      <c r="J84" s="50"/>
      <c r="K84" s="51"/>
      <c r="L84" s="52"/>
      <c r="M84" s="53"/>
      <c r="N84" s="54"/>
      <c r="O84" s="54"/>
      <c r="P84" s="54"/>
      <c r="Q84" s="54"/>
      <c r="R84" s="55"/>
    </row>
    <row r="85" spans="1:18" hidden="1" x14ac:dyDescent="0.25">
      <c r="A85" s="1">
        <v>79</v>
      </c>
      <c r="B85" s="80" t="s">
        <v>511</v>
      </c>
      <c r="C85" s="1"/>
      <c r="D85" s="1"/>
      <c r="E85" s="50"/>
      <c r="F85" s="50"/>
      <c r="G85" s="50"/>
      <c r="H85" s="50"/>
      <c r="I85" s="50"/>
      <c r="J85" s="50"/>
      <c r="K85" s="51"/>
      <c r="L85" s="52"/>
      <c r="M85" s="53"/>
      <c r="N85" s="54"/>
      <c r="O85" s="54"/>
      <c r="P85" s="54"/>
      <c r="Q85" s="54"/>
      <c r="R85" s="55"/>
    </row>
    <row r="86" spans="1:18" ht="21" hidden="1" customHeight="1" x14ac:dyDescent="0.25">
      <c r="A86" s="1">
        <v>80</v>
      </c>
      <c r="B86" s="80" t="s">
        <v>510</v>
      </c>
      <c r="C86" s="1"/>
      <c r="D86" s="1"/>
      <c r="E86" s="50"/>
      <c r="F86" s="50"/>
      <c r="G86" s="50"/>
      <c r="H86" s="50"/>
      <c r="I86" s="50"/>
      <c r="J86" s="50"/>
      <c r="K86" s="51"/>
      <c r="L86" s="52"/>
      <c r="M86" s="53"/>
      <c r="N86" s="54"/>
      <c r="O86" s="54"/>
      <c r="P86" s="54"/>
      <c r="Q86" s="54"/>
      <c r="R86" s="65"/>
    </row>
    <row r="87" spans="1:18" ht="39.75" hidden="1" customHeight="1" x14ac:dyDescent="0.25">
      <c r="A87" s="1">
        <v>81</v>
      </c>
      <c r="B87" s="80" t="s">
        <v>509</v>
      </c>
      <c r="C87" s="1"/>
      <c r="D87" s="1"/>
      <c r="E87" s="50"/>
      <c r="F87" s="50"/>
      <c r="G87" s="50"/>
      <c r="H87" s="50"/>
      <c r="I87" s="50"/>
      <c r="J87" s="50"/>
      <c r="K87" s="51"/>
      <c r="L87" s="52"/>
      <c r="M87" s="53"/>
      <c r="N87" s="54"/>
      <c r="O87" s="54"/>
      <c r="P87" s="54"/>
      <c r="Q87" s="54"/>
      <c r="R87" s="65"/>
    </row>
    <row r="88" spans="1:18" ht="35.25" hidden="1" customHeight="1" x14ac:dyDescent="0.25">
      <c r="A88" s="1">
        <v>82</v>
      </c>
      <c r="B88" s="62" t="s">
        <v>508</v>
      </c>
      <c r="C88" s="1"/>
      <c r="D88" s="1"/>
      <c r="E88" s="50"/>
      <c r="F88" s="50"/>
      <c r="G88" s="50"/>
      <c r="H88" s="50"/>
      <c r="I88" s="50"/>
      <c r="J88" s="50"/>
      <c r="K88" s="51"/>
      <c r="L88" s="52"/>
      <c r="M88" s="53"/>
      <c r="N88" s="54"/>
      <c r="O88" s="54"/>
      <c r="P88" s="54"/>
      <c r="Q88" s="54"/>
      <c r="R88" s="65"/>
    </row>
    <row r="89" spans="1:18" ht="21" hidden="1" customHeight="1" x14ac:dyDescent="0.25">
      <c r="A89" s="1">
        <v>83</v>
      </c>
      <c r="B89" s="49" t="s">
        <v>679</v>
      </c>
      <c r="C89" s="1"/>
      <c r="D89" s="1"/>
      <c r="E89" s="50"/>
      <c r="F89" s="50"/>
      <c r="G89" s="50"/>
      <c r="H89" s="50"/>
      <c r="I89" s="50"/>
      <c r="J89" s="50"/>
      <c r="K89" s="51"/>
      <c r="L89" s="50"/>
      <c r="M89" s="53"/>
      <c r="N89" s="54"/>
      <c r="O89" s="54"/>
      <c r="P89" s="54"/>
      <c r="Q89" s="54"/>
      <c r="R89" s="76"/>
    </row>
    <row r="90" spans="1:18" ht="15.75" hidden="1" x14ac:dyDescent="0.25">
      <c r="A90" s="1">
        <v>84</v>
      </c>
      <c r="B90" s="56" t="s">
        <v>680</v>
      </c>
      <c r="C90" s="1"/>
      <c r="D90" s="1"/>
      <c r="E90" s="50"/>
      <c r="F90" s="50"/>
      <c r="G90" s="50"/>
      <c r="H90" s="50"/>
      <c r="I90" s="50"/>
      <c r="J90" s="50"/>
      <c r="K90" s="51"/>
      <c r="L90" s="52"/>
      <c r="M90" s="53"/>
      <c r="N90" s="54"/>
      <c r="O90" s="54"/>
      <c r="P90" s="54"/>
      <c r="Q90" s="54"/>
      <c r="R90" s="81"/>
    </row>
    <row r="91" spans="1:18" hidden="1" x14ac:dyDescent="0.25">
      <c r="A91" s="1">
        <v>85</v>
      </c>
      <c r="B91" s="56" t="s">
        <v>507</v>
      </c>
      <c r="C91" s="1"/>
      <c r="D91" s="1"/>
      <c r="E91" s="50"/>
      <c r="F91" s="50"/>
      <c r="G91" s="50"/>
      <c r="H91" s="50"/>
      <c r="I91" s="50"/>
      <c r="J91" s="50"/>
      <c r="K91" s="51"/>
      <c r="L91" s="52"/>
      <c r="M91" s="53"/>
      <c r="N91" s="54"/>
      <c r="O91" s="54"/>
      <c r="P91" s="54"/>
      <c r="Q91" s="54"/>
      <c r="R91" s="55"/>
    </row>
    <row r="92" spans="1:18" hidden="1" x14ac:dyDescent="0.25">
      <c r="A92" s="1">
        <v>86</v>
      </c>
      <c r="B92" s="49" t="s">
        <v>506</v>
      </c>
      <c r="C92" s="1"/>
      <c r="D92" s="1"/>
      <c r="E92" s="50"/>
      <c r="F92" s="50"/>
      <c r="G92" s="50"/>
      <c r="H92" s="50"/>
      <c r="I92" s="50"/>
      <c r="J92" s="50"/>
      <c r="K92" s="51"/>
      <c r="L92" s="52"/>
      <c r="M92" s="53"/>
      <c r="N92" s="54"/>
      <c r="O92" s="54"/>
      <c r="P92" s="54"/>
      <c r="Q92" s="54"/>
      <c r="R92" s="55"/>
    </row>
    <row r="93" spans="1:18" hidden="1" x14ac:dyDescent="0.25">
      <c r="A93" s="1">
        <v>87</v>
      </c>
      <c r="B93" s="49" t="s">
        <v>505</v>
      </c>
      <c r="C93" s="1"/>
      <c r="D93" s="1"/>
      <c r="E93" s="50"/>
      <c r="F93" s="50"/>
      <c r="G93" s="50"/>
      <c r="H93" s="50"/>
      <c r="I93" s="50"/>
      <c r="J93" s="50"/>
      <c r="K93" s="51"/>
      <c r="L93" s="52"/>
      <c r="M93" s="53"/>
      <c r="N93" s="54"/>
      <c r="O93" s="54"/>
      <c r="P93" s="54"/>
      <c r="Q93" s="54"/>
      <c r="R93" s="65"/>
    </row>
    <row r="94" spans="1:18" hidden="1" x14ac:dyDescent="0.25">
      <c r="A94" s="1">
        <v>88</v>
      </c>
      <c r="B94" s="49" t="s">
        <v>504</v>
      </c>
      <c r="C94" s="1"/>
      <c r="D94" s="1"/>
      <c r="E94" s="50"/>
      <c r="F94" s="50"/>
      <c r="G94" s="50"/>
      <c r="H94" s="50"/>
      <c r="I94" s="50"/>
      <c r="J94" s="50"/>
      <c r="K94" s="51"/>
      <c r="L94" s="52"/>
      <c r="M94" s="53"/>
      <c r="N94" s="54"/>
      <c r="O94" s="54"/>
      <c r="P94" s="54"/>
      <c r="Q94" s="54"/>
      <c r="R94" s="55"/>
    </row>
    <row r="95" spans="1:18" hidden="1" x14ac:dyDescent="0.25">
      <c r="A95" s="1">
        <v>89</v>
      </c>
      <c r="B95" s="56" t="s">
        <v>503</v>
      </c>
      <c r="C95" s="1"/>
      <c r="D95" s="1"/>
      <c r="E95" s="50"/>
      <c r="F95" s="50"/>
      <c r="G95" s="50"/>
      <c r="H95" s="50"/>
      <c r="I95" s="50"/>
      <c r="J95" s="50"/>
      <c r="K95" s="51"/>
      <c r="L95" s="52"/>
      <c r="M95" s="53"/>
      <c r="N95" s="54"/>
      <c r="O95" s="54"/>
      <c r="P95" s="54"/>
      <c r="Q95" s="54"/>
      <c r="R95" s="55"/>
    </row>
    <row r="96" spans="1:18" hidden="1" x14ac:dyDescent="0.25">
      <c r="A96" s="1">
        <v>90</v>
      </c>
      <c r="B96" s="56" t="s">
        <v>502</v>
      </c>
      <c r="C96" s="1"/>
      <c r="D96" s="1"/>
      <c r="E96" s="50"/>
      <c r="F96" s="50"/>
      <c r="G96" s="50"/>
      <c r="H96" s="50"/>
      <c r="I96" s="50"/>
      <c r="J96" s="50"/>
      <c r="K96" s="51"/>
      <c r="L96" s="52"/>
      <c r="M96" s="53"/>
      <c r="N96" s="54"/>
      <c r="O96" s="54"/>
      <c r="P96" s="54"/>
      <c r="Q96" s="54"/>
      <c r="R96" s="55"/>
    </row>
    <row r="97" spans="1:18" ht="15.75" hidden="1" x14ac:dyDescent="0.25">
      <c r="A97" s="1">
        <v>91</v>
      </c>
      <c r="B97" s="56" t="s">
        <v>501</v>
      </c>
      <c r="C97" s="1"/>
      <c r="D97" s="1"/>
      <c r="E97" s="50"/>
      <c r="F97" s="50"/>
      <c r="G97" s="50"/>
      <c r="H97" s="50"/>
      <c r="I97" s="50"/>
      <c r="J97" s="50"/>
      <c r="K97" s="51"/>
      <c r="L97" s="52"/>
      <c r="M97" s="53"/>
      <c r="N97" s="54"/>
      <c r="O97" s="54"/>
      <c r="P97" s="54"/>
      <c r="Q97" s="54"/>
      <c r="R97" s="48"/>
    </row>
    <row r="98" spans="1:18" hidden="1" x14ac:dyDescent="0.25">
      <c r="A98" s="1">
        <v>92</v>
      </c>
      <c r="B98" s="56" t="s">
        <v>500</v>
      </c>
      <c r="C98" s="1"/>
      <c r="D98" s="1"/>
      <c r="E98" s="50"/>
      <c r="F98" s="50"/>
      <c r="G98" s="50"/>
      <c r="H98" s="50"/>
      <c r="I98" s="50"/>
      <c r="J98" s="50"/>
      <c r="K98" s="51"/>
      <c r="L98" s="52"/>
      <c r="M98" s="53"/>
      <c r="N98" s="54"/>
      <c r="O98" s="54"/>
      <c r="P98" s="54"/>
      <c r="Q98" s="54"/>
      <c r="R98" s="55"/>
    </row>
    <row r="99" spans="1:18" hidden="1" x14ac:dyDescent="0.25">
      <c r="A99" s="1">
        <v>93</v>
      </c>
      <c r="B99" s="56" t="s">
        <v>499</v>
      </c>
      <c r="C99" s="1"/>
      <c r="D99" s="1"/>
      <c r="E99" s="50"/>
      <c r="F99" s="50"/>
      <c r="G99" s="50"/>
      <c r="H99" s="50"/>
      <c r="I99" s="50"/>
      <c r="J99" s="50"/>
      <c r="K99" s="51"/>
      <c r="L99" s="52"/>
      <c r="M99" s="53"/>
      <c r="N99" s="54"/>
      <c r="O99" s="54"/>
      <c r="P99" s="54"/>
      <c r="Q99" s="54"/>
      <c r="R99" s="55"/>
    </row>
    <row r="100" spans="1:18" hidden="1" x14ac:dyDescent="0.25">
      <c r="A100" s="1">
        <v>94</v>
      </c>
      <c r="B100" s="56" t="s">
        <v>498</v>
      </c>
      <c r="C100" s="1"/>
      <c r="D100" s="1"/>
      <c r="E100" s="50"/>
      <c r="F100" s="50"/>
      <c r="G100" s="50"/>
      <c r="H100" s="50"/>
      <c r="I100" s="50"/>
      <c r="J100" s="50"/>
      <c r="K100" s="51"/>
      <c r="L100" s="52"/>
      <c r="M100" s="53"/>
      <c r="N100" s="54"/>
      <c r="O100" s="54"/>
      <c r="P100" s="54"/>
      <c r="Q100" s="54"/>
      <c r="R100" s="97"/>
    </row>
    <row r="101" spans="1:18" hidden="1" x14ac:dyDescent="0.25">
      <c r="A101" s="1">
        <v>95</v>
      </c>
      <c r="B101" s="56" t="s">
        <v>497</v>
      </c>
      <c r="C101" s="1"/>
      <c r="D101" s="1"/>
      <c r="E101" s="50"/>
      <c r="F101" s="50"/>
      <c r="G101" s="50"/>
      <c r="H101" s="50"/>
      <c r="I101" s="50"/>
      <c r="J101" s="50"/>
      <c r="K101" s="51"/>
      <c r="L101" s="52"/>
      <c r="M101" s="53"/>
      <c r="N101" s="54"/>
      <c r="O101" s="54"/>
      <c r="P101" s="54"/>
      <c r="Q101" s="54"/>
      <c r="R101" s="55"/>
    </row>
    <row r="102" spans="1:18" hidden="1" x14ac:dyDescent="0.25">
      <c r="A102" s="1">
        <v>96</v>
      </c>
      <c r="B102" s="56" t="s">
        <v>496</v>
      </c>
      <c r="C102" s="1"/>
      <c r="D102" s="1"/>
      <c r="E102" s="50"/>
      <c r="F102" s="50"/>
      <c r="G102" s="50"/>
      <c r="H102" s="50"/>
      <c r="I102" s="50"/>
      <c r="J102" s="50"/>
      <c r="K102" s="51"/>
      <c r="L102" s="52"/>
      <c r="M102" s="53"/>
      <c r="N102" s="54"/>
      <c r="O102" s="54"/>
      <c r="P102" s="54"/>
      <c r="Q102" s="54"/>
      <c r="R102" s="55"/>
    </row>
    <row r="103" spans="1:18" ht="21" customHeight="1" x14ac:dyDescent="0.25">
      <c r="A103" s="1">
        <v>97</v>
      </c>
      <c r="B103" s="49" t="s">
        <v>1082</v>
      </c>
      <c r="C103" s="305">
        <v>0</v>
      </c>
      <c r="D103" s="305">
        <v>1</v>
      </c>
      <c r="E103" s="305"/>
      <c r="F103" s="305"/>
      <c r="G103" s="305"/>
      <c r="H103" s="305"/>
      <c r="I103" s="305"/>
      <c r="J103" s="305"/>
      <c r="K103" s="154"/>
      <c r="L103" s="305"/>
      <c r="M103" s="306">
        <v>1</v>
      </c>
      <c r="N103" s="304">
        <f t="shared" ref="N103" si="20">IF(D103=0,"-",(K103/D103))</f>
        <v>0</v>
      </c>
      <c r="O103" s="304">
        <f t="shared" ref="O103" si="21">IF(D103=0,"-",(L103/D103))</f>
        <v>0</v>
      </c>
      <c r="P103" s="304">
        <f t="shared" ref="P103" si="22">IF(D103=0,"-",(M103/D103))</f>
        <v>1</v>
      </c>
      <c r="Q103" s="304">
        <f t="shared" ref="Q103" si="23">IF(D103=0,"-",(O103+P103))</f>
        <v>1</v>
      </c>
      <c r="R103" s="97"/>
    </row>
    <row r="104" spans="1:18" ht="27.75" hidden="1" customHeight="1" x14ac:dyDescent="0.25">
      <c r="A104" s="1">
        <v>98</v>
      </c>
      <c r="B104" s="56" t="s">
        <v>495</v>
      </c>
      <c r="C104" s="1"/>
      <c r="D104" s="1"/>
      <c r="E104" s="50"/>
      <c r="F104" s="50"/>
      <c r="G104" s="50"/>
      <c r="H104" s="50"/>
      <c r="I104" s="50"/>
      <c r="J104" s="50"/>
      <c r="K104" s="51"/>
      <c r="L104" s="52"/>
      <c r="M104" s="53"/>
      <c r="N104" s="54"/>
      <c r="O104" s="54"/>
      <c r="P104" s="54"/>
      <c r="Q104" s="54"/>
      <c r="R104" s="76"/>
    </row>
    <row r="105" spans="1:18" x14ac:dyDescent="0.25">
      <c r="A105" s="1">
        <v>99</v>
      </c>
      <c r="B105" s="49" t="s">
        <v>689</v>
      </c>
      <c r="C105" s="305">
        <v>4</v>
      </c>
      <c r="D105" s="305">
        <v>1</v>
      </c>
      <c r="E105" s="305"/>
      <c r="F105" s="305"/>
      <c r="G105" s="305"/>
      <c r="H105" s="305"/>
      <c r="I105" s="305"/>
      <c r="J105" s="305"/>
      <c r="K105" s="154"/>
      <c r="L105" s="305"/>
      <c r="M105" s="306">
        <v>1</v>
      </c>
      <c r="N105" s="304">
        <f t="shared" ref="N105" si="24">IF(D105=0,"-",(K105/D105))</f>
        <v>0</v>
      </c>
      <c r="O105" s="304">
        <f t="shared" ref="O105" si="25">IF(D105=0,"-",(L105/D105))</f>
        <v>0</v>
      </c>
      <c r="P105" s="304">
        <f t="shared" ref="P105" si="26">IF(D105=0,"-",(M105/D105))</f>
        <v>1</v>
      </c>
      <c r="Q105" s="304">
        <f t="shared" ref="Q105" si="27">IF(D105=0,"-",(O105+P105))</f>
        <v>1</v>
      </c>
      <c r="R105" s="96"/>
    </row>
    <row r="106" spans="1:18" ht="39.75" hidden="1" customHeight="1" x14ac:dyDescent="0.25">
      <c r="A106" s="1">
        <v>100</v>
      </c>
      <c r="B106" s="56" t="s">
        <v>494</v>
      </c>
      <c r="C106" s="1"/>
      <c r="D106" s="1"/>
      <c r="E106" s="50"/>
      <c r="F106" s="50"/>
      <c r="G106" s="50"/>
      <c r="H106" s="50"/>
      <c r="I106" s="50"/>
      <c r="J106" s="50"/>
      <c r="K106" s="51"/>
      <c r="L106" s="52"/>
      <c r="M106" s="53"/>
      <c r="N106" s="54"/>
      <c r="O106" s="54"/>
      <c r="P106" s="54"/>
      <c r="Q106" s="54"/>
      <c r="R106" s="81"/>
    </row>
    <row r="107" spans="1:18" ht="28.5" hidden="1" customHeight="1" x14ac:dyDescent="0.25">
      <c r="A107" s="1">
        <v>101</v>
      </c>
      <c r="B107" s="56" t="s">
        <v>493</v>
      </c>
      <c r="C107" s="1"/>
      <c r="D107" s="1"/>
      <c r="E107" s="50"/>
      <c r="F107" s="50"/>
      <c r="G107" s="50"/>
      <c r="H107" s="50"/>
      <c r="I107" s="50"/>
      <c r="J107" s="50"/>
      <c r="K107" s="51"/>
      <c r="L107" s="52"/>
      <c r="M107" s="53"/>
      <c r="N107" s="54"/>
      <c r="O107" s="54"/>
      <c r="P107" s="54"/>
      <c r="Q107" s="54"/>
      <c r="R107" s="48"/>
    </row>
    <row r="108" spans="1:18" ht="33" hidden="1" customHeight="1" x14ac:dyDescent="0.25">
      <c r="A108" s="1">
        <v>102</v>
      </c>
      <c r="B108" s="56" t="s">
        <v>492</v>
      </c>
      <c r="C108" s="1"/>
      <c r="D108" s="1"/>
      <c r="E108" s="50"/>
      <c r="F108" s="50"/>
      <c r="G108" s="50"/>
      <c r="H108" s="50"/>
      <c r="I108" s="50"/>
      <c r="J108" s="50"/>
      <c r="K108" s="51"/>
      <c r="L108" s="52"/>
      <c r="M108" s="53"/>
      <c r="N108" s="54"/>
      <c r="O108" s="54"/>
      <c r="P108" s="54"/>
      <c r="Q108" s="54"/>
      <c r="R108" s="65"/>
    </row>
    <row r="109" spans="1:18" hidden="1" x14ac:dyDescent="0.25">
      <c r="A109" s="1">
        <v>103</v>
      </c>
      <c r="B109" s="49" t="s">
        <v>491</v>
      </c>
      <c r="C109" s="1"/>
      <c r="D109" s="1"/>
      <c r="E109" s="50"/>
      <c r="F109" s="50"/>
      <c r="G109" s="50"/>
      <c r="H109" s="50"/>
      <c r="I109" s="50"/>
      <c r="J109" s="50"/>
      <c r="K109" s="51"/>
      <c r="L109" s="52"/>
      <c r="M109" s="53"/>
      <c r="N109" s="54"/>
      <c r="O109" s="54"/>
      <c r="P109" s="54"/>
      <c r="Q109" s="54"/>
      <c r="R109" s="55"/>
    </row>
    <row r="110" spans="1:18" hidden="1" x14ac:dyDescent="0.25">
      <c r="A110" s="1">
        <v>104</v>
      </c>
      <c r="B110" s="56" t="s">
        <v>490</v>
      </c>
      <c r="C110" s="1"/>
      <c r="D110" s="1"/>
      <c r="E110" s="50"/>
      <c r="F110" s="50"/>
      <c r="G110" s="50"/>
      <c r="H110" s="50"/>
      <c r="I110" s="50"/>
      <c r="J110" s="50"/>
      <c r="K110" s="51"/>
      <c r="L110" s="52"/>
      <c r="M110" s="53"/>
      <c r="N110" s="54"/>
      <c r="O110" s="54"/>
      <c r="P110" s="54"/>
      <c r="Q110" s="54"/>
      <c r="R110" s="55"/>
    </row>
    <row r="111" spans="1:18" ht="30" hidden="1" x14ac:dyDescent="0.25">
      <c r="A111" s="1">
        <v>105</v>
      </c>
      <c r="B111" s="49" t="s">
        <v>489</v>
      </c>
      <c r="C111" s="1"/>
      <c r="D111" s="1"/>
      <c r="E111" s="50"/>
      <c r="F111" s="50"/>
      <c r="G111" s="50"/>
      <c r="H111" s="50"/>
      <c r="I111" s="50"/>
      <c r="J111" s="50"/>
      <c r="K111" s="51"/>
      <c r="L111" s="52"/>
      <c r="M111" s="53"/>
      <c r="N111" s="54"/>
      <c r="O111" s="54"/>
      <c r="P111" s="54"/>
      <c r="Q111" s="54"/>
      <c r="R111" s="55"/>
    </row>
    <row r="112" spans="1:18" hidden="1" x14ac:dyDescent="0.25">
      <c r="A112" s="1">
        <v>106</v>
      </c>
      <c r="B112" s="56" t="s">
        <v>488</v>
      </c>
      <c r="C112" s="1"/>
      <c r="D112" s="1"/>
      <c r="E112" s="50"/>
      <c r="F112" s="50"/>
      <c r="G112" s="50"/>
      <c r="H112" s="50"/>
      <c r="I112" s="50"/>
      <c r="J112" s="50"/>
      <c r="K112" s="51"/>
      <c r="L112" s="52"/>
      <c r="M112" s="53"/>
      <c r="N112" s="54"/>
      <c r="O112" s="54"/>
      <c r="P112" s="54"/>
      <c r="Q112" s="54"/>
      <c r="R112" s="55"/>
    </row>
    <row r="113" spans="1:18" hidden="1" x14ac:dyDescent="0.25">
      <c r="A113" s="1">
        <v>107</v>
      </c>
      <c r="B113" s="56" t="s">
        <v>487</v>
      </c>
      <c r="C113" s="1"/>
      <c r="D113" s="1"/>
      <c r="E113" s="50"/>
      <c r="F113" s="50"/>
      <c r="G113" s="50"/>
      <c r="H113" s="50"/>
      <c r="I113" s="50"/>
      <c r="J113" s="50"/>
      <c r="K113" s="51"/>
      <c r="L113" s="52"/>
      <c r="M113" s="53"/>
      <c r="N113" s="54"/>
      <c r="O113" s="54"/>
      <c r="P113" s="54"/>
      <c r="Q113" s="54"/>
      <c r="R113" s="55"/>
    </row>
    <row r="114" spans="1:18" ht="21.75" hidden="1" customHeight="1" x14ac:dyDescent="0.25">
      <c r="A114" s="1">
        <v>108</v>
      </c>
      <c r="B114" s="49" t="s">
        <v>486</v>
      </c>
      <c r="C114" s="1"/>
      <c r="D114" s="1"/>
      <c r="E114" s="50"/>
      <c r="F114" s="50"/>
      <c r="G114" s="50"/>
      <c r="H114" s="50"/>
      <c r="I114" s="50"/>
      <c r="J114" s="50"/>
      <c r="K114" s="51"/>
      <c r="L114" s="52"/>
      <c r="M114" s="53"/>
      <c r="N114" s="54"/>
      <c r="O114" s="54"/>
      <c r="P114" s="54"/>
      <c r="Q114" s="54"/>
      <c r="R114" s="76"/>
    </row>
    <row r="115" spans="1:18" ht="15.75" hidden="1" x14ac:dyDescent="0.25">
      <c r="A115" s="1">
        <v>109</v>
      </c>
      <c r="B115" s="56" t="s">
        <v>485</v>
      </c>
      <c r="C115" s="1"/>
      <c r="D115" s="1"/>
      <c r="E115" s="50"/>
      <c r="F115" s="50"/>
      <c r="G115" s="50"/>
      <c r="H115" s="50"/>
      <c r="I115" s="50"/>
      <c r="J115" s="50"/>
      <c r="K115" s="51"/>
      <c r="L115" s="52"/>
      <c r="M115" s="53"/>
      <c r="N115" s="54"/>
      <c r="O115" s="54"/>
      <c r="P115" s="54"/>
      <c r="Q115" s="54"/>
      <c r="R115" s="81"/>
    </row>
    <row r="116" spans="1:18" s="83" customFormat="1" ht="35.25" customHeight="1" x14ac:dyDescent="0.25">
      <c r="A116" s="1">
        <v>110</v>
      </c>
      <c r="B116" s="49" t="s">
        <v>484</v>
      </c>
      <c r="C116" s="305">
        <v>0</v>
      </c>
      <c r="D116" s="305">
        <v>0</v>
      </c>
      <c r="E116" s="305"/>
      <c r="F116" s="305"/>
      <c r="G116" s="305"/>
      <c r="H116" s="305"/>
      <c r="I116" s="305"/>
      <c r="J116" s="305"/>
      <c r="K116" s="154"/>
      <c r="L116" s="305"/>
      <c r="M116" s="304" t="str">
        <f t="shared" ref="M116:N116" si="28">IF(C116=0,"-",(J116/C116))</f>
        <v>-</v>
      </c>
      <c r="N116" s="304" t="str">
        <f t="shared" si="28"/>
        <v>-</v>
      </c>
      <c r="O116" s="304" t="str">
        <f t="shared" ref="O116" si="29">IF(D116=0,"-",(L116/D116))</f>
        <v>-</v>
      </c>
      <c r="P116" s="304" t="str">
        <f t="shared" ref="P116" si="30">IF(D116=0,"-",(M116/D116))</f>
        <v>-</v>
      </c>
      <c r="Q116" s="304" t="str">
        <f t="shared" ref="Q116" si="31">IF(D116=0,"-",(O116+P116))</f>
        <v>-</v>
      </c>
      <c r="R116" s="65"/>
    </row>
    <row r="117" spans="1:18" hidden="1" x14ac:dyDescent="0.25">
      <c r="A117" s="1">
        <v>111</v>
      </c>
      <c r="B117" s="56" t="s">
        <v>483</v>
      </c>
      <c r="C117" s="1"/>
      <c r="D117" s="1"/>
      <c r="E117" s="50"/>
      <c r="F117" s="50"/>
      <c r="G117" s="50"/>
      <c r="H117" s="50"/>
      <c r="I117" s="50"/>
      <c r="J117" s="50"/>
      <c r="K117" s="51"/>
      <c r="L117" s="50"/>
      <c r="M117" s="53"/>
      <c r="N117" s="54"/>
      <c r="O117" s="54"/>
      <c r="P117" s="54"/>
      <c r="Q117" s="54"/>
      <c r="R117" s="97"/>
    </row>
    <row r="118" spans="1:18" hidden="1" x14ac:dyDescent="0.25">
      <c r="A118" s="1">
        <v>112</v>
      </c>
      <c r="B118" s="56" t="s">
        <v>482</v>
      </c>
      <c r="C118" s="1"/>
      <c r="D118" s="1"/>
      <c r="E118" s="50"/>
      <c r="F118" s="50"/>
      <c r="G118" s="50"/>
      <c r="H118" s="50"/>
      <c r="I118" s="50"/>
      <c r="J118" s="50"/>
      <c r="K118" s="51"/>
      <c r="L118" s="52"/>
      <c r="M118" s="53"/>
      <c r="N118" s="54"/>
      <c r="O118" s="54"/>
      <c r="P118" s="54"/>
      <c r="Q118" s="54"/>
      <c r="R118" s="96"/>
    </row>
    <row r="119" spans="1:18" hidden="1" x14ac:dyDescent="0.25">
      <c r="A119" s="1">
        <v>113</v>
      </c>
      <c r="B119" s="56" t="s">
        <v>150</v>
      </c>
      <c r="C119" s="1"/>
      <c r="D119" s="1"/>
      <c r="E119" s="50"/>
      <c r="F119" s="50"/>
      <c r="G119" s="50"/>
      <c r="H119" s="50"/>
      <c r="I119" s="50"/>
      <c r="J119" s="50"/>
      <c r="K119" s="51"/>
      <c r="L119" s="50"/>
      <c r="M119" s="53"/>
      <c r="N119" s="54"/>
      <c r="O119" s="54"/>
      <c r="P119" s="54"/>
      <c r="Q119" s="54"/>
      <c r="R119" s="258"/>
    </row>
    <row r="120" spans="1:18" ht="15.75" hidden="1" x14ac:dyDescent="0.25">
      <c r="A120" s="1">
        <v>114</v>
      </c>
      <c r="B120" s="56" t="s">
        <v>481</v>
      </c>
      <c r="C120" s="1"/>
      <c r="D120" s="1"/>
      <c r="E120" s="50"/>
      <c r="F120" s="50"/>
      <c r="G120" s="50"/>
      <c r="H120" s="50"/>
      <c r="I120" s="50"/>
      <c r="J120" s="50"/>
      <c r="K120" s="51"/>
      <c r="L120" s="52"/>
      <c r="M120" s="53"/>
      <c r="N120" s="54"/>
      <c r="O120" s="54"/>
      <c r="P120" s="54"/>
      <c r="Q120" s="54"/>
      <c r="R120" s="74"/>
    </row>
    <row r="121" spans="1:18" hidden="1" x14ac:dyDescent="0.25">
      <c r="A121" s="1">
        <v>115</v>
      </c>
      <c r="B121" s="56" t="s">
        <v>480</v>
      </c>
      <c r="C121" s="1"/>
      <c r="D121" s="1"/>
      <c r="E121" s="50"/>
      <c r="F121" s="50"/>
      <c r="G121" s="50"/>
      <c r="H121" s="50"/>
      <c r="I121" s="50"/>
      <c r="J121" s="50"/>
      <c r="K121" s="51"/>
      <c r="L121" s="50"/>
      <c r="M121" s="53"/>
      <c r="N121" s="54"/>
      <c r="O121" s="54"/>
      <c r="P121" s="54"/>
      <c r="Q121" s="54"/>
      <c r="R121" s="258"/>
    </row>
    <row r="122" spans="1:18" ht="15.75" hidden="1" x14ac:dyDescent="0.25">
      <c r="A122" s="1">
        <v>116</v>
      </c>
      <c r="B122" s="49" t="s">
        <v>479</v>
      </c>
      <c r="C122" s="1"/>
      <c r="D122" s="1"/>
      <c r="E122" s="50"/>
      <c r="F122" s="50"/>
      <c r="G122" s="50"/>
      <c r="H122" s="50"/>
      <c r="I122" s="50"/>
      <c r="J122" s="50"/>
      <c r="K122" s="51"/>
      <c r="L122" s="52"/>
      <c r="M122" s="53"/>
      <c r="N122" s="54"/>
      <c r="O122" s="54"/>
      <c r="P122" s="54"/>
      <c r="Q122" s="54"/>
      <c r="R122" s="74"/>
    </row>
    <row r="123" spans="1:18" ht="15.75" hidden="1" x14ac:dyDescent="0.25">
      <c r="A123" s="1">
        <v>117</v>
      </c>
      <c r="B123" s="49" t="s">
        <v>478</v>
      </c>
      <c r="C123" s="1"/>
      <c r="D123" s="1"/>
      <c r="E123" s="50"/>
      <c r="F123" s="50"/>
      <c r="G123" s="50"/>
      <c r="H123" s="50"/>
      <c r="I123" s="50"/>
      <c r="J123" s="50"/>
      <c r="K123" s="51"/>
      <c r="L123" s="52"/>
      <c r="M123" s="53"/>
      <c r="N123" s="54"/>
      <c r="O123" s="54"/>
      <c r="P123" s="54"/>
      <c r="Q123" s="54"/>
      <c r="R123" s="74"/>
    </row>
    <row r="124" spans="1:18" hidden="1" x14ac:dyDescent="0.25">
      <c r="A124" s="1">
        <v>118</v>
      </c>
      <c r="B124" s="62" t="s">
        <v>477</v>
      </c>
      <c r="C124" s="1"/>
      <c r="D124" s="1"/>
      <c r="E124" s="50"/>
      <c r="F124" s="50"/>
      <c r="G124" s="50"/>
      <c r="H124" s="50"/>
      <c r="I124" s="50"/>
      <c r="J124" s="50"/>
      <c r="K124" s="51"/>
      <c r="L124" s="52"/>
      <c r="M124" s="53"/>
      <c r="N124" s="54"/>
      <c r="O124" s="54"/>
      <c r="P124" s="54"/>
      <c r="Q124" s="54"/>
      <c r="R124" s="76"/>
    </row>
    <row r="125" spans="1:18" hidden="1" x14ac:dyDescent="0.25">
      <c r="A125" s="1">
        <v>119</v>
      </c>
      <c r="B125" s="62" t="s">
        <v>476</v>
      </c>
      <c r="C125" s="1"/>
      <c r="D125" s="1"/>
      <c r="E125" s="50"/>
      <c r="F125" s="50"/>
      <c r="G125" s="50"/>
      <c r="H125" s="50"/>
      <c r="I125" s="50"/>
      <c r="J125" s="50"/>
      <c r="K125" s="51"/>
      <c r="L125" s="50"/>
      <c r="M125" s="53"/>
      <c r="N125" s="54"/>
      <c r="O125" s="54"/>
      <c r="P125" s="54"/>
      <c r="Q125" s="54"/>
      <c r="R125" s="55"/>
    </row>
    <row r="126" spans="1:18" hidden="1" x14ac:dyDescent="0.25">
      <c r="A126" s="1">
        <v>120</v>
      </c>
      <c r="B126" s="62" t="s">
        <v>591</v>
      </c>
      <c r="C126" s="1"/>
      <c r="D126" s="1"/>
      <c r="E126" s="50"/>
      <c r="F126" s="50"/>
      <c r="G126" s="50"/>
      <c r="H126" s="50"/>
      <c r="I126" s="50"/>
      <c r="J126" s="50"/>
      <c r="K126" s="51"/>
      <c r="L126" s="50"/>
      <c r="M126" s="53"/>
      <c r="N126" s="54"/>
      <c r="O126" s="54"/>
      <c r="P126" s="54"/>
      <c r="Q126" s="54"/>
      <c r="R126" s="96"/>
    </row>
    <row r="127" spans="1:18" ht="15.75" hidden="1" x14ac:dyDescent="0.25">
      <c r="A127" s="1">
        <v>121</v>
      </c>
      <c r="B127" s="62" t="s">
        <v>475</v>
      </c>
      <c r="C127" s="1"/>
      <c r="D127" s="1"/>
      <c r="E127" s="50"/>
      <c r="F127" s="50"/>
      <c r="G127" s="50"/>
      <c r="H127" s="50"/>
      <c r="I127" s="50"/>
      <c r="J127" s="50"/>
      <c r="K127" s="51"/>
      <c r="L127" s="52"/>
      <c r="M127" s="53"/>
      <c r="N127" s="54"/>
      <c r="O127" s="54"/>
      <c r="P127" s="54"/>
      <c r="Q127" s="54"/>
      <c r="R127" s="81"/>
    </row>
    <row r="128" spans="1:18" hidden="1" x14ac:dyDescent="0.25">
      <c r="A128" s="1">
        <v>122</v>
      </c>
      <c r="B128" s="82" t="s">
        <v>474</v>
      </c>
      <c r="C128" s="1"/>
      <c r="D128" s="1"/>
      <c r="E128" s="50"/>
      <c r="F128" s="50"/>
      <c r="G128" s="50"/>
      <c r="H128" s="50"/>
      <c r="I128" s="50"/>
      <c r="J128" s="50"/>
      <c r="K128" s="51"/>
      <c r="L128" s="50"/>
      <c r="M128" s="53"/>
      <c r="N128" s="54"/>
      <c r="O128" s="54"/>
      <c r="P128" s="54"/>
      <c r="Q128" s="54"/>
      <c r="R128" s="55"/>
    </row>
    <row r="129" spans="1:18" hidden="1" x14ac:dyDescent="0.25">
      <c r="A129" s="1">
        <v>123</v>
      </c>
      <c r="B129" s="80" t="s">
        <v>473</v>
      </c>
      <c r="C129" s="1"/>
      <c r="D129" s="1"/>
      <c r="E129" s="50"/>
      <c r="F129" s="50"/>
      <c r="G129" s="50"/>
      <c r="H129" s="50"/>
      <c r="I129" s="50"/>
      <c r="J129" s="50"/>
      <c r="K129" s="51"/>
      <c r="L129" s="50"/>
      <c r="M129" s="53"/>
      <c r="N129" s="54"/>
      <c r="O129" s="54"/>
      <c r="P129" s="54"/>
      <c r="Q129" s="54"/>
      <c r="R129" s="55"/>
    </row>
    <row r="130" spans="1:18" ht="30" hidden="1" x14ac:dyDescent="0.25">
      <c r="A130" s="1">
        <v>124</v>
      </c>
      <c r="B130" s="56" t="s">
        <v>472</v>
      </c>
      <c r="C130" s="1"/>
      <c r="D130" s="1"/>
      <c r="E130" s="50"/>
      <c r="F130" s="50"/>
      <c r="G130" s="50"/>
      <c r="H130" s="50"/>
      <c r="I130" s="50"/>
      <c r="J130" s="50"/>
      <c r="K130" s="51"/>
      <c r="L130" s="50"/>
      <c r="M130" s="53"/>
      <c r="N130" s="54"/>
      <c r="O130" s="54"/>
      <c r="P130" s="54"/>
      <c r="Q130" s="54"/>
      <c r="R130" s="76"/>
    </row>
    <row r="131" spans="1:18" ht="15.75" hidden="1" x14ac:dyDescent="0.25">
      <c r="A131" s="1">
        <v>125</v>
      </c>
      <c r="B131" s="80" t="s">
        <v>471</v>
      </c>
      <c r="C131" s="1"/>
      <c r="D131" s="1"/>
      <c r="E131" s="50"/>
      <c r="F131" s="50"/>
      <c r="G131" s="50"/>
      <c r="H131" s="50"/>
      <c r="I131" s="50"/>
      <c r="J131" s="50"/>
      <c r="K131" s="51"/>
      <c r="L131" s="50"/>
      <c r="M131" s="53"/>
      <c r="N131" s="54"/>
      <c r="O131" s="54"/>
      <c r="P131" s="54"/>
      <c r="Q131" s="54"/>
      <c r="R131" s="75"/>
    </row>
    <row r="132" spans="1:18" hidden="1" x14ac:dyDescent="0.25">
      <c r="A132" s="1">
        <v>126</v>
      </c>
      <c r="B132" s="80" t="s">
        <v>470</v>
      </c>
      <c r="C132" s="1"/>
      <c r="D132" s="1"/>
      <c r="E132" s="50"/>
      <c r="F132" s="50"/>
      <c r="G132" s="50"/>
      <c r="H132" s="50"/>
      <c r="I132" s="50"/>
      <c r="J132" s="50"/>
      <c r="K132" s="51"/>
      <c r="L132" s="50"/>
      <c r="M132" s="53"/>
      <c r="N132" s="54"/>
      <c r="O132" s="54"/>
      <c r="P132" s="54"/>
      <c r="Q132" s="54"/>
      <c r="R132" s="55"/>
    </row>
    <row r="133" spans="1:18" ht="15.75" hidden="1" x14ac:dyDescent="0.25">
      <c r="A133" s="71" t="s">
        <v>1068</v>
      </c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5"/>
    </row>
    <row r="134" spans="1:18" hidden="1" x14ac:dyDescent="0.25">
      <c r="A134" s="1">
        <v>127</v>
      </c>
      <c r="B134" s="49" t="s">
        <v>469</v>
      </c>
      <c r="C134" s="1"/>
      <c r="D134" s="1"/>
      <c r="E134" s="50"/>
      <c r="F134" s="50"/>
      <c r="G134" s="50"/>
      <c r="H134" s="50"/>
      <c r="I134" s="50"/>
      <c r="J134" s="50"/>
      <c r="K134" s="51"/>
      <c r="L134" s="50"/>
      <c r="M134" s="53"/>
      <c r="N134" s="54"/>
      <c r="O134" s="54"/>
      <c r="P134" s="54"/>
      <c r="Q134" s="54"/>
      <c r="R134" s="96"/>
    </row>
    <row r="135" spans="1:18" hidden="1" x14ac:dyDescent="0.25">
      <c r="A135" s="1">
        <v>128</v>
      </c>
      <c r="B135" s="49" t="s">
        <v>468</v>
      </c>
      <c r="C135" s="1"/>
      <c r="D135" s="1"/>
      <c r="E135" s="50"/>
      <c r="F135" s="50"/>
      <c r="G135" s="50"/>
      <c r="H135" s="50"/>
      <c r="I135" s="50"/>
      <c r="J135" s="50"/>
      <c r="K135" s="51"/>
      <c r="L135" s="50"/>
      <c r="M135" s="53"/>
      <c r="N135" s="54"/>
      <c r="O135" s="54"/>
      <c r="P135" s="54"/>
      <c r="Q135" s="54"/>
      <c r="R135" s="55"/>
    </row>
    <row r="136" spans="1:18" hidden="1" x14ac:dyDescent="0.25">
      <c r="A136" s="1">
        <v>129</v>
      </c>
      <c r="B136" s="49" t="s">
        <v>467</v>
      </c>
      <c r="C136" s="1"/>
      <c r="D136" s="1"/>
      <c r="E136" s="50"/>
      <c r="F136" s="50"/>
      <c r="G136" s="50"/>
      <c r="H136" s="50"/>
      <c r="I136" s="50"/>
      <c r="J136" s="50"/>
      <c r="K136" s="51"/>
      <c r="L136" s="50"/>
      <c r="M136" s="53"/>
      <c r="N136" s="54"/>
      <c r="O136" s="54"/>
      <c r="P136" s="54"/>
      <c r="Q136" s="54"/>
      <c r="R136" s="55"/>
    </row>
    <row r="137" spans="1:18" ht="15.75" hidden="1" x14ac:dyDescent="0.25">
      <c r="A137" s="1">
        <v>130</v>
      </c>
      <c r="B137" s="49" t="s">
        <v>466</v>
      </c>
      <c r="C137" s="1"/>
      <c r="D137" s="1"/>
      <c r="E137" s="50"/>
      <c r="F137" s="50"/>
      <c r="G137" s="50"/>
      <c r="H137" s="50"/>
      <c r="I137" s="50"/>
      <c r="J137" s="50"/>
      <c r="K137" s="51"/>
      <c r="L137" s="52"/>
      <c r="M137" s="53"/>
      <c r="N137" s="54"/>
      <c r="O137" s="54"/>
      <c r="P137" s="54"/>
      <c r="Q137" s="54"/>
      <c r="R137" s="81"/>
    </row>
    <row r="138" spans="1:18" hidden="1" x14ac:dyDescent="0.25">
      <c r="A138" s="1">
        <v>131</v>
      </c>
      <c r="B138" s="49" t="s">
        <v>465</v>
      </c>
      <c r="C138" s="1"/>
      <c r="D138" s="1"/>
      <c r="E138" s="50"/>
      <c r="F138" s="50"/>
      <c r="G138" s="50"/>
      <c r="H138" s="50"/>
      <c r="I138" s="50"/>
      <c r="J138" s="50"/>
      <c r="K138" s="51"/>
      <c r="L138" s="50"/>
      <c r="M138" s="53"/>
      <c r="N138" s="54"/>
      <c r="O138" s="54"/>
      <c r="P138" s="54"/>
      <c r="Q138" s="54"/>
      <c r="R138" s="65"/>
    </row>
    <row r="139" spans="1:18" hidden="1" x14ac:dyDescent="0.25">
      <c r="A139" s="1">
        <v>132</v>
      </c>
      <c r="B139" s="49" t="s">
        <v>464</v>
      </c>
      <c r="C139" s="1"/>
      <c r="D139" s="1"/>
      <c r="E139" s="50"/>
      <c r="F139" s="50"/>
      <c r="G139" s="50"/>
      <c r="H139" s="50"/>
      <c r="I139" s="50"/>
      <c r="J139" s="50"/>
      <c r="K139" s="51"/>
      <c r="L139" s="52"/>
      <c r="M139" s="53"/>
      <c r="N139" s="54"/>
      <c r="O139" s="54"/>
      <c r="P139" s="54"/>
      <c r="Q139" s="54"/>
      <c r="R139" s="55"/>
    </row>
    <row r="140" spans="1:18" s="3" customFormat="1" hidden="1" x14ac:dyDescent="0.25">
      <c r="A140" s="1">
        <v>133</v>
      </c>
      <c r="B140" s="49" t="s">
        <v>463</v>
      </c>
      <c r="C140" s="1"/>
      <c r="D140" s="1"/>
      <c r="E140" s="50"/>
      <c r="F140" s="50"/>
      <c r="G140" s="50"/>
      <c r="H140" s="50"/>
      <c r="I140" s="50"/>
      <c r="J140" s="50"/>
      <c r="K140" s="51"/>
      <c r="L140" s="52"/>
      <c r="M140" s="53"/>
      <c r="N140" s="54"/>
      <c r="O140" s="54"/>
      <c r="P140" s="54"/>
      <c r="Q140" s="54"/>
      <c r="R140" s="65"/>
    </row>
    <row r="141" spans="1:18" s="3" customFormat="1" hidden="1" x14ac:dyDescent="0.25">
      <c r="A141" s="1">
        <v>134</v>
      </c>
      <c r="B141" s="49" t="s">
        <v>462</v>
      </c>
      <c r="C141" s="1"/>
      <c r="D141" s="1"/>
      <c r="E141" s="50"/>
      <c r="F141" s="50"/>
      <c r="G141" s="50"/>
      <c r="H141" s="50"/>
      <c r="I141" s="50"/>
      <c r="J141" s="50"/>
      <c r="K141" s="51"/>
      <c r="L141" s="52"/>
      <c r="M141" s="53"/>
      <c r="N141" s="54"/>
      <c r="O141" s="54"/>
      <c r="P141" s="54"/>
      <c r="Q141" s="54"/>
      <c r="R141" s="55"/>
    </row>
    <row r="142" spans="1:18" s="3" customFormat="1" hidden="1" x14ac:dyDescent="0.25">
      <c r="A142" s="1">
        <v>135</v>
      </c>
      <c r="B142" s="49" t="s">
        <v>461</v>
      </c>
      <c r="C142" s="1"/>
      <c r="D142" s="1"/>
      <c r="E142" s="50"/>
      <c r="F142" s="50"/>
      <c r="G142" s="50"/>
      <c r="H142" s="50"/>
      <c r="I142" s="50"/>
      <c r="J142" s="50"/>
      <c r="K142" s="51"/>
      <c r="L142" s="52"/>
      <c r="M142" s="53"/>
      <c r="N142" s="54"/>
      <c r="O142" s="54"/>
      <c r="P142" s="54"/>
      <c r="Q142" s="54"/>
      <c r="R142" s="65"/>
    </row>
    <row r="143" spans="1:18" ht="15.75" hidden="1" x14ac:dyDescent="0.25">
      <c r="A143" s="1">
        <v>136</v>
      </c>
      <c r="B143" s="49" t="s">
        <v>460</v>
      </c>
      <c r="C143" s="1"/>
      <c r="D143" s="1"/>
      <c r="E143" s="50"/>
      <c r="F143" s="50"/>
      <c r="G143" s="50"/>
      <c r="H143" s="50"/>
      <c r="I143" s="50"/>
      <c r="J143" s="50"/>
      <c r="K143" s="51"/>
      <c r="L143" s="52"/>
      <c r="M143" s="53"/>
      <c r="N143" s="54"/>
      <c r="O143" s="54"/>
      <c r="P143" s="54"/>
      <c r="Q143" s="54"/>
      <c r="R143" s="78"/>
    </row>
    <row r="144" spans="1:18" hidden="1" x14ac:dyDescent="0.25">
      <c r="A144" s="1">
        <v>137</v>
      </c>
      <c r="B144" s="49" t="s">
        <v>459</v>
      </c>
      <c r="C144" s="1"/>
      <c r="D144" s="1"/>
      <c r="E144" s="50"/>
      <c r="F144" s="50"/>
      <c r="G144" s="50"/>
      <c r="H144" s="50"/>
      <c r="I144" s="50"/>
      <c r="J144" s="50"/>
      <c r="K144" s="51"/>
      <c r="L144" s="52"/>
      <c r="M144" s="53"/>
      <c r="N144" s="54"/>
      <c r="O144" s="54"/>
      <c r="P144" s="54"/>
      <c r="Q144" s="54"/>
      <c r="R144" s="65"/>
    </row>
    <row r="145" spans="1:18" hidden="1" x14ac:dyDescent="0.25">
      <c r="A145" s="1">
        <v>138</v>
      </c>
      <c r="B145" s="49" t="s">
        <v>681</v>
      </c>
      <c r="C145" s="1"/>
      <c r="D145" s="1"/>
      <c r="E145" s="50"/>
      <c r="F145" s="50"/>
      <c r="G145" s="50"/>
      <c r="H145" s="50"/>
      <c r="I145" s="50"/>
      <c r="J145" s="50"/>
      <c r="K145" s="51"/>
      <c r="L145" s="52"/>
      <c r="M145" s="53"/>
      <c r="N145" s="54"/>
      <c r="O145" s="54"/>
      <c r="P145" s="54"/>
      <c r="Q145" s="54"/>
      <c r="R145" s="65"/>
    </row>
    <row r="146" spans="1:18" hidden="1" x14ac:dyDescent="0.25">
      <c r="A146" s="1">
        <v>139</v>
      </c>
      <c r="B146" s="49" t="s">
        <v>458</v>
      </c>
      <c r="C146" s="1"/>
      <c r="D146" s="1"/>
      <c r="E146" s="50"/>
      <c r="F146" s="50"/>
      <c r="G146" s="50"/>
      <c r="H146" s="50"/>
      <c r="I146" s="50"/>
      <c r="J146" s="50"/>
      <c r="K146" s="51"/>
      <c r="L146" s="52"/>
      <c r="M146" s="53"/>
      <c r="N146" s="54"/>
      <c r="O146" s="54"/>
      <c r="P146" s="54"/>
      <c r="Q146" s="54"/>
      <c r="R146" s="55"/>
    </row>
    <row r="147" spans="1:18" hidden="1" x14ac:dyDescent="0.25">
      <c r="A147" s="1">
        <v>140</v>
      </c>
      <c r="B147" s="49" t="s">
        <v>457</v>
      </c>
      <c r="C147" s="1"/>
      <c r="D147" s="1"/>
      <c r="E147" s="50"/>
      <c r="F147" s="50"/>
      <c r="G147" s="50"/>
      <c r="H147" s="50"/>
      <c r="I147" s="50"/>
      <c r="J147" s="50"/>
      <c r="K147" s="51"/>
      <c r="L147" s="52"/>
      <c r="M147" s="53"/>
      <c r="N147" s="54"/>
      <c r="O147" s="54"/>
      <c r="P147" s="54"/>
      <c r="Q147" s="54"/>
      <c r="R147" s="55"/>
    </row>
    <row r="148" spans="1:18" hidden="1" x14ac:dyDescent="0.25">
      <c r="A148" s="1">
        <v>141</v>
      </c>
      <c r="B148" s="49" t="s">
        <v>456</v>
      </c>
      <c r="C148" s="1"/>
      <c r="D148" s="1"/>
      <c r="E148" s="50"/>
      <c r="F148" s="50"/>
      <c r="G148" s="50"/>
      <c r="H148" s="50"/>
      <c r="I148" s="50"/>
      <c r="J148" s="50"/>
      <c r="K148" s="51"/>
      <c r="L148" s="52"/>
      <c r="M148" s="53"/>
      <c r="N148" s="54"/>
      <c r="O148" s="54"/>
      <c r="P148" s="54"/>
      <c r="Q148" s="54"/>
      <c r="R148" s="55"/>
    </row>
    <row r="149" spans="1:18" hidden="1" x14ac:dyDescent="0.25">
      <c r="A149" s="1">
        <v>142</v>
      </c>
      <c r="B149" s="49" t="s">
        <v>455</v>
      </c>
      <c r="C149" s="1"/>
      <c r="D149" s="1"/>
      <c r="E149" s="50"/>
      <c r="F149" s="50"/>
      <c r="G149" s="50"/>
      <c r="H149" s="50"/>
      <c r="I149" s="50"/>
      <c r="J149" s="50"/>
      <c r="K149" s="51"/>
      <c r="L149" s="52"/>
      <c r="M149" s="53"/>
      <c r="N149" s="54"/>
      <c r="O149" s="54"/>
      <c r="P149" s="54"/>
      <c r="Q149" s="54"/>
      <c r="R149" s="65"/>
    </row>
    <row r="150" spans="1:18" hidden="1" x14ac:dyDescent="0.25">
      <c r="A150" s="1">
        <v>143</v>
      </c>
      <c r="B150" s="49" t="s">
        <v>454</v>
      </c>
      <c r="C150" s="1"/>
      <c r="D150" s="1"/>
      <c r="E150" s="50"/>
      <c r="F150" s="50"/>
      <c r="G150" s="50"/>
      <c r="H150" s="50"/>
      <c r="I150" s="50"/>
      <c r="J150" s="50"/>
      <c r="K150" s="51"/>
      <c r="L150" s="52"/>
      <c r="M150" s="53"/>
      <c r="N150" s="54"/>
      <c r="O150" s="54"/>
      <c r="P150" s="54"/>
      <c r="Q150" s="54"/>
      <c r="R150" s="65"/>
    </row>
    <row r="151" spans="1:18" hidden="1" x14ac:dyDescent="0.25">
      <c r="A151" s="1">
        <v>144</v>
      </c>
      <c r="B151" s="49" t="s">
        <v>453</v>
      </c>
      <c r="C151" s="1"/>
      <c r="D151" s="1"/>
      <c r="E151" s="50"/>
      <c r="F151" s="50"/>
      <c r="G151" s="50"/>
      <c r="H151" s="50"/>
      <c r="I151" s="50"/>
      <c r="J151" s="50"/>
      <c r="K151" s="51"/>
      <c r="L151" s="52"/>
      <c r="M151" s="53"/>
      <c r="N151" s="54"/>
      <c r="O151" s="54"/>
      <c r="P151" s="54"/>
      <c r="Q151" s="54"/>
      <c r="R151" s="76"/>
    </row>
    <row r="152" spans="1:18" hidden="1" x14ac:dyDescent="0.25">
      <c r="A152" s="1">
        <v>145</v>
      </c>
      <c r="B152" s="49" t="s">
        <v>452</v>
      </c>
      <c r="C152" s="1"/>
      <c r="D152" s="1"/>
      <c r="E152" s="50"/>
      <c r="F152" s="50"/>
      <c r="G152" s="50"/>
      <c r="H152" s="50"/>
      <c r="I152" s="50"/>
      <c r="J152" s="50"/>
      <c r="K152" s="51"/>
      <c r="L152" s="52"/>
      <c r="M152" s="53"/>
      <c r="N152" s="54"/>
      <c r="O152" s="54"/>
      <c r="P152" s="54"/>
      <c r="Q152" s="54"/>
      <c r="R152" s="55"/>
    </row>
    <row r="153" spans="1:18" x14ac:dyDescent="0.25">
      <c r="A153" s="1">
        <v>146</v>
      </c>
      <c r="B153" s="49" t="s">
        <v>616</v>
      </c>
      <c r="C153" s="1">
        <v>60</v>
      </c>
      <c r="D153" s="1">
        <v>40</v>
      </c>
      <c r="E153" s="50"/>
      <c r="F153" s="50"/>
      <c r="G153" s="50"/>
      <c r="H153" s="50"/>
      <c r="I153" s="50"/>
      <c r="J153" s="50"/>
      <c r="K153" s="51"/>
      <c r="L153" s="52"/>
      <c r="M153" s="352">
        <v>40</v>
      </c>
      <c r="N153" s="345">
        <f t="shared" ref="N153" si="32">IF(D153=0,"-",(K153/D153))</f>
        <v>0</v>
      </c>
      <c r="O153" s="345">
        <f t="shared" ref="O153" si="33">IF(D153=0,"-",(L153/D153))</f>
        <v>0</v>
      </c>
      <c r="P153" s="345">
        <f t="shared" ref="P153" si="34">IF(D153=0,"-",(M153/D153))</f>
        <v>1</v>
      </c>
      <c r="Q153" s="345">
        <f t="shared" ref="Q153" si="35">IF(D153=0,"-",(O153+P153))</f>
        <v>1</v>
      </c>
      <c r="R153" s="354" t="s">
        <v>1119</v>
      </c>
    </row>
    <row r="154" spans="1:18" hidden="1" x14ac:dyDescent="0.25">
      <c r="A154" s="1">
        <v>147</v>
      </c>
      <c r="B154" s="49" t="s">
        <v>451</v>
      </c>
      <c r="C154" s="1"/>
      <c r="D154" s="1"/>
      <c r="E154" s="50"/>
      <c r="F154" s="50"/>
      <c r="G154" s="50"/>
      <c r="H154" s="50"/>
      <c r="I154" s="50"/>
      <c r="J154" s="50"/>
      <c r="K154" s="51"/>
      <c r="L154" s="52"/>
      <c r="M154" s="53"/>
      <c r="N154" s="54"/>
      <c r="O154" s="54"/>
      <c r="P154" s="54"/>
      <c r="Q154" s="54"/>
      <c r="R154" s="55"/>
    </row>
    <row r="155" spans="1:18" hidden="1" x14ac:dyDescent="0.25">
      <c r="A155" s="1">
        <v>148</v>
      </c>
      <c r="B155" s="49" t="s">
        <v>450</v>
      </c>
      <c r="C155" s="1"/>
      <c r="D155" s="1"/>
      <c r="E155" s="50"/>
      <c r="F155" s="50"/>
      <c r="G155" s="50"/>
      <c r="H155" s="50"/>
      <c r="I155" s="50"/>
      <c r="J155" s="50"/>
      <c r="K155" s="51"/>
      <c r="L155" s="52"/>
      <c r="M155" s="53"/>
      <c r="N155" s="54"/>
      <c r="O155" s="54"/>
      <c r="P155" s="54"/>
      <c r="Q155" s="54"/>
      <c r="R155" s="55"/>
    </row>
    <row r="156" spans="1:18" hidden="1" x14ac:dyDescent="0.25">
      <c r="A156" s="1">
        <v>149</v>
      </c>
      <c r="B156" s="49" t="s">
        <v>449</v>
      </c>
      <c r="C156" s="1"/>
      <c r="D156" s="1"/>
      <c r="E156" s="50"/>
      <c r="F156" s="50"/>
      <c r="G156" s="50"/>
      <c r="H156" s="50"/>
      <c r="I156" s="50"/>
      <c r="J156" s="50"/>
      <c r="K156" s="51"/>
      <c r="L156" s="52"/>
      <c r="M156" s="53"/>
      <c r="N156" s="54"/>
      <c r="O156" s="54"/>
      <c r="P156" s="54"/>
      <c r="Q156" s="54"/>
      <c r="R156" s="55"/>
    </row>
    <row r="157" spans="1:18" hidden="1" x14ac:dyDescent="0.25">
      <c r="A157" s="1">
        <v>150</v>
      </c>
      <c r="B157" s="49" t="s">
        <v>448</v>
      </c>
      <c r="C157" s="1"/>
      <c r="D157" s="1"/>
      <c r="E157" s="50"/>
      <c r="F157" s="50"/>
      <c r="G157" s="50"/>
      <c r="H157" s="50"/>
      <c r="I157" s="50"/>
      <c r="J157" s="50"/>
      <c r="K157" s="51"/>
      <c r="L157" s="52"/>
      <c r="M157" s="53"/>
      <c r="N157" s="54"/>
      <c r="O157" s="54"/>
      <c r="P157" s="54"/>
      <c r="Q157" s="54"/>
      <c r="R157" s="55"/>
    </row>
    <row r="158" spans="1:18" hidden="1" x14ac:dyDescent="0.25">
      <c r="A158" s="1">
        <v>151</v>
      </c>
      <c r="B158" s="49" t="s">
        <v>447</v>
      </c>
      <c r="C158" s="1"/>
      <c r="D158" s="1"/>
      <c r="E158" s="50"/>
      <c r="F158" s="50"/>
      <c r="G158" s="50"/>
      <c r="H158" s="50"/>
      <c r="I158" s="50"/>
      <c r="J158" s="50"/>
      <c r="K158" s="51"/>
      <c r="L158" s="52"/>
      <c r="M158" s="53"/>
      <c r="N158" s="54"/>
      <c r="O158" s="54"/>
      <c r="P158" s="54"/>
      <c r="Q158" s="54"/>
      <c r="R158" s="55"/>
    </row>
    <row r="159" spans="1:18" hidden="1" x14ac:dyDescent="0.25">
      <c r="A159" s="1">
        <v>152</v>
      </c>
      <c r="B159" s="49" t="s">
        <v>446</v>
      </c>
      <c r="C159" s="1"/>
      <c r="D159" s="1"/>
      <c r="E159" s="50"/>
      <c r="F159" s="50"/>
      <c r="G159" s="50"/>
      <c r="H159" s="50"/>
      <c r="I159" s="50"/>
      <c r="J159" s="50"/>
      <c r="K159" s="51"/>
      <c r="L159" s="52"/>
      <c r="M159" s="53"/>
      <c r="N159" s="54"/>
      <c r="O159" s="54"/>
      <c r="P159" s="54"/>
      <c r="Q159" s="54"/>
      <c r="R159" s="55"/>
    </row>
    <row r="160" spans="1:18" hidden="1" x14ac:dyDescent="0.25">
      <c r="A160" s="1">
        <v>153</v>
      </c>
      <c r="B160" s="49" t="s">
        <v>445</v>
      </c>
      <c r="C160" s="1"/>
      <c r="D160" s="1"/>
      <c r="E160" s="50"/>
      <c r="F160" s="50"/>
      <c r="G160" s="50"/>
      <c r="H160" s="50"/>
      <c r="I160" s="50"/>
      <c r="J160" s="50"/>
      <c r="K160" s="51"/>
      <c r="L160" s="52"/>
      <c r="M160" s="53"/>
      <c r="N160" s="54"/>
      <c r="O160" s="54"/>
      <c r="P160" s="54"/>
      <c r="Q160" s="54"/>
      <c r="R160" s="55"/>
    </row>
    <row r="161" spans="1:18" hidden="1" x14ac:dyDescent="0.25">
      <c r="A161" s="1">
        <v>154</v>
      </c>
      <c r="B161" s="56" t="s">
        <v>444</v>
      </c>
      <c r="C161" s="1"/>
      <c r="D161" s="1"/>
      <c r="E161" s="50"/>
      <c r="F161" s="50"/>
      <c r="G161" s="50"/>
      <c r="H161" s="50"/>
      <c r="I161" s="50"/>
      <c r="J161" s="50"/>
      <c r="K161" s="51"/>
      <c r="L161" s="52"/>
      <c r="M161" s="53"/>
      <c r="N161" s="54"/>
      <c r="O161" s="54"/>
      <c r="P161" s="54"/>
      <c r="Q161" s="54"/>
      <c r="R161" s="76"/>
    </row>
    <row r="162" spans="1:18" hidden="1" x14ac:dyDescent="0.25">
      <c r="A162" s="1">
        <v>155</v>
      </c>
      <c r="B162" s="56" t="s">
        <v>443</v>
      </c>
      <c r="C162" s="1"/>
      <c r="D162" s="1"/>
      <c r="E162" s="50"/>
      <c r="F162" s="50"/>
      <c r="G162" s="50"/>
      <c r="H162" s="50"/>
      <c r="I162" s="50"/>
      <c r="J162" s="50"/>
      <c r="K162" s="51"/>
      <c r="L162" s="52"/>
      <c r="M162" s="53"/>
      <c r="N162" s="54"/>
      <c r="O162" s="54"/>
      <c r="P162" s="54"/>
      <c r="Q162" s="54"/>
      <c r="R162" s="76"/>
    </row>
    <row r="163" spans="1:18" hidden="1" x14ac:dyDescent="0.25">
      <c r="A163" s="1">
        <v>156</v>
      </c>
      <c r="B163" s="56" t="s">
        <v>442</v>
      </c>
      <c r="C163" s="1"/>
      <c r="D163" s="1"/>
      <c r="E163" s="50"/>
      <c r="F163" s="50"/>
      <c r="G163" s="50"/>
      <c r="H163" s="50"/>
      <c r="I163" s="50"/>
      <c r="J163" s="50"/>
      <c r="K163" s="51"/>
      <c r="L163" s="50"/>
      <c r="M163" s="53"/>
      <c r="N163" s="54"/>
      <c r="O163" s="54"/>
      <c r="P163" s="54"/>
      <c r="Q163" s="54"/>
      <c r="R163" s="55"/>
    </row>
    <row r="164" spans="1:18" hidden="1" x14ac:dyDescent="0.25">
      <c r="A164" s="1">
        <v>157</v>
      </c>
      <c r="B164" s="56" t="s">
        <v>441</v>
      </c>
      <c r="C164" s="1"/>
      <c r="D164" s="1"/>
      <c r="E164" s="50"/>
      <c r="F164" s="50"/>
      <c r="G164" s="50"/>
      <c r="H164" s="50"/>
      <c r="I164" s="50"/>
      <c r="J164" s="50"/>
      <c r="K164" s="51"/>
      <c r="L164" s="50"/>
      <c r="M164" s="53"/>
      <c r="N164" s="54"/>
      <c r="O164" s="54"/>
      <c r="P164" s="54"/>
      <c r="Q164" s="54"/>
      <c r="R164" s="55"/>
    </row>
    <row r="165" spans="1:18" hidden="1" x14ac:dyDescent="0.25">
      <c r="A165" s="1">
        <v>158</v>
      </c>
      <c r="B165" s="56" t="s">
        <v>440</v>
      </c>
      <c r="C165" s="1"/>
      <c r="D165" s="1"/>
      <c r="E165" s="50"/>
      <c r="F165" s="50"/>
      <c r="G165" s="50"/>
      <c r="H165" s="50"/>
      <c r="I165" s="50"/>
      <c r="J165" s="50"/>
      <c r="K165" s="51"/>
      <c r="L165" s="50"/>
      <c r="M165" s="53"/>
      <c r="N165" s="54"/>
      <c r="O165" s="54"/>
      <c r="P165" s="54"/>
      <c r="Q165" s="54"/>
      <c r="R165" s="55"/>
    </row>
    <row r="166" spans="1:18" hidden="1" x14ac:dyDescent="0.25">
      <c r="A166" s="1">
        <v>159</v>
      </c>
      <c r="B166" s="56" t="s">
        <v>439</v>
      </c>
      <c r="C166" s="1"/>
      <c r="D166" s="1"/>
      <c r="E166" s="50"/>
      <c r="F166" s="50"/>
      <c r="G166" s="50"/>
      <c r="H166" s="50"/>
      <c r="I166" s="50"/>
      <c r="J166" s="50"/>
      <c r="K166" s="51"/>
      <c r="L166" s="50"/>
      <c r="M166" s="53"/>
      <c r="N166" s="54"/>
      <c r="O166" s="54"/>
      <c r="P166" s="54"/>
      <c r="Q166" s="54"/>
      <c r="R166" s="55"/>
    </row>
    <row r="167" spans="1:18" hidden="1" x14ac:dyDescent="0.25">
      <c r="A167" s="1">
        <v>160</v>
      </c>
      <c r="B167" s="56" t="s">
        <v>438</v>
      </c>
      <c r="C167" s="1"/>
      <c r="D167" s="1"/>
      <c r="E167" s="50"/>
      <c r="F167" s="50"/>
      <c r="G167" s="50"/>
      <c r="H167" s="50"/>
      <c r="I167" s="50"/>
      <c r="J167" s="50"/>
      <c r="K167" s="51"/>
      <c r="L167" s="50"/>
      <c r="M167" s="53"/>
      <c r="N167" s="54"/>
      <c r="O167" s="54"/>
      <c r="P167" s="54"/>
      <c r="Q167" s="54"/>
      <c r="R167" s="55"/>
    </row>
    <row r="168" spans="1:18" hidden="1" x14ac:dyDescent="0.25">
      <c r="A168" s="1">
        <v>161</v>
      </c>
      <c r="B168" s="56" t="s">
        <v>437</v>
      </c>
      <c r="C168" s="1"/>
      <c r="D168" s="1"/>
      <c r="E168" s="50"/>
      <c r="F168" s="50"/>
      <c r="G168" s="50"/>
      <c r="H168" s="50"/>
      <c r="I168" s="50"/>
      <c r="J168" s="50"/>
      <c r="K168" s="51"/>
      <c r="L168" s="50"/>
      <c r="M168" s="53"/>
      <c r="N168" s="54"/>
      <c r="O168" s="54"/>
      <c r="P168" s="54"/>
      <c r="Q168" s="54"/>
      <c r="R168" s="55"/>
    </row>
    <row r="169" spans="1:18" hidden="1" x14ac:dyDescent="0.25">
      <c r="A169" s="1">
        <v>162</v>
      </c>
      <c r="B169" s="56" t="s">
        <v>436</v>
      </c>
      <c r="C169" s="1"/>
      <c r="D169" s="1"/>
      <c r="E169" s="50"/>
      <c r="F169" s="50"/>
      <c r="G169" s="50"/>
      <c r="H169" s="50"/>
      <c r="I169" s="50"/>
      <c r="J169" s="50"/>
      <c r="K169" s="51"/>
      <c r="L169" s="50"/>
      <c r="M169" s="53"/>
      <c r="N169" s="54"/>
      <c r="O169" s="54"/>
      <c r="P169" s="54"/>
      <c r="Q169" s="54"/>
      <c r="R169" s="55"/>
    </row>
    <row r="170" spans="1:18" hidden="1" x14ac:dyDescent="0.25">
      <c r="A170" s="1">
        <v>163</v>
      </c>
      <c r="B170" s="56" t="s">
        <v>435</v>
      </c>
      <c r="C170" s="1"/>
      <c r="D170" s="1"/>
      <c r="E170" s="50"/>
      <c r="F170" s="50"/>
      <c r="G170" s="50"/>
      <c r="H170" s="50"/>
      <c r="I170" s="50"/>
      <c r="J170" s="50"/>
      <c r="K170" s="51"/>
      <c r="L170" s="50"/>
      <c r="M170" s="53"/>
      <c r="N170" s="54"/>
      <c r="O170" s="54"/>
      <c r="P170" s="54"/>
      <c r="Q170" s="54"/>
      <c r="R170" s="55"/>
    </row>
    <row r="171" spans="1:18" hidden="1" x14ac:dyDescent="0.25">
      <c r="A171" s="1">
        <v>164</v>
      </c>
      <c r="B171" s="49" t="s">
        <v>434</v>
      </c>
      <c r="C171" s="1"/>
      <c r="D171" s="1"/>
      <c r="E171" s="50"/>
      <c r="F171" s="50"/>
      <c r="G171" s="50"/>
      <c r="H171" s="50"/>
      <c r="I171" s="50"/>
      <c r="J171" s="50"/>
      <c r="K171" s="51"/>
      <c r="L171" s="50"/>
      <c r="M171" s="53"/>
      <c r="N171" s="54"/>
      <c r="O171" s="54"/>
      <c r="P171" s="54"/>
      <c r="Q171" s="54"/>
      <c r="R171" s="55"/>
    </row>
    <row r="172" spans="1:18" hidden="1" x14ac:dyDescent="0.25">
      <c r="A172" s="1">
        <v>165</v>
      </c>
      <c r="B172" s="56" t="s">
        <v>609</v>
      </c>
      <c r="C172" s="1"/>
      <c r="D172" s="1"/>
      <c r="E172" s="50"/>
      <c r="F172" s="50"/>
      <c r="G172" s="50"/>
      <c r="H172" s="50"/>
      <c r="I172" s="50"/>
      <c r="J172" s="50"/>
      <c r="K172" s="51"/>
      <c r="L172" s="50"/>
      <c r="M172" s="53"/>
      <c r="N172" s="54"/>
      <c r="O172" s="54"/>
      <c r="P172" s="54"/>
      <c r="Q172" s="54"/>
      <c r="R172" s="65"/>
    </row>
    <row r="173" spans="1:18" hidden="1" x14ac:dyDescent="0.25">
      <c r="A173" s="1">
        <v>166</v>
      </c>
      <c r="B173" s="56" t="s">
        <v>608</v>
      </c>
      <c r="C173" s="1"/>
      <c r="D173" s="1"/>
      <c r="E173" s="50"/>
      <c r="F173" s="50"/>
      <c r="G173" s="50"/>
      <c r="H173" s="50"/>
      <c r="I173" s="50"/>
      <c r="J173" s="50"/>
      <c r="K173" s="51"/>
      <c r="L173" s="50"/>
      <c r="M173" s="53"/>
      <c r="N173" s="54"/>
      <c r="O173" s="54"/>
      <c r="P173" s="54"/>
      <c r="Q173" s="54"/>
      <c r="R173" s="65"/>
    </row>
    <row r="174" spans="1:18" hidden="1" x14ac:dyDescent="0.25">
      <c r="A174" s="1">
        <v>167</v>
      </c>
      <c r="B174" s="49" t="s">
        <v>433</v>
      </c>
      <c r="C174" s="1"/>
      <c r="D174" s="1"/>
      <c r="E174" s="50"/>
      <c r="F174" s="50"/>
      <c r="G174" s="50"/>
      <c r="H174" s="50"/>
      <c r="I174" s="50"/>
      <c r="J174" s="50"/>
      <c r="K174" s="51"/>
      <c r="L174" s="50"/>
      <c r="M174" s="53"/>
      <c r="N174" s="54"/>
      <c r="O174" s="54"/>
      <c r="P174" s="54"/>
      <c r="Q174" s="54"/>
      <c r="R174" s="55"/>
    </row>
    <row r="175" spans="1:18" hidden="1" x14ac:dyDescent="0.25">
      <c r="A175" s="1">
        <v>168</v>
      </c>
      <c r="B175" s="56" t="s">
        <v>432</v>
      </c>
      <c r="C175" s="1"/>
      <c r="D175" s="1"/>
      <c r="E175" s="50"/>
      <c r="F175" s="50"/>
      <c r="G175" s="50"/>
      <c r="H175" s="50"/>
      <c r="I175" s="50"/>
      <c r="J175" s="50"/>
      <c r="K175" s="51"/>
      <c r="L175" s="52"/>
      <c r="M175" s="53"/>
      <c r="N175" s="54"/>
      <c r="O175" s="54"/>
      <c r="P175" s="54"/>
      <c r="Q175" s="54"/>
      <c r="R175" s="76"/>
    </row>
    <row r="176" spans="1:18" hidden="1" x14ac:dyDescent="0.25">
      <c r="A176" s="1">
        <v>169</v>
      </c>
      <c r="B176" s="56" t="s">
        <v>431</v>
      </c>
      <c r="C176" s="1"/>
      <c r="D176" s="1"/>
      <c r="E176" s="50"/>
      <c r="F176" s="50"/>
      <c r="G176" s="50"/>
      <c r="H176" s="50"/>
      <c r="I176" s="50"/>
      <c r="J176" s="50"/>
      <c r="K176" s="51"/>
      <c r="L176" s="52"/>
      <c r="M176" s="53"/>
      <c r="N176" s="54"/>
      <c r="O176" s="54"/>
      <c r="P176" s="54"/>
      <c r="Q176" s="54"/>
      <c r="R176" s="65"/>
    </row>
    <row r="177" spans="1:18" s="83" customFormat="1" ht="15.75" hidden="1" x14ac:dyDescent="0.25">
      <c r="A177" s="1">
        <v>170</v>
      </c>
      <c r="B177" s="56" t="s">
        <v>430</v>
      </c>
      <c r="C177" s="1"/>
      <c r="D177" s="1"/>
      <c r="E177" s="50"/>
      <c r="F177" s="50"/>
      <c r="G177" s="50"/>
      <c r="H177" s="50"/>
      <c r="I177" s="50"/>
      <c r="J177" s="50"/>
      <c r="K177" s="51"/>
      <c r="L177" s="52"/>
      <c r="M177" s="53"/>
      <c r="N177" s="54"/>
      <c r="O177" s="54"/>
      <c r="P177" s="54"/>
      <c r="Q177" s="54"/>
      <c r="R177" s="77"/>
    </row>
    <row r="178" spans="1:18" hidden="1" x14ac:dyDescent="0.25">
      <c r="A178" s="1">
        <v>171</v>
      </c>
      <c r="B178" s="49" t="s">
        <v>429</v>
      </c>
      <c r="C178" s="1"/>
      <c r="D178" s="1"/>
      <c r="E178" s="50"/>
      <c r="F178" s="50"/>
      <c r="G178" s="50"/>
      <c r="H178" s="50"/>
      <c r="I178" s="50"/>
      <c r="J178" s="50"/>
      <c r="K178" s="51"/>
      <c r="L178" s="52"/>
      <c r="M178" s="53"/>
      <c r="N178" s="54"/>
      <c r="O178" s="54"/>
      <c r="P178" s="54"/>
      <c r="Q178" s="54"/>
      <c r="R178" s="55"/>
    </row>
    <row r="179" spans="1:18" ht="15.75" hidden="1" x14ac:dyDescent="0.25">
      <c r="A179" s="1">
        <v>172</v>
      </c>
      <c r="B179" s="84" t="s">
        <v>428</v>
      </c>
      <c r="C179" s="1"/>
      <c r="D179" s="1"/>
      <c r="E179" s="50"/>
      <c r="F179" s="50"/>
      <c r="G179" s="50"/>
      <c r="H179" s="50"/>
      <c r="I179" s="50"/>
      <c r="J179" s="50"/>
      <c r="K179" s="51"/>
      <c r="L179" s="52"/>
      <c r="M179" s="53"/>
      <c r="N179" s="54"/>
      <c r="O179" s="54"/>
      <c r="P179" s="54"/>
      <c r="Q179" s="54"/>
      <c r="R179" s="48"/>
    </row>
    <row r="180" spans="1:18" hidden="1" x14ac:dyDescent="0.25">
      <c r="A180" s="1">
        <v>173</v>
      </c>
      <c r="B180" s="49" t="s">
        <v>427</v>
      </c>
      <c r="C180" s="1"/>
      <c r="D180" s="1"/>
      <c r="E180" s="50"/>
      <c r="F180" s="50"/>
      <c r="G180" s="50"/>
      <c r="H180" s="50"/>
      <c r="I180" s="50"/>
      <c r="J180" s="50"/>
      <c r="K180" s="51"/>
      <c r="L180" s="52"/>
      <c r="M180" s="53"/>
      <c r="N180" s="54"/>
      <c r="O180" s="54"/>
      <c r="P180" s="54"/>
      <c r="Q180" s="54"/>
      <c r="R180" s="55"/>
    </row>
    <row r="181" spans="1:18" hidden="1" x14ac:dyDescent="0.25">
      <c r="A181" s="1">
        <v>174</v>
      </c>
      <c r="B181" s="49" t="s">
        <v>66</v>
      </c>
      <c r="C181" s="1"/>
      <c r="D181" s="1"/>
      <c r="E181" s="50"/>
      <c r="F181" s="50"/>
      <c r="G181" s="50"/>
      <c r="H181" s="50"/>
      <c r="I181" s="50"/>
      <c r="J181" s="50"/>
      <c r="K181" s="51"/>
      <c r="L181" s="52"/>
      <c r="M181" s="53"/>
      <c r="N181" s="54"/>
      <c r="O181" s="54"/>
      <c r="P181" s="54"/>
      <c r="Q181" s="54"/>
      <c r="R181" s="55"/>
    </row>
    <row r="182" spans="1:18" hidden="1" x14ac:dyDescent="0.25">
      <c r="A182" s="1">
        <v>175</v>
      </c>
      <c r="B182" s="49" t="s">
        <v>426</v>
      </c>
      <c r="C182" s="1"/>
      <c r="D182" s="1"/>
      <c r="E182" s="50"/>
      <c r="F182" s="50"/>
      <c r="G182" s="50"/>
      <c r="H182" s="50"/>
      <c r="I182" s="50"/>
      <c r="J182" s="50"/>
      <c r="K182" s="51"/>
      <c r="L182" s="52"/>
      <c r="M182" s="53"/>
      <c r="N182" s="54"/>
      <c r="O182" s="54"/>
      <c r="P182" s="54"/>
      <c r="Q182" s="54"/>
      <c r="R182" s="55"/>
    </row>
    <row r="183" spans="1:18" hidden="1" x14ac:dyDescent="0.25">
      <c r="A183" s="1">
        <v>176</v>
      </c>
      <c r="B183" s="49" t="s">
        <v>425</v>
      </c>
      <c r="C183" s="1"/>
      <c r="D183" s="1"/>
      <c r="E183" s="50"/>
      <c r="F183" s="50"/>
      <c r="G183" s="50"/>
      <c r="H183" s="50"/>
      <c r="I183" s="50"/>
      <c r="J183" s="50"/>
      <c r="K183" s="51"/>
      <c r="L183" s="52"/>
      <c r="M183" s="53"/>
      <c r="N183" s="54"/>
      <c r="O183" s="54"/>
      <c r="P183" s="54"/>
      <c r="Q183" s="54"/>
      <c r="R183" s="55"/>
    </row>
    <row r="184" spans="1:18" hidden="1" x14ac:dyDescent="0.25">
      <c r="A184" s="1">
        <v>177</v>
      </c>
      <c r="B184" s="49" t="s">
        <v>424</v>
      </c>
      <c r="C184" s="1"/>
      <c r="D184" s="1"/>
      <c r="E184" s="50"/>
      <c r="F184" s="50"/>
      <c r="G184" s="50"/>
      <c r="H184" s="50"/>
      <c r="I184" s="50"/>
      <c r="J184" s="50"/>
      <c r="K184" s="51"/>
      <c r="L184" s="52"/>
      <c r="M184" s="53"/>
      <c r="N184" s="54"/>
      <c r="O184" s="54"/>
      <c r="P184" s="54"/>
      <c r="Q184" s="54"/>
      <c r="R184" s="55"/>
    </row>
    <row r="185" spans="1:18" hidden="1" x14ac:dyDescent="0.25">
      <c r="A185" s="1">
        <v>178</v>
      </c>
      <c r="B185" s="49" t="s">
        <v>423</v>
      </c>
      <c r="C185" s="1"/>
      <c r="D185" s="1"/>
      <c r="E185" s="50"/>
      <c r="F185" s="50"/>
      <c r="G185" s="50"/>
      <c r="H185" s="50"/>
      <c r="I185" s="50"/>
      <c r="J185" s="50"/>
      <c r="K185" s="51"/>
      <c r="L185" s="52"/>
      <c r="M185" s="53"/>
      <c r="N185" s="54"/>
      <c r="O185" s="54"/>
      <c r="P185" s="54"/>
      <c r="Q185" s="54"/>
      <c r="R185" s="55"/>
    </row>
    <row r="186" spans="1:18" hidden="1" x14ac:dyDescent="0.25">
      <c r="A186" s="1">
        <v>179</v>
      </c>
      <c r="B186" s="49" t="s">
        <v>422</v>
      </c>
      <c r="C186" s="1"/>
      <c r="D186" s="1"/>
      <c r="E186" s="50"/>
      <c r="F186" s="50"/>
      <c r="G186" s="50"/>
      <c r="H186" s="50"/>
      <c r="I186" s="50"/>
      <c r="J186" s="50"/>
      <c r="K186" s="51"/>
      <c r="L186" s="52"/>
      <c r="M186" s="53"/>
      <c r="N186" s="54"/>
      <c r="O186" s="54"/>
      <c r="P186" s="54"/>
      <c r="Q186" s="54"/>
      <c r="R186" s="55"/>
    </row>
    <row r="187" spans="1:18" hidden="1" x14ac:dyDescent="0.25">
      <c r="A187" s="1">
        <v>180</v>
      </c>
      <c r="B187" s="49" t="s">
        <v>421</v>
      </c>
      <c r="C187" s="1"/>
      <c r="D187" s="1"/>
      <c r="E187" s="50"/>
      <c r="F187" s="50"/>
      <c r="G187" s="50"/>
      <c r="H187" s="50"/>
      <c r="I187" s="50"/>
      <c r="J187" s="50"/>
      <c r="K187" s="51"/>
      <c r="L187" s="52"/>
      <c r="M187" s="53"/>
      <c r="N187" s="54"/>
      <c r="O187" s="54"/>
      <c r="P187" s="54"/>
      <c r="Q187" s="54"/>
      <c r="R187" s="55"/>
    </row>
    <row r="188" spans="1:18" hidden="1" x14ac:dyDescent="0.25">
      <c r="A188" s="1">
        <v>181</v>
      </c>
      <c r="B188" s="49" t="s">
        <v>420</v>
      </c>
      <c r="C188" s="1"/>
      <c r="D188" s="1"/>
      <c r="E188" s="50"/>
      <c r="F188" s="50"/>
      <c r="G188" s="50"/>
      <c r="H188" s="50"/>
      <c r="I188" s="50"/>
      <c r="J188" s="50"/>
      <c r="K188" s="51"/>
      <c r="L188" s="52"/>
      <c r="M188" s="53"/>
      <c r="N188" s="54"/>
      <c r="O188" s="54"/>
      <c r="P188" s="54"/>
      <c r="Q188" s="54"/>
      <c r="R188" s="55"/>
    </row>
    <row r="189" spans="1:18" hidden="1" x14ac:dyDescent="0.25">
      <c r="A189" s="1">
        <v>182</v>
      </c>
      <c r="B189" s="49" t="s">
        <v>419</v>
      </c>
      <c r="C189" s="1"/>
      <c r="D189" s="1"/>
      <c r="E189" s="50"/>
      <c r="F189" s="50"/>
      <c r="G189" s="50"/>
      <c r="H189" s="50"/>
      <c r="I189" s="50"/>
      <c r="J189" s="50"/>
      <c r="K189" s="51"/>
      <c r="L189" s="52"/>
      <c r="M189" s="53"/>
      <c r="N189" s="54"/>
      <c r="O189" s="54"/>
      <c r="P189" s="54"/>
      <c r="Q189" s="54"/>
      <c r="R189" s="55"/>
    </row>
    <row r="190" spans="1:18" hidden="1" x14ac:dyDescent="0.25">
      <c r="A190" s="1">
        <v>183</v>
      </c>
      <c r="B190" s="49" t="s">
        <v>418</v>
      </c>
      <c r="C190" s="1"/>
      <c r="D190" s="1"/>
      <c r="E190" s="50"/>
      <c r="F190" s="50"/>
      <c r="G190" s="50"/>
      <c r="H190" s="50"/>
      <c r="I190" s="50"/>
      <c r="J190" s="50"/>
      <c r="K190" s="51"/>
      <c r="L190" s="52"/>
      <c r="M190" s="53"/>
      <c r="N190" s="54"/>
      <c r="O190" s="54"/>
      <c r="P190" s="54"/>
      <c r="Q190" s="54"/>
      <c r="R190" s="55"/>
    </row>
    <row r="191" spans="1:18" hidden="1" x14ac:dyDescent="0.25">
      <c r="A191" s="1">
        <v>184</v>
      </c>
      <c r="B191" s="49" t="s">
        <v>417</v>
      </c>
      <c r="C191" s="1"/>
      <c r="D191" s="1"/>
      <c r="E191" s="50"/>
      <c r="F191" s="50"/>
      <c r="G191" s="50"/>
      <c r="H191" s="50"/>
      <c r="I191" s="50"/>
      <c r="J191" s="50"/>
      <c r="K191" s="51"/>
      <c r="L191" s="52"/>
      <c r="M191" s="53"/>
      <c r="N191" s="54"/>
      <c r="O191" s="54"/>
      <c r="P191" s="54"/>
      <c r="Q191" s="54"/>
      <c r="R191" s="55"/>
    </row>
    <row r="192" spans="1:18" hidden="1" x14ac:dyDescent="0.25">
      <c r="A192" s="1">
        <v>185</v>
      </c>
      <c r="B192" s="49" t="s">
        <v>416</v>
      </c>
      <c r="C192" s="1"/>
      <c r="D192" s="1"/>
      <c r="E192" s="50"/>
      <c r="F192" s="50"/>
      <c r="G192" s="50"/>
      <c r="H192" s="50"/>
      <c r="I192" s="50"/>
      <c r="J192" s="50"/>
      <c r="K192" s="51"/>
      <c r="L192" s="52"/>
      <c r="M192" s="53"/>
      <c r="N192" s="54"/>
      <c r="O192" s="54"/>
      <c r="P192" s="54"/>
      <c r="Q192" s="54"/>
      <c r="R192" s="55"/>
    </row>
    <row r="193" spans="1:18" hidden="1" x14ac:dyDescent="0.25">
      <c r="A193" s="1">
        <v>186</v>
      </c>
      <c r="B193" s="84" t="s">
        <v>415</v>
      </c>
      <c r="C193" s="1"/>
      <c r="D193" s="1"/>
      <c r="E193" s="50"/>
      <c r="F193" s="50"/>
      <c r="G193" s="50"/>
      <c r="H193" s="50"/>
      <c r="I193" s="50"/>
      <c r="J193" s="50"/>
      <c r="K193" s="51"/>
      <c r="L193" s="52"/>
      <c r="M193" s="53"/>
      <c r="N193" s="54"/>
      <c r="O193" s="54"/>
      <c r="P193" s="54"/>
      <c r="Q193" s="54"/>
      <c r="R193" s="55"/>
    </row>
    <row r="194" spans="1:18" hidden="1" x14ac:dyDescent="0.25">
      <c r="A194" s="1">
        <v>187</v>
      </c>
      <c r="B194" s="85" t="s">
        <v>414</v>
      </c>
      <c r="C194" s="1"/>
      <c r="D194" s="1"/>
      <c r="E194" s="50"/>
      <c r="F194" s="50"/>
      <c r="G194" s="50"/>
      <c r="H194" s="50"/>
      <c r="I194" s="50"/>
      <c r="J194" s="50"/>
      <c r="K194" s="51"/>
      <c r="L194" s="52"/>
      <c r="M194" s="53"/>
      <c r="N194" s="54"/>
      <c r="O194" s="54"/>
      <c r="P194" s="54"/>
      <c r="Q194" s="54"/>
      <c r="R194" s="55"/>
    </row>
    <row r="195" spans="1:18" ht="30" hidden="1" x14ac:dyDescent="0.25">
      <c r="A195" s="1">
        <v>188</v>
      </c>
      <c r="B195" s="49" t="s">
        <v>413</v>
      </c>
      <c r="C195" s="1"/>
      <c r="D195" s="1"/>
      <c r="E195" s="50"/>
      <c r="F195" s="50"/>
      <c r="G195" s="50"/>
      <c r="H195" s="50"/>
      <c r="I195" s="50"/>
      <c r="J195" s="50"/>
      <c r="K195" s="51"/>
      <c r="L195" s="52"/>
      <c r="M195" s="53"/>
      <c r="N195" s="54"/>
      <c r="O195" s="54"/>
      <c r="P195" s="54"/>
      <c r="Q195" s="54"/>
      <c r="R195" s="55"/>
    </row>
    <row r="196" spans="1:18" hidden="1" x14ac:dyDescent="0.25">
      <c r="A196" s="1">
        <v>189</v>
      </c>
      <c r="B196" s="49" t="s">
        <v>412</v>
      </c>
      <c r="C196" s="1"/>
      <c r="D196" s="1"/>
      <c r="E196" s="50"/>
      <c r="F196" s="50"/>
      <c r="G196" s="50"/>
      <c r="H196" s="50"/>
      <c r="I196" s="50"/>
      <c r="J196" s="50"/>
      <c r="K196" s="51"/>
      <c r="L196" s="52"/>
      <c r="M196" s="53"/>
      <c r="N196" s="54"/>
      <c r="O196" s="54"/>
      <c r="P196" s="54"/>
      <c r="Q196" s="54"/>
      <c r="R196" s="55"/>
    </row>
    <row r="197" spans="1:18" hidden="1" x14ac:dyDescent="0.25">
      <c r="A197" s="1">
        <v>190</v>
      </c>
      <c r="B197" s="49" t="s">
        <v>411</v>
      </c>
      <c r="C197" s="1"/>
      <c r="D197" s="1"/>
      <c r="E197" s="50"/>
      <c r="F197" s="50"/>
      <c r="G197" s="50"/>
      <c r="H197" s="50"/>
      <c r="I197" s="50"/>
      <c r="J197" s="50"/>
      <c r="K197" s="51"/>
      <c r="L197" s="52"/>
      <c r="M197" s="53"/>
      <c r="N197" s="54"/>
      <c r="O197" s="54"/>
      <c r="P197" s="54"/>
      <c r="Q197" s="54"/>
      <c r="R197" s="55"/>
    </row>
    <row r="198" spans="1:18" hidden="1" x14ac:dyDescent="0.25">
      <c r="A198" s="1">
        <v>191</v>
      </c>
      <c r="B198" s="49" t="s">
        <v>410</v>
      </c>
      <c r="C198" s="1"/>
      <c r="D198" s="1"/>
      <c r="E198" s="50"/>
      <c r="F198" s="50"/>
      <c r="G198" s="50"/>
      <c r="H198" s="50"/>
      <c r="I198" s="50"/>
      <c r="J198" s="50"/>
      <c r="K198" s="51"/>
      <c r="L198" s="52"/>
      <c r="M198" s="53"/>
      <c r="N198" s="54"/>
      <c r="O198" s="54"/>
      <c r="P198" s="54"/>
      <c r="Q198" s="54"/>
      <c r="R198" s="55"/>
    </row>
    <row r="199" spans="1:18" hidden="1" x14ac:dyDescent="0.25">
      <c r="A199" s="1">
        <v>192</v>
      </c>
      <c r="B199" s="49" t="s">
        <v>409</v>
      </c>
      <c r="C199" s="1"/>
      <c r="D199" s="1"/>
      <c r="E199" s="50"/>
      <c r="F199" s="50"/>
      <c r="G199" s="50"/>
      <c r="H199" s="50"/>
      <c r="I199" s="50"/>
      <c r="J199" s="50"/>
      <c r="K199" s="51"/>
      <c r="L199" s="52"/>
      <c r="M199" s="53"/>
      <c r="N199" s="54"/>
      <c r="O199" s="54"/>
      <c r="P199" s="54"/>
      <c r="Q199" s="54"/>
      <c r="R199" s="55"/>
    </row>
    <row r="200" spans="1:18" hidden="1" x14ac:dyDescent="0.25">
      <c r="A200" s="1">
        <v>193</v>
      </c>
      <c r="B200" s="49" t="s">
        <v>408</v>
      </c>
      <c r="C200" s="1"/>
      <c r="D200" s="1"/>
      <c r="E200" s="50"/>
      <c r="F200" s="50"/>
      <c r="G200" s="50"/>
      <c r="H200" s="50"/>
      <c r="I200" s="50"/>
      <c r="J200" s="50"/>
      <c r="K200" s="51"/>
      <c r="L200" s="52"/>
      <c r="M200" s="53"/>
      <c r="N200" s="54"/>
      <c r="O200" s="54"/>
      <c r="P200" s="54"/>
      <c r="Q200" s="54"/>
      <c r="R200" s="55"/>
    </row>
    <row r="201" spans="1:18" ht="20.25" hidden="1" customHeight="1" x14ac:dyDescent="0.25">
      <c r="A201" s="1">
        <v>194</v>
      </c>
      <c r="B201" s="49" t="s">
        <v>407</v>
      </c>
      <c r="C201" s="1"/>
      <c r="D201" s="1"/>
      <c r="E201" s="50"/>
      <c r="F201" s="50"/>
      <c r="G201" s="50"/>
      <c r="H201" s="50"/>
      <c r="I201" s="50"/>
      <c r="J201" s="50"/>
      <c r="K201" s="51"/>
      <c r="L201" s="52"/>
      <c r="M201" s="53"/>
      <c r="N201" s="54"/>
      <c r="O201" s="54"/>
      <c r="P201" s="54"/>
      <c r="Q201" s="54"/>
      <c r="R201" s="61"/>
    </row>
    <row r="202" spans="1:18" hidden="1" x14ac:dyDescent="0.25">
      <c r="A202" s="1">
        <v>195</v>
      </c>
      <c r="B202" s="49" t="s">
        <v>406</v>
      </c>
      <c r="C202" s="1"/>
      <c r="D202" s="1"/>
      <c r="E202" s="50"/>
      <c r="F202" s="50"/>
      <c r="G202" s="50"/>
      <c r="H202" s="50"/>
      <c r="I202" s="50"/>
      <c r="J202" s="50"/>
      <c r="K202" s="51"/>
      <c r="L202" s="52"/>
      <c r="M202" s="53"/>
      <c r="N202" s="54"/>
      <c r="O202" s="54"/>
      <c r="P202" s="54"/>
      <c r="Q202" s="54"/>
      <c r="R202" s="55"/>
    </row>
    <row r="203" spans="1:18" hidden="1" x14ac:dyDescent="0.25">
      <c r="A203" s="1">
        <v>196</v>
      </c>
      <c r="B203" s="49" t="s">
        <v>405</v>
      </c>
      <c r="C203" s="1"/>
      <c r="D203" s="1"/>
      <c r="E203" s="50"/>
      <c r="F203" s="50"/>
      <c r="G203" s="50"/>
      <c r="H203" s="50"/>
      <c r="I203" s="50"/>
      <c r="J203" s="50"/>
      <c r="K203" s="51"/>
      <c r="L203" s="52"/>
      <c r="M203" s="53"/>
      <c r="N203" s="54"/>
      <c r="O203" s="54"/>
      <c r="P203" s="54"/>
      <c r="Q203" s="54"/>
      <c r="R203" s="55"/>
    </row>
    <row r="204" spans="1:18" hidden="1" x14ac:dyDescent="0.25">
      <c r="A204" s="1">
        <v>197</v>
      </c>
      <c r="B204" s="49" t="s">
        <v>404</v>
      </c>
      <c r="C204" s="1"/>
      <c r="D204" s="1"/>
      <c r="E204" s="50"/>
      <c r="F204" s="50"/>
      <c r="G204" s="50"/>
      <c r="H204" s="50"/>
      <c r="I204" s="50"/>
      <c r="J204" s="50"/>
      <c r="K204" s="51"/>
      <c r="L204" s="52"/>
      <c r="M204" s="53"/>
      <c r="N204" s="54"/>
      <c r="O204" s="54"/>
      <c r="P204" s="54"/>
      <c r="Q204" s="54"/>
      <c r="R204" s="76"/>
    </row>
    <row r="205" spans="1:18" hidden="1" x14ac:dyDescent="0.25">
      <c r="A205" s="1">
        <v>198</v>
      </c>
      <c r="B205" s="49" t="s">
        <v>403</v>
      </c>
      <c r="C205" s="1"/>
      <c r="D205" s="1"/>
      <c r="E205" s="50"/>
      <c r="F205" s="50"/>
      <c r="G205" s="50"/>
      <c r="H205" s="50"/>
      <c r="I205" s="50"/>
      <c r="J205" s="50"/>
      <c r="K205" s="51"/>
      <c r="L205" s="52"/>
      <c r="M205" s="53"/>
      <c r="N205" s="54"/>
      <c r="O205" s="54"/>
      <c r="P205" s="54"/>
      <c r="Q205" s="54"/>
      <c r="R205" s="265"/>
    </row>
    <row r="206" spans="1:18" hidden="1" x14ac:dyDescent="0.25">
      <c r="A206" s="1">
        <v>199</v>
      </c>
      <c r="B206" s="49" t="s">
        <v>402</v>
      </c>
      <c r="C206" s="1"/>
      <c r="D206" s="1"/>
      <c r="E206" s="50"/>
      <c r="F206" s="50"/>
      <c r="G206" s="50"/>
      <c r="H206" s="50"/>
      <c r="I206" s="50"/>
      <c r="J206" s="50"/>
      <c r="K206" s="51"/>
      <c r="L206" s="52"/>
      <c r="M206" s="53"/>
      <c r="N206" s="54"/>
      <c r="O206" s="54"/>
      <c r="P206" s="54"/>
      <c r="Q206" s="54"/>
      <c r="R206" s="55"/>
    </row>
    <row r="207" spans="1:18" hidden="1" x14ac:dyDescent="0.25">
      <c r="A207" s="1">
        <v>200</v>
      </c>
      <c r="B207" s="49" t="s">
        <v>401</v>
      </c>
      <c r="C207" s="1"/>
      <c r="D207" s="1"/>
      <c r="E207" s="50"/>
      <c r="F207" s="50"/>
      <c r="G207" s="50"/>
      <c r="H207" s="50"/>
      <c r="I207" s="50"/>
      <c r="J207" s="50"/>
      <c r="K207" s="51"/>
      <c r="L207" s="52"/>
      <c r="M207" s="53"/>
      <c r="N207" s="54"/>
      <c r="O207" s="54"/>
      <c r="P207" s="54"/>
      <c r="Q207" s="54"/>
      <c r="R207" s="55"/>
    </row>
    <row r="208" spans="1:18" hidden="1" x14ac:dyDescent="0.25">
      <c r="A208" s="1">
        <v>201</v>
      </c>
      <c r="B208" s="73" t="s">
        <v>400</v>
      </c>
      <c r="C208" s="1"/>
      <c r="D208" s="1"/>
      <c r="E208" s="1"/>
      <c r="F208" s="1"/>
      <c r="G208" s="1"/>
      <c r="H208" s="1"/>
      <c r="I208" s="1"/>
      <c r="J208" s="1"/>
      <c r="K208" s="51"/>
      <c r="L208" s="1"/>
      <c r="M208" s="53"/>
      <c r="N208" s="54"/>
      <c r="O208" s="54"/>
      <c r="P208" s="54"/>
      <c r="Q208" s="54"/>
      <c r="R208" s="61"/>
    </row>
    <row r="209" spans="1:18" hidden="1" x14ac:dyDescent="0.25">
      <c r="A209" s="1">
        <v>202</v>
      </c>
      <c r="B209" s="86" t="s">
        <v>961</v>
      </c>
      <c r="C209" s="1"/>
      <c r="D209" s="1"/>
      <c r="E209" s="50"/>
      <c r="F209" s="50"/>
      <c r="G209" s="50"/>
      <c r="H209" s="50"/>
      <c r="I209" s="50"/>
      <c r="J209" s="50"/>
      <c r="K209" s="51"/>
      <c r="L209" s="50"/>
      <c r="M209" s="53"/>
      <c r="N209" s="54"/>
      <c r="O209" s="54"/>
      <c r="P209" s="54"/>
      <c r="Q209" s="54"/>
      <c r="R209" s="56"/>
    </row>
    <row r="210" spans="1:18" hidden="1" x14ac:dyDescent="0.25">
      <c r="A210" s="67">
        <v>203</v>
      </c>
      <c r="B210" s="86" t="s">
        <v>962</v>
      </c>
      <c r="C210" s="67"/>
      <c r="D210" s="67"/>
      <c r="E210" s="236"/>
      <c r="F210" s="236"/>
      <c r="G210" s="236"/>
      <c r="H210" s="236"/>
      <c r="I210" s="236"/>
      <c r="J210" s="236"/>
      <c r="K210" s="208"/>
      <c r="L210" s="236"/>
      <c r="M210" s="294"/>
      <c r="N210" s="133"/>
      <c r="O210" s="133"/>
      <c r="P210" s="133"/>
      <c r="Q210" s="133"/>
      <c r="R210" s="105"/>
    </row>
    <row r="211" spans="1:18" hidden="1" x14ac:dyDescent="0.25">
      <c r="A211" s="1"/>
      <c r="B211" s="73" t="s">
        <v>964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73"/>
      <c r="N211" s="73"/>
      <c r="O211" s="73"/>
      <c r="P211" s="73"/>
      <c r="Q211" s="73"/>
      <c r="R211" s="73"/>
    </row>
    <row r="212" spans="1:18" hidden="1" x14ac:dyDescent="0.25">
      <c r="A212" s="1">
        <v>205</v>
      </c>
      <c r="B212" s="86" t="s">
        <v>963</v>
      </c>
      <c r="C212" s="1"/>
      <c r="D212" s="1"/>
      <c r="E212" s="50"/>
      <c r="F212" s="50"/>
      <c r="G212" s="50"/>
      <c r="H212" s="50"/>
      <c r="I212" s="50"/>
      <c r="J212" s="50"/>
      <c r="K212" s="51"/>
      <c r="L212" s="50"/>
      <c r="M212" s="53"/>
      <c r="N212" s="54"/>
      <c r="O212" s="54"/>
      <c r="P212" s="54"/>
      <c r="Q212" s="54"/>
      <c r="R212" s="61"/>
    </row>
    <row r="213" spans="1:18" s="237" customFormat="1" hidden="1" x14ac:dyDescent="0.25">
      <c r="A213" s="1">
        <v>206</v>
      </c>
      <c r="B213" s="86" t="s">
        <v>960</v>
      </c>
      <c r="C213" s="1"/>
      <c r="D213" s="1"/>
      <c r="E213" s="236"/>
      <c r="F213" s="236"/>
      <c r="G213" s="236"/>
      <c r="H213" s="236"/>
      <c r="I213" s="236"/>
      <c r="J213" s="236"/>
      <c r="K213" s="51"/>
      <c r="L213" s="236"/>
      <c r="M213" s="53"/>
      <c r="N213" s="54"/>
      <c r="O213" s="54"/>
      <c r="P213" s="54"/>
      <c r="Q213" s="54"/>
      <c r="R213" s="56"/>
    </row>
    <row r="214" spans="1:18" hidden="1" x14ac:dyDescent="0.25">
      <c r="A214" s="1">
        <v>207</v>
      </c>
      <c r="B214" s="86" t="s">
        <v>606</v>
      </c>
      <c r="C214" s="1"/>
      <c r="D214" s="1"/>
      <c r="E214" s="50"/>
      <c r="F214" s="50"/>
      <c r="G214" s="50"/>
      <c r="H214" s="50"/>
      <c r="I214" s="50"/>
      <c r="J214" s="50"/>
      <c r="K214" s="51"/>
      <c r="L214" s="50"/>
      <c r="M214" s="53"/>
      <c r="N214" s="54"/>
      <c r="O214" s="54"/>
      <c r="P214" s="54"/>
      <c r="Q214" s="54"/>
      <c r="R214" s="61"/>
    </row>
    <row r="215" spans="1:18" ht="21.75" hidden="1" customHeight="1" x14ac:dyDescent="0.25">
      <c r="A215" s="1">
        <v>208</v>
      </c>
      <c r="B215" s="88" t="s">
        <v>602</v>
      </c>
      <c r="C215" s="1"/>
      <c r="D215" s="1"/>
      <c r="E215" s="50"/>
      <c r="F215" s="50"/>
      <c r="G215" s="50"/>
      <c r="H215" s="50"/>
      <c r="I215" s="50"/>
      <c r="J215" s="50"/>
      <c r="K215" s="51"/>
      <c r="L215" s="68"/>
      <c r="M215" s="53"/>
      <c r="N215" s="54"/>
      <c r="O215" s="54"/>
      <c r="P215" s="54"/>
      <c r="Q215" s="54"/>
      <c r="R215" s="61"/>
    </row>
    <row r="216" spans="1:18" hidden="1" x14ac:dyDescent="0.25">
      <c r="A216" s="1">
        <v>209</v>
      </c>
      <c r="B216" s="88" t="s">
        <v>603</v>
      </c>
      <c r="C216" s="1"/>
      <c r="D216" s="1"/>
      <c r="E216" s="50"/>
      <c r="F216" s="50"/>
      <c r="G216" s="50"/>
      <c r="H216" s="50"/>
      <c r="I216" s="50"/>
      <c r="J216" s="50"/>
      <c r="K216" s="51"/>
      <c r="L216" s="68"/>
      <c r="M216" s="53"/>
      <c r="N216" s="54"/>
      <c r="O216" s="54"/>
      <c r="P216" s="54"/>
      <c r="Q216" s="54"/>
      <c r="R216" s="87"/>
    </row>
    <row r="217" spans="1:18" hidden="1" x14ac:dyDescent="0.25">
      <c r="A217" s="1">
        <v>210</v>
      </c>
      <c r="B217" s="88" t="s">
        <v>604</v>
      </c>
      <c r="C217" s="1"/>
      <c r="D217" s="1"/>
      <c r="E217" s="50"/>
      <c r="F217" s="50"/>
      <c r="G217" s="50"/>
      <c r="H217" s="50"/>
      <c r="I217" s="50"/>
      <c r="J217" s="50"/>
      <c r="K217" s="51"/>
      <c r="L217" s="68"/>
      <c r="M217" s="53"/>
      <c r="N217" s="54"/>
      <c r="O217" s="54"/>
      <c r="P217" s="54"/>
      <c r="Q217" s="54"/>
      <c r="R217" s="128"/>
    </row>
    <row r="218" spans="1:18" hidden="1" x14ac:dyDescent="0.25">
      <c r="A218" s="1">
        <v>211</v>
      </c>
      <c r="B218" s="86" t="s">
        <v>605</v>
      </c>
      <c r="C218" s="1"/>
      <c r="D218" s="1"/>
      <c r="E218" s="50"/>
      <c r="F218" s="50"/>
      <c r="G218" s="50"/>
      <c r="H218" s="50"/>
      <c r="I218" s="50"/>
      <c r="J218" s="50"/>
      <c r="K218" s="51"/>
      <c r="L218" s="50"/>
      <c r="M218" s="53"/>
      <c r="N218" s="54"/>
      <c r="O218" s="54"/>
      <c r="P218" s="54"/>
      <c r="Q218" s="54"/>
      <c r="R218" s="73"/>
    </row>
    <row r="219" spans="1:18" hidden="1" x14ac:dyDescent="0.25">
      <c r="A219" s="1">
        <v>212</v>
      </c>
      <c r="B219" s="86" t="s">
        <v>682</v>
      </c>
      <c r="C219" s="1"/>
      <c r="D219" s="1"/>
      <c r="E219" s="50"/>
      <c r="F219" s="50"/>
      <c r="G219" s="50"/>
      <c r="H219" s="50"/>
      <c r="I219" s="50"/>
      <c r="J219" s="50"/>
      <c r="K219" s="51"/>
      <c r="L219" s="50"/>
      <c r="M219" s="53"/>
      <c r="N219" s="54"/>
      <c r="O219" s="54"/>
      <c r="P219" s="54"/>
      <c r="Q219" s="54"/>
      <c r="R219" s="266"/>
    </row>
    <row r="220" spans="1:18" hidden="1" x14ac:dyDescent="0.25">
      <c r="A220" s="1">
        <v>213</v>
      </c>
      <c r="B220" s="86" t="s">
        <v>683</v>
      </c>
      <c r="C220" s="1"/>
      <c r="D220" s="1"/>
      <c r="E220" s="50"/>
      <c r="F220" s="50"/>
      <c r="G220" s="50"/>
      <c r="H220" s="50"/>
      <c r="I220" s="50"/>
      <c r="J220" s="50"/>
      <c r="K220" s="51"/>
      <c r="L220" s="50"/>
      <c r="M220" s="53"/>
      <c r="N220" s="54"/>
      <c r="O220" s="54"/>
      <c r="P220" s="54"/>
      <c r="Q220" s="54"/>
      <c r="R220" s="61"/>
    </row>
    <row r="221" spans="1:18" ht="37.5" hidden="1" customHeight="1" x14ac:dyDescent="0.25">
      <c r="A221" s="1">
        <v>214</v>
      </c>
      <c r="B221" s="105" t="s">
        <v>692</v>
      </c>
      <c r="C221" s="1"/>
      <c r="D221" s="1"/>
      <c r="E221" s="50"/>
      <c r="F221" s="50"/>
      <c r="G221" s="50"/>
      <c r="H221" s="50"/>
      <c r="I221" s="50"/>
      <c r="J221" s="50"/>
      <c r="K221" s="51"/>
      <c r="L221" s="50"/>
      <c r="M221" s="53"/>
      <c r="N221" s="54"/>
      <c r="O221" s="54"/>
      <c r="P221" s="54"/>
      <c r="Q221" s="54"/>
      <c r="R221" s="56"/>
    </row>
    <row r="222" spans="1:18" s="307" customFormat="1" x14ac:dyDescent="0.2">
      <c r="A222" s="108">
        <v>215</v>
      </c>
      <c r="B222" s="193" t="s">
        <v>1074</v>
      </c>
      <c r="C222" s="305">
        <v>3</v>
      </c>
      <c r="D222" s="305">
        <v>4</v>
      </c>
      <c r="E222" s="305"/>
      <c r="F222" s="305"/>
      <c r="G222" s="305"/>
      <c r="H222" s="305"/>
      <c r="I222" s="305"/>
      <c r="J222" s="305"/>
      <c r="K222" s="154"/>
      <c r="L222" s="305"/>
      <c r="M222" s="306">
        <v>4</v>
      </c>
      <c r="N222" s="304">
        <f t="shared" ref="N222" si="36">IF(D222=0,"-",(K222/D222))</f>
        <v>0</v>
      </c>
      <c r="O222" s="304">
        <f t="shared" ref="O222" si="37">IF(D222=0,"-",(L222/D222))</f>
        <v>0</v>
      </c>
      <c r="P222" s="304">
        <f t="shared" ref="P222" si="38">IF(D222=0,"-",(M222/D222))</f>
        <v>1</v>
      </c>
      <c r="Q222" s="304">
        <f t="shared" ref="Q222" si="39">IF(D222=0,"-",(O222+P222))</f>
        <v>1</v>
      </c>
      <c r="R222" s="120"/>
    </row>
    <row r="223" spans="1:18" s="344" customFormat="1" ht="15.75" x14ac:dyDescent="0.25">
      <c r="A223" s="1">
        <v>216</v>
      </c>
      <c r="B223" s="56" t="s">
        <v>965</v>
      </c>
      <c r="C223" s="1">
        <v>0</v>
      </c>
      <c r="D223" s="1">
        <v>1</v>
      </c>
      <c r="E223" s="1"/>
      <c r="F223" s="1"/>
      <c r="G223" s="1"/>
      <c r="H223" s="1"/>
      <c r="I223" s="1"/>
      <c r="J223" s="80"/>
      <c r="K223" s="80"/>
      <c r="L223" s="80"/>
      <c r="M223" s="1">
        <v>1</v>
      </c>
      <c r="N223" s="54">
        <f t="shared" ref="N223" si="40">IF(D223=0,"-",(K223/D223))</f>
        <v>0</v>
      </c>
      <c r="O223" s="54">
        <f t="shared" ref="O223" si="41">IF(D223=0,"-",(L223/D223))</f>
        <v>0</v>
      </c>
      <c r="P223" s="54">
        <f t="shared" ref="P223" si="42">IF(D223=0,"-",(M223/D223))</f>
        <v>1</v>
      </c>
      <c r="Q223" s="54">
        <f t="shared" ref="Q223" si="43">IF(D223=0,"-",(O223+P223))</f>
        <v>1</v>
      </c>
      <c r="R223" s="65"/>
    </row>
    <row r="224" spans="1:18" s="36" customFormat="1" ht="15.75" x14ac:dyDescent="0.25">
      <c r="A224" s="1">
        <v>217</v>
      </c>
      <c r="B224" s="80" t="s">
        <v>1043</v>
      </c>
      <c r="C224" s="1">
        <v>0</v>
      </c>
      <c r="D224" s="1">
        <v>4</v>
      </c>
      <c r="E224" s="80"/>
      <c r="F224" s="1"/>
      <c r="G224" s="1"/>
      <c r="H224" s="9"/>
      <c r="I224" s="80"/>
      <c r="J224" s="80"/>
      <c r="K224" s="80"/>
      <c r="L224" s="80"/>
      <c r="M224" s="1">
        <v>4</v>
      </c>
      <c r="N224" s="54">
        <f t="shared" ref="N224" si="44">IF(D224=0,"-",(K224/D224))</f>
        <v>0</v>
      </c>
      <c r="O224" s="54">
        <f t="shared" ref="O224" si="45">IF(D224=0,"-",(L224/D224))</f>
        <v>0</v>
      </c>
      <c r="P224" s="54">
        <f t="shared" ref="P224" si="46">IF(D224=0,"-",(M224/D224))</f>
        <v>1</v>
      </c>
      <c r="Q224" s="54">
        <f t="shared" ref="Q224" si="47">IF(D224=0,"-",(O224+P224))</f>
        <v>1</v>
      </c>
      <c r="R224" s="65"/>
    </row>
    <row r="225" spans="1:18" s="312" customFormat="1" ht="33.75" customHeight="1" x14ac:dyDescent="0.25">
      <c r="A225" s="336">
        <v>218</v>
      </c>
      <c r="B225" s="266" t="s">
        <v>1090</v>
      </c>
      <c r="C225" s="336">
        <v>0</v>
      </c>
      <c r="D225" s="336">
        <v>29</v>
      </c>
      <c r="E225" s="336"/>
      <c r="F225" s="336"/>
      <c r="G225" s="336"/>
      <c r="H225" s="336"/>
      <c r="I225" s="336"/>
      <c r="J225" s="336"/>
      <c r="K225" s="336"/>
      <c r="L225" s="336"/>
      <c r="M225" s="336">
        <v>29</v>
      </c>
      <c r="N225" s="345">
        <f t="shared" ref="N225" si="48">IF(D225=0,"-",(K225/D225))</f>
        <v>0</v>
      </c>
      <c r="O225" s="345">
        <f t="shared" ref="O225" si="49">IF(D225=0,"-",(L225/D225))</f>
        <v>0</v>
      </c>
      <c r="P225" s="345">
        <f t="shared" ref="P225" si="50">IF(D225=0,"-",(M225/D225))</f>
        <v>1</v>
      </c>
      <c r="Q225" s="345">
        <f t="shared" ref="Q225" si="51">IF(D225=0,"-",(O225+P225))</f>
        <v>1</v>
      </c>
      <c r="R225" s="258" t="s">
        <v>1095</v>
      </c>
    </row>
    <row r="226" spans="1:18" ht="15.75" x14ac:dyDescent="0.25">
      <c r="B226" s="162" t="s">
        <v>289</v>
      </c>
      <c r="C226" s="162">
        <f>SUM(C8:C225)</f>
        <v>171</v>
      </c>
      <c r="D226" s="162">
        <f t="shared" ref="D226:M226" si="52">SUM(D8:D225)</f>
        <v>186</v>
      </c>
      <c r="E226" s="162"/>
      <c r="F226" s="162">
        <f t="shared" si="52"/>
        <v>1</v>
      </c>
      <c r="G226" s="162"/>
      <c r="H226" s="162"/>
      <c r="I226" s="162"/>
      <c r="J226" s="162"/>
      <c r="K226" s="162">
        <f t="shared" si="52"/>
        <v>1</v>
      </c>
      <c r="L226" s="162"/>
      <c r="M226" s="162">
        <f t="shared" si="52"/>
        <v>185</v>
      </c>
      <c r="N226" s="162"/>
      <c r="O226" s="162"/>
      <c r="P226" s="162"/>
      <c r="Q226" s="162"/>
      <c r="R226" s="89"/>
    </row>
    <row r="1048576" spans="6:11" x14ac:dyDescent="0.25">
      <c r="F1048576" s="127"/>
      <c r="G1048576" s="127"/>
      <c r="H1048576" s="127"/>
      <c r="I1048576" s="127"/>
      <c r="J1048576" s="127"/>
      <c r="K1048576" s="127"/>
    </row>
  </sheetData>
  <autoFilter ref="A3:R226" xr:uid="{00000000-0009-0000-0000-000005000000}">
    <filterColumn colId="2" showButton="0">
      <customFilters>
        <customFilter operator="notEqual" val=" "/>
      </customFilters>
    </filterColumn>
    <filterColumn colId="4" showButton="0"/>
    <filterColumn colId="5" showButton="0"/>
    <filterColumn colId="6" showButton="0"/>
    <filterColumn colId="7" showButton="0"/>
    <filterColumn colId="8" showButton="0"/>
  </autoFilter>
  <mergeCells count="14">
    <mergeCell ref="C6:R6"/>
    <mergeCell ref="A2:R2"/>
    <mergeCell ref="A3:A4"/>
    <mergeCell ref="B3:B4"/>
    <mergeCell ref="C3:D3"/>
    <mergeCell ref="E3:J3"/>
    <mergeCell ref="K3:K4"/>
    <mergeCell ref="L3:L4"/>
    <mergeCell ref="M3:M4"/>
    <mergeCell ref="N3:N4"/>
    <mergeCell ref="O3:O4"/>
    <mergeCell ref="P3:P4"/>
    <mergeCell ref="Q3:Q4"/>
    <mergeCell ref="R3:R4"/>
  </mergeCells>
  <dataValidations count="2">
    <dataValidation allowBlank="1" showInputMessage="1" showErrorMessage="1" promptTitle="Formula Used" prompt="Please Don't Ammend Here" sqref="B114" xr:uid="{00000000-0002-0000-0500-000000000000}"/>
    <dataValidation type="whole" allowBlank="1" showInputMessage="1" showErrorMessage="1" sqref="E134:J207 K134:K210 M134:M210 C224:G224 L209:L210 E209:J210 L134:L207 E7:M15 C116:L116 E18:M20 C21:M21 E22:M73 C74:M74 E75:M102 C103:M103 E117:M132 E212:M221 E104:M104 E106:M115 C105:M105 I224:M224 C222:M223 C16:M17" xr:uid="{00000000-0002-0000-0500-000001000000}">
      <formula1>0</formula1>
      <formula2>50000</formula2>
    </dataValidation>
  </dataValidations>
  <pageMargins left="0.46" right="0.35433070866141703" top="0.31496062992126" bottom="0.31" header="0.31496062992126" footer="0.31496062992126"/>
  <pageSetup paperSize="9" scale="55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147216"/>
  </sheetPr>
  <dimension ref="A1:R172"/>
  <sheetViews>
    <sheetView view="pageBreakPreview" zoomScale="115" zoomScaleNormal="70" zoomScaleSheetLayoutView="115" workbookViewId="0">
      <pane ySplit="4" topLeftCell="A92" activePane="bottomLeft" state="frozen"/>
      <selection pane="bottomLeft" activeCell="D126" sqref="D126"/>
    </sheetView>
  </sheetViews>
  <sheetFormatPr defaultRowHeight="15.75" x14ac:dyDescent="0.25"/>
  <cols>
    <col min="1" max="1" width="6.5703125" style="10" bestFit="1" customWidth="1"/>
    <col min="2" max="2" width="9.140625" style="10" customWidth="1"/>
    <col min="3" max="3" width="38.7109375" style="10" customWidth="1"/>
    <col min="4" max="4" width="8.85546875" style="10" customWidth="1"/>
    <col min="5" max="5" width="14.42578125" style="10" customWidth="1"/>
    <col min="6" max="6" width="6" style="94" customWidth="1"/>
    <col min="7" max="7" width="18" style="94" customWidth="1"/>
    <col min="8" max="8" width="6" style="94" customWidth="1"/>
    <col min="9" max="9" width="11.5703125" style="94" customWidth="1"/>
    <col min="10" max="10" width="9.28515625" style="94" customWidth="1"/>
    <col min="11" max="11" width="15.42578125" style="10" bestFit="1" customWidth="1"/>
    <col min="12" max="12" width="11.140625" style="10" bestFit="1" customWidth="1"/>
    <col min="13" max="13" width="13.7109375" style="10" bestFit="1" customWidth="1"/>
    <col min="14" max="14" width="20.28515625" style="34" customWidth="1"/>
    <col min="15" max="15" width="11.5703125" style="10" customWidth="1"/>
    <col min="16" max="16" width="47.5703125" style="10" customWidth="1"/>
    <col min="17" max="16384" width="9.140625" style="10"/>
  </cols>
  <sheetData>
    <row r="1" spans="1:16" ht="23.25" customHeight="1" x14ac:dyDescent="0.25">
      <c r="O1" s="58"/>
      <c r="P1" s="58" t="s">
        <v>691</v>
      </c>
    </row>
    <row r="2" spans="1:16" s="136" customFormat="1" x14ac:dyDescent="0.25">
      <c r="A2" s="382" t="s">
        <v>154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</row>
    <row r="3" spans="1:16" s="36" customFormat="1" ht="15.75" customHeight="1" x14ac:dyDescent="0.25">
      <c r="A3" s="107" t="s">
        <v>0</v>
      </c>
      <c r="B3" s="137" t="s">
        <v>18</v>
      </c>
      <c r="C3" s="138"/>
      <c r="D3" s="139" t="s">
        <v>19</v>
      </c>
      <c r="E3" s="140"/>
      <c r="F3" s="107" t="s">
        <v>155</v>
      </c>
      <c r="G3" s="107"/>
      <c r="H3" s="107"/>
      <c r="I3" s="247" t="s">
        <v>20</v>
      </c>
      <c r="J3" s="141" t="s">
        <v>21</v>
      </c>
      <c r="K3" s="142" t="s">
        <v>22</v>
      </c>
      <c r="L3" s="110" t="s">
        <v>23</v>
      </c>
      <c r="M3" s="110" t="s">
        <v>24</v>
      </c>
      <c r="N3" s="79" t="s">
        <v>25</v>
      </c>
      <c r="O3" s="110" t="s">
        <v>26</v>
      </c>
      <c r="P3" s="110" t="s">
        <v>156</v>
      </c>
    </row>
    <row r="4" spans="1:16" s="36" customFormat="1" ht="56.25" customHeight="1" x14ac:dyDescent="0.25">
      <c r="A4" s="107"/>
      <c r="B4" s="143"/>
      <c r="C4" s="144"/>
      <c r="D4" s="246" t="s">
        <v>285</v>
      </c>
      <c r="E4" s="246" t="s">
        <v>28</v>
      </c>
      <c r="F4" s="125" t="s">
        <v>29</v>
      </c>
      <c r="G4" s="240" t="s">
        <v>157</v>
      </c>
      <c r="H4" s="125" t="s">
        <v>30</v>
      </c>
      <c r="I4" s="248"/>
      <c r="J4" s="145"/>
      <c r="K4" s="146"/>
      <c r="L4" s="110"/>
      <c r="M4" s="110"/>
      <c r="N4" s="79"/>
      <c r="O4" s="110"/>
      <c r="P4" s="107"/>
    </row>
    <row r="5" spans="1:16" s="109" customFormat="1" ht="39" customHeight="1" x14ac:dyDescent="0.25">
      <c r="A5" s="1" t="s">
        <v>1</v>
      </c>
      <c r="B5" s="114" t="s">
        <v>2</v>
      </c>
      <c r="C5" s="115"/>
      <c r="D5" s="1" t="s">
        <v>3</v>
      </c>
      <c r="E5" s="1" t="s">
        <v>4</v>
      </c>
      <c r="F5" s="3" t="s">
        <v>5</v>
      </c>
      <c r="G5" s="59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31</v>
      </c>
      <c r="P5" s="1" t="s">
        <v>32</v>
      </c>
    </row>
    <row r="6" spans="1:16" ht="15" hidden="1" customHeight="1" x14ac:dyDescent="0.25">
      <c r="A6" s="147">
        <v>1</v>
      </c>
      <c r="B6" s="102" t="s">
        <v>158</v>
      </c>
      <c r="C6" s="103"/>
      <c r="D6" s="148"/>
      <c r="E6" s="148"/>
      <c r="F6" s="149"/>
      <c r="G6" s="149"/>
      <c r="H6" s="149"/>
      <c r="I6" s="159"/>
      <c r="J6" s="149"/>
      <c r="K6" s="148"/>
      <c r="L6" s="148"/>
      <c r="M6" s="148"/>
      <c r="N6" s="150"/>
      <c r="O6" s="148"/>
      <c r="P6" s="190"/>
    </row>
    <row r="7" spans="1:16" s="34" customFormat="1" hidden="1" x14ac:dyDescent="0.25">
      <c r="A7" s="151"/>
      <c r="B7" s="152" t="s">
        <v>1</v>
      </c>
      <c r="C7" s="152" t="s">
        <v>159</v>
      </c>
      <c r="D7" s="51"/>
      <c r="E7" s="51"/>
      <c r="F7" s="51"/>
      <c r="G7" s="51"/>
      <c r="H7" s="51"/>
      <c r="I7" s="51"/>
      <c r="J7" s="1"/>
      <c r="K7" s="51"/>
      <c r="L7" s="54"/>
      <c r="M7" s="54"/>
      <c r="N7" s="54"/>
      <c r="O7" s="54"/>
      <c r="P7" s="64"/>
    </row>
    <row r="8" spans="1:16" hidden="1" x14ac:dyDescent="0.25">
      <c r="A8" s="151"/>
      <c r="B8" s="153" t="s">
        <v>2</v>
      </c>
      <c r="C8" s="153" t="s">
        <v>160</v>
      </c>
      <c r="D8" s="154"/>
      <c r="E8" s="154"/>
      <c r="F8" s="51"/>
      <c r="G8" s="51"/>
      <c r="H8" s="51"/>
      <c r="I8" s="51"/>
      <c r="J8" s="1"/>
      <c r="K8" s="51"/>
      <c r="L8" s="54"/>
      <c r="M8" s="54"/>
      <c r="N8" s="54"/>
      <c r="O8" s="54"/>
      <c r="P8" s="64"/>
    </row>
    <row r="9" spans="1:16" hidden="1" x14ac:dyDescent="0.25">
      <c r="A9" s="151"/>
      <c r="B9" s="10" t="s">
        <v>3</v>
      </c>
      <c r="C9" s="153" t="s">
        <v>380</v>
      </c>
      <c r="D9" s="154"/>
      <c r="E9" s="154"/>
      <c r="F9" s="51"/>
      <c r="G9" s="51"/>
      <c r="H9" s="51"/>
      <c r="I9" s="51"/>
      <c r="J9" s="1"/>
      <c r="K9" s="51"/>
      <c r="L9" s="54"/>
      <c r="M9" s="54"/>
      <c r="N9" s="54"/>
      <c r="O9" s="54"/>
      <c r="P9" s="70"/>
    </row>
    <row r="10" spans="1:16" hidden="1" x14ac:dyDescent="0.25">
      <c r="A10" s="151"/>
      <c r="B10" s="153" t="s">
        <v>4</v>
      </c>
      <c r="C10" s="153" t="s">
        <v>381</v>
      </c>
      <c r="D10" s="154"/>
      <c r="E10" s="154"/>
      <c r="F10" s="51"/>
      <c r="G10" s="51"/>
      <c r="H10" s="51"/>
      <c r="I10" s="51"/>
      <c r="J10" s="1"/>
      <c r="K10" s="51"/>
      <c r="L10" s="54"/>
      <c r="M10" s="54"/>
      <c r="N10" s="54"/>
      <c r="O10" s="54"/>
      <c r="P10" s="70"/>
    </row>
    <row r="11" spans="1:16" hidden="1" x14ac:dyDescent="0.25">
      <c r="A11" s="155"/>
      <c r="B11" s="153" t="s">
        <v>5</v>
      </c>
      <c r="C11" s="153" t="s">
        <v>161</v>
      </c>
      <c r="D11" s="154"/>
      <c r="E11" s="154"/>
      <c r="F11" s="51"/>
      <c r="G11" s="51"/>
      <c r="H11" s="51"/>
      <c r="I11" s="51"/>
      <c r="J11" s="1"/>
      <c r="K11" s="51"/>
      <c r="L11" s="54"/>
      <c r="M11" s="54"/>
      <c r="N11" s="54"/>
      <c r="O11" s="54"/>
      <c r="P11" s="70"/>
    </row>
    <row r="12" spans="1:16" ht="15.75" hidden="1" customHeight="1" x14ac:dyDescent="0.25">
      <c r="A12" s="147">
        <v>2</v>
      </c>
      <c r="B12" s="102" t="s">
        <v>162</v>
      </c>
      <c r="C12" s="103"/>
      <c r="D12" s="154"/>
      <c r="E12" s="154"/>
      <c r="F12" s="51"/>
      <c r="G12" s="51"/>
      <c r="H12" s="51"/>
      <c r="I12" s="244"/>
      <c r="J12" s="244"/>
      <c r="K12" s="51"/>
      <c r="L12" s="54"/>
      <c r="M12" s="54"/>
      <c r="N12" s="54"/>
      <c r="O12" s="54"/>
      <c r="P12" s="117"/>
    </row>
    <row r="13" spans="1:16" hidden="1" x14ac:dyDescent="0.25">
      <c r="A13" s="151"/>
      <c r="B13" s="153" t="s">
        <v>1</v>
      </c>
      <c r="C13" s="153" t="s">
        <v>382</v>
      </c>
      <c r="D13" s="154"/>
      <c r="E13" s="154"/>
      <c r="F13" s="51"/>
      <c r="G13" s="51"/>
      <c r="H13" s="51"/>
      <c r="I13" s="51"/>
      <c r="J13" s="1"/>
      <c r="K13" s="51"/>
      <c r="L13" s="54"/>
      <c r="M13" s="54"/>
      <c r="N13" s="54"/>
      <c r="O13" s="54"/>
    </row>
    <row r="14" spans="1:16" hidden="1" x14ac:dyDescent="0.25">
      <c r="A14" s="151"/>
      <c r="B14" s="153" t="s">
        <v>2</v>
      </c>
      <c r="C14" s="153" t="s">
        <v>163</v>
      </c>
      <c r="D14" s="154"/>
      <c r="E14" s="154"/>
      <c r="F14" s="51"/>
      <c r="G14" s="51"/>
      <c r="H14" s="51"/>
      <c r="I14" s="51"/>
      <c r="J14" s="1"/>
      <c r="K14" s="51"/>
      <c r="L14" s="54"/>
      <c r="M14" s="54"/>
      <c r="N14" s="54"/>
      <c r="O14" s="54"/>
      <c r="P14" s="191"/>
    </row>
    <row r="15" spans="1:16" hidden="1" x14ac:dyDescent="0.25">
      <c r="A15" s="155"/>
      <c r="B15" s="153" t="s">
        <v>3</v>
      </c>
      <c r="C15" s="153" t="s">
        <v>164</v>
      </c>
      <c r="D15" s="154"/>
      <c r="E15" s="154"/>
      <c r="F15" s="51"/>
      <c r="G15" s="51"/>
      <c r="H15" s="51"/>
      <c r="I15" s="51"/>
      <c r="J15" s="1"/>
      <c r="K15" s="51"/>
      <c r="L15" s="54"/>
      <c r="M15" s="54"/>
      <c r="N15" s="54"/>
      <c r="O15" s="54"/>
      <c r="P15" s="191"/>
    </row>
    <row r="16" spans="1:16" ht="15" hidden="1" customHeight="1" x14ac:dyDescent="0.25">
      <c r="A16" s="147">
        <v>3</v>
      </c>
      <c r="B16" s="102" t="s">
        <v>165</v>
      </c>
      <c r="C16" s="103"/>
      <c r="D16" s="154"/>
      <c r="E16" s="154"/>
      <c r="F16" s="51"/>
      <c r="G16" s="51"/>
      <c r="H16" s="51"/>
      <c r="I16" s="51"/>
      <c r="J16" s="149"/>
      <c r="K16" s="51"/>
      <c r="L16" s="54"/>
      <c r="M16" s="54"/>
      <c r="N16" s="54"/>
      <c r="O16" s="54"/>
      <c r="P16" s="190"/>
    </row>
    <row r="17" spans="1:16" hidden="1" x14ac:dyDescent="0.25">
      <c r="A17" s="151"/>
      <c r="B17" s="153" t="s">
        <v>1</v>
      </c>
      <c r="C17" s="153" t="s">
        <v>166</v>
      </c>
      <c r="D17" s="154"/>
      <c r="E17" s="154"/>
      <c r="F17" s="51"/>
      <c r="G17" s="51"/>
      <c r="H17" s="51"/>
      <c r="I17" s="51"/>
      <c r="J17" s="1"/>
      <c r="K17" s="51"/>
      <c r="L17" s="54"/>
      <c r="M17" s="54"/>
      <c r="N17" s="54"/>
      <c r="O17" s="54"/>
      <c r="P17" s="191"/>
    </row>
    <row r="18" spans="1:16" hidden="1" x14ac:dyDescent="0.25">
      <c r="A18" s="151"/>
      <c r="B18" s="153" t="s">
        <v>2</v>
      </c>
      <c r="C18" s="153" t="s">
        <v>167</v>
      </c>
      <c r="D18" s="154"/>
      <c r="E18" s="154"/>
      <c r="F18" s="51"/>
      <c r="G18" s="51"/>
      <c r="H18" s="51"/>
      <c r="I18" s="51"/>
      <c r="J18" s="1"/>
      <c r="K18" s="51"/>
      <c r="L18" s="54"/>
      <c r="M18" s="54"/>
      <c r="N18" s="54"/>
      <c r="O18" s="54"/>
      <c r="P18" s="70"/>
    </row>
    <row r="19" spans="1:16" hidden="1" x14ac:dyDescent="0.25">
      <c r="A19" s="151"/>
      <c r="B19" s="153" t="s">
        <v>3</v>
      </c>
      <c r="C19" s="153" t="s">
        <v>168</v>
      </c>
      <c r="D19" s="154"/>
      <c r="E19" s="154"/>
      <c r="F19" s="51"/>
      <c r="G19" s="51"/>
      <c r="H19" s="51"/>
      <c r="I19" s="51"/>
      <c r="J19" s="1"/>
      <c r="K19" s="51"/>
      <c r="L19" s="54"/>
      <c r="M19" s="54"/>
      <c r="N19" s="54"/>
      <c r="O19" s="54"/>
      <c r="P19" s="70"/>
    </row>
    <row r="20" spans="1:16" hidden="1" x14ac:dyDescent="0.25">
      <c r="A20" s="151"/>
      <c r="B20" s="153" t="s">
        <v>4</v>
      </c>
      <c r="C20" s="153" t="s">
        <v>169</v>
      </c>
      <c r="D20" s="154"/>
      <c r="E20" s="154"/>
      <c r="F20" s="51"/>
      <c r="G20" s="51"/>
      <c r="H20" s="51"/>
      <c r="I20" s="51"/>
      <c r="J20" s="1"/>
      <c r="K20" s="51"/>
      <c r="L20" s="54"/>
      <c r="M20" s="54"/>
      <c r="N20" s="54"/>
      <c r="O20" s="54"/>
      <c r="P20" s="192"/>
    </row>
    <row r="21" spans="1:16" hidden="1" x14ac:dyDescent="0.25">
      <c r="A21" s="155"/>
      <c r="B21" s="153" t="s">
        <v>4</v>
      </c>
      <c r="C21" s="153" t="s">
        <v>170</v>
      </c>
      <c r="D21" s="154"/>
      <c r="E21" s="154"/>
      <c r="F21" s="51"/>
      <c r="G21" s="51"/>
      <c r="H21" s="51"/>
      <c r="I21" s="51"/>
      <c r="J21" s="1"/>
      <c r="K21" s="51"/>
      <c r="L21" s="54"/>
      <c r="M21" s="54"/>
      <c r="N21" s="54"/>
      <c r="O21" s="54"/>
      <c r="P21" s="192"/>
    </row>
    <row r="22" spans="1:16" ht="15.75" hidden="1" customHeight="1" x14ac:dyDescent="0.25">
      <c r="A22" s="147">
        <v>4</v>
      </c>
      <c r="B22" s="102" t="s">
        <v>171</v>
      </c>
      <c r="C22" s="103"/>
      <c r="D22" s="154"/>
      <c r="E22" s="154"/>
      <c r="F22" s="51"/>
      <c r="G22" s="51"/>
      <c r="H22" s="51"/>
      <c r="I22" s="51"/>
      <c r="J22" s="244"/>
      <c r="K22" s="51"/>
      <c r="L22" s="54"/>
      <c r="M22" s="54"/>
      <c r="N22" s="54"/>
      <c r="O22" s="54"/>
      <c r="P22" s="117"/>
    </row>
    <row r="23" spans="1:16" hidden="1" x14ac:dyDescent="0.25">
      <c r="A23" s="151"/>
      <c r="B23" s="153" t="s">
        <v>1</v>
      </c>
      <c r="C23" s="153" t="s">
        <v>172</v>
      </c>
      <c r="D23" s="154"/>
      <c r="E23" s="154"/>
      <c r="F23" s="51"/>
      <c r="G23" s="51"/>
      <c r="H23" s="51"/>
      <c r="I23" s="51"/>
      <c r="J23" s="1"/>
      <c r="K23" s="51"/>
      <c r="L23" s="54"/>
      <c r="M23" s="54"/>
      <c r="N23" s="54"/>
      <c r="O23" s="54"/>
      <c r="P23" s="70"/>
    </row>
    <row r="24" spans="1:16" hidden="1" x14ac:dyDescent="0.25">
      <c r="A24" s="151"/>
      <c r="B24" s="153" t="s">
        <v>2</v>
      </c>
      <c r="C24" s="153" t="s">
        <v>173</v>
      </c>
      <c r="D24" s="154"/>
      <c r="E24" s="154"/>
      <c r="F24" s="51"/>
      <c r="G24" s="51"/>
      <c r="H24" s="51"/>
      <c r="I24" s="51"/>
      <c r="J24" s="1"/>
      <c r="K24" s="51"/>
      <c r="L24" s="54"/>
      <c r="M24" s="54"/>
      <c r="N24" s="54"/>
      <c r="O24" s="54"/>
      <c r="P24" s="70"/>
    </row>
    <row r="25" spans="1:16" hidden="1" x14ac:dyDescent="0.25">
      <c r="A25" s="151"/>
      <c r="B25" s="153" t="s">
        <v>3</v>
      </c>
      <c r="C25" s="153" t="s">
        <v>174</v>
      </c>
      <c r="D25" s="154"/>
      <c r="E25" s="154"/>
      <c r="F25" s="51"/>
      <c r="G25" s="51"/>
      <c r="H25" s="51"/>
      <c r="I25" s="51"/>
      <c r="J25" s="1"/>
      <c r="K25" s="51"/>
      <c r="L25" s="54"/>
      <c r="M25" s="54"/>
      <c r="N25" s="54"/>
      <c r="O25" s="54"/>
      <c r="P25" s="70"/>
    </row>
    <row r="26" spans="1:16" hidden="1" x14ac:dyDescent="0.25">
      <c r="A26" s="155"/>
      <c r="B26" s="153" t="s">
        <v>4</v>
      </c>
      <c r="C26" s="153" t="s">
        <v>175</v>
      </c>
      <c r="D26" s="154"/>
      <c r="E26" s="154"/>
      <c r="F26" s="51"/>
      <c r="G26" s="51"/>
      <c r="H26" s="51"/>
      <c r="I26" s="51"/>
      <c r="J26" s="1"/>
      <c r="K26" s="51"/>
      <c r="L26" s="54"/>
      <c r="M26" s="54"/>
      <c r="N26" s="54"/>
      <c r="O26" s="54"/>
      <c r="P26" s="70"/>
    </row>
    <row r="27" spans="1:16" ht="15.75" hidden="1" customHeight="1" x14ac:dyDescent="0.25">
      <c r="A27" s="147">
        <v>5</v>
      </c>
      <c r="B27" s="102" t="s">
        <v>176</v>
      </c>
      <c r="C27" s="103"/>
      <c r="D27" s="154"/>
      <c r="E27" s="154"/>
      <c r="F27" s="51"/>
      <c r="G27" s="51"/>
      <c r="H27" s="51"/>
      <c r="I27" s="51"/>
      <c r="J27" s="244"/>
      <c r="K27" s="51"/>
      <c r="L27" s="54"/>
      <c r="M27" s="54"/>
      <c r="N27" s="54"/>
      <c r="O27" s="54"/>
      <c r="P27" s="117"/>
    </row>
    <row r="28" spans="1:16" hidden="1" x14ac:dyDescent="0.25">
      <c r="A28" s="151"/>
      <c r="B28" s="153" t="s">
        <v>1</v>
      </c>
      <c r="C28" s="153" t="s">
        <v>177</v>
      </c>
      <c r="D28" s="154"/>
      <c r="E28" s="154"/>
      <c r="F28" s="51"/>
      <c r="G28" s="51"/>
      <c r="H28" s="51"/>
      <c r="I28" s="51"/>
      <c r="J28" s="1"/>
      <c r="K28" s="51"/>
      <c r="L28" s="54"/>
      <c r="M28" s="54"/>
      <c r="N28" s="54"/>
      <c r="O28" s="54"/>
      <c r="P28" s="70"/>
    </row>
    <row r="29" spans="1:16" hidden="1" x14ac:dyDescent="0.25">
      <c r="A29" s="155"/>
      <c r="B29" s="153" t="s">
        <v>2</v>
      </c>
      <c r="C29" s="153" t="s">
        <v>178</v>
      </c>
      <c r="D29" s="154"/>
      <c r="E29" s="154"/>
      <c r="F29" s="51"/>
      <c r="G29" s="51"/>
      <c r="H29" s="51"/>
      <c r="I29" s="51"/>
      <c r="J29" s="1"/>
      <c r="K29" s="51"/>
      <c r="L29" s="54"/>
      <c r="M29" s="54"/>
      <c r="N29" s="54"/>
      <c r="O29" s="54"/>
      <c r="P29" s="70"/>
    </row>
    <row r="30" spans="1:16" ht="15.75" hidden="1" customHeight="1" x14ac:dyDescent="0.25">
      <c r="A30" s="147">
        <v>6</v>
      </c>
      <c r="B30" s="102" t="s">
        <v>179</v>
      </c>
      <c r="C30" s="103"/>
      <c r="D30" s="154"/>
      <c r="E30" s="154"/>
      <c r="F30" s="51"/>
      <c r="G30" s="51"/>
      <c r="H30" s="51"/>
      <c r="I30" s="51"/>
      <c r="J30" s="244"/>
      <c r="K30" s="51"/>
      <c r="L30" s="54"/>
      <c r="M30" s="54"/>
      <c r="N30" s="54"/>
      <c r="O30" s="54"/>
      <c r="P30" s="117"/>
    </row>
    <row r="31" spans="1:16" hidden="1" x14ac:dyDescent="0.25">
      <c r="A31" s="151"/>
      <c r="B31" s="153" t="s">
        <v>1</v>
      </c>
      <c r="C31" s="153" t="s">
        <v>180</v>
      </c>
      <c r="D31" s="154"/>
      <c r="E31" s="154"/>
      <c r="F31" s="51"/>
      <c r="G31" s="51"/>
      <c r="H31" s="51"/>
      <c r="I31" s="51"/>
      <c r="J31" s="1"/>
      <c r="K31" s="51"/>
      <c r="L31" s="54"/>
      <c r="M31" s="54"/>
      <c r="N31" s="54"/>
      <c r="O31" s="54"/>
      <c r="P31" s="70"/>
    </row>
    <row r="32" spans="1:16" hidden="1" x14ac:dyDescent="0.25">
      <c r="A32" s="151"/>
      <c r="B32" s="153" t="s">
        <v>2</v>
      </c>
      <c r="C32" s="153" t="s">
        <v>181</v>
      </c>
      <c r="D32" s="154"/>
      <c r="E32" s="154"/>
      <c r="F32" s="51"/>
      <c r="G32" s="51"/>
      <c r="H32" s="51"/>
      <c r="I32" s="51"/>
      <c r="J32" s="1"/>
      <c r="K32" s="51"/>
      <c r="L32" s="54"/>
      <c r="M32" s="54"/>
      <c r="N32" s="54"/>
      <c r="O32" s="54"/>
      <c r="P32" s="70"/>
    </row>
    <row r="33" spans="1:16" hidden="1" x14ac:dyDescent="0.25">
      <c r="A33" s="151"/>
      <c r="B33" s="153" t="s">
        <v>3</v>
      </c>
      <c r="C33" s="153" t="s">
        <v>182</v>
      </c>
      <c r="D33" s="154"/>
      <c r="E33" s="154"/>
      <c r="F33" s="51"/>
      <c r="G33" s="51"/>
      <c r="H33" s="51"/>
      <c r="I33" s="51"/>
      <c r="J33" s="1"/>
      <c r="K33" s="51"/>
      <c r="L33" s="54"/>
      <c r="M33" s="54"/>
      <c r="N33" s="54"/>
      <c r="O33" s="54"/>
      <c r="P33" s="70"/>
    </row>
    <row r="34" spans="1:16" hidden="1" x14ac:dyDescent="0.25">
      <c r="A34" s="151"/>
      <c r="B34" s="153" t="s">
        <v>4</v>
      </c>
      <c r="C34" s="153" t="s">
        <v>183</v>
      </c>
      <c r="D34" s="154"/>
      <c r="E34" s="154"/>
      <c r="F34" s="51"/>
      <c r="G34" s="51"/>
      <c r="H34" s="51"/>
      <c r="I34" s="51"/>
      <c r="J34" s="1"/>
      <c r="K34" s="51"/>
      <c r="L34" s="54"/>
      <c r="M34" s="54"/>
      <c r="N34" s="54"/>
      <c r="O34" s="54"/>
      <c r="P34" s="70"/>
    </row>
    <row r="35" spans="1:16" hidden="1" x14ac:dyDescent="0.25">
      <c r="A35" s="155"/>
      <c r="B35" s="153" t="s">
        <v>5</v>
      </c>
      <c r="C35" s="153" t="s">
        <v>170</v>
      </c>
      <c r="D35" s="154"/>
      <c r="E35" s="154"/>
      <c r="F35" s="51"/>
      <c r="G35" s="51"/>
      <c r="H35" s="51"/>
      <c r="I35" s="51"/>
      <c r="J35" s="1"/>
      <c r="K35" s="51"/>
      <c r="L35" s="54"/>
      <c r="M35" s="54"/>
      <c r="N35" s="54"/>
      <c r="O35" s="54"/>
      <c r="P35" s="70"/>
    </row>
    <row r="36" spans="1:16" ht="15.75" hidden="1" customHeight="1" x14ac:dyDescent="0.25">
      <c r="A36" s="147">
        <v>7</v>
      </c>
      <c r="B36" s="102" t="s">
        <v>184</v>
      </c>
      <c r="C36" s="104"/>
      <c r="D36" s="154"/>
      <c r="E36" s="154"/>
      <c r="F36" s="51"/>
      <c r="G36" s="51"/>
      <c r="H36" s="51"/>
      <c r="I36" s="51"/>
      <c r="J36" s="244"/>
      <c r="K36" s="51"/>
      <c r="L36" s="54"/>
      <c r="M36" s="54"/>
      <c r="N36" s="54"/>
      <c r="O36" s="54"/>
      <c r="P36" s="117"/>
    </row>
    <row r="37" spans="1:16" hidden="1" x14ac:dyDescent="0.25">
      <c r="A37" s="151"/>
      <c r="B37" s="153" t="s">
        <v>1</v>
      </c>
      <c r="C37" s="153" t="s">
        <v>185</v>
      </c>
      <c r="D37" s="154"/>
      <c r="E37" s="154"/>
      <c r="F37" s="51"/>
      <c r="G37" s="51"/>
      <c r="H37" s="51"/>
      <c r="I37" s="51"/>
      <c r="J37" s="1"/>
      <c r="K37" s="51"/>
      <c r="L37" s="54"/>
      <c r="M37" s="54"/>
      <c r="N37" s="54"/>
      <c r="O37" s="54"/>
      <c r="P37" s="70"/>
    </row>
    <row r="38" spans="1:16" hidden="1" x14ac:dyDescent="0.25">
      <c r="A38" s="151"/>
      <c r="B38" s="153" t="s">
        <v>2</v>
      </c>
      <c r="C38" s="153" t="s">
        <v>186</v>
      </c>
      <c r="D38" s="154"/>
      <c r="E38" s="154"/>
      <c r="F38" s="51"/>
      <c r="G38" s="51"/>
      <c r="H38" s="51"/>
      <c r="I38" s="51"/>
      <c r="J38" s="1"/>
      <c r="K38" s="51"/>
      <c r="L38" s="54"/>
      <c r="M38" s="54"/>
      <c r="N38" s="54"/>
      <c r="O38" s="54"/>
      <c r="P38" s="70"/>
    </row>
    <row r="39" spans="1:16" hidden="1" x14ac:dyDescent="0.25">
      <c r="A39" s="151"/>
      <c r="B39" s="153" t="s">
        <v>3</v>
      </c>
      <c r="C39" s="153" t="s">
        <v>187</v>
      </c>
      <c r="D39" s="154"/>
      <c r="E39" s="154"/>
      <c r="F39" s="51"/>
      <c r="G39" s="51"/>
      <c r="H39" s="51"/>
      <c r="I39" s="51"/>
      <c r="J39" s="1"/>
      <c r="K39" s="51"/>
      <c r="L39" s="54"/>
      <c r="M39" s="54"/>
      <c r="N39" s="54"/>
      <c r="O39" s="54"/>
      <c r="P39" s="70"/>
    </row>
    <row r="40" spans="1:16" hidden="1" x14ac:dyDescent="0.25">
      <c r="A40" s="155"/>
      <c r="B40" s="153" t="s">
        <v>4</v>
      </c>
      <c r="C40" s="153" t="s">
        <v>188</v>
      </c>
      <c r="D40" s="154"/>
      <c r="E40" s="154"/>
      <c r="F40" s="51"/>
      <c r="G40" s="51"/>
      <c r="H40" s="51"/>
      <c r="I40" s="51"/>
      <c r="J40" s="1"/>
      <c r="K40" s="51"/>
      <c r="L40" s="54"/>
      <c r="M40" s="54"/>
      <c r="N40" s="54"/>
      <c r="O40" s="54"/>
      <c r="P40" s="70"/>
    </row>
    <row r="41" spans="1:16" ht="15.75" hidden="1" customHeight="1" x14ac:dyDescent="0.25">
      <c r="A41" s="147">
        <v>8</v>
      </c>
      <c r="B41" s="102" t="s">
        <v>189</v>
      </c>
      <c r="C41" s="104"/>
      <c r="D41" s="154"/>
      <c r="E41" s="154"/>
      <c r="F41" s="51"/>
      <c r="G41" s="51"/>
      <c r="H41" s="51"/>
      <c r="I41" s="51"/>
      <c r="J41" s="244"/>
      <c r="K41" s="51"/>
      <c r="L41" s="54"/>
      <c r="M41" s="54"/>
      <c r="N41" s="54"/>
      <c r="O41" s="54"/>
      <c r="P41" s="117"/>
    </row>
    <row r="42" spans="1:16" hidden="1" x14ac:dyDescent="0.25">
      <c r="A42" s="151"/>
      <c r="B42" s="153" t="s">
        <v>1</v>
      </c>
      <c r="C42" s="153" t="s">
        <v>190</v>
      </c>
      <c r="D42" s="154"/>
      <c r="E42" s="154"/>
      <c r="F42" s="51"/>
      <c r="G42" s="51"/>
      <c r="H42" s="51"/>
      <c r="I42" s="51"/>
      <c r="J42" s="1"/>
      <c r="K42" s="51"/>
      <c r="L42" s="54"/>
      <c r="M42" s="54"/>
      <c r="N42" s="54"/>
      <c r="O42" s="54"/>
      <c r="P42" s="70"/>
    </row>
    <row r="43" spans="1:16" hidden="1" x14ac:dyDescent="0.25">
      <c r="A43" s="155"/>
      <c r="B43" s="153" t="s">
        <v>2</v>
      </c>
      <c r="C43" s="153" t="s">
        <v>191</v>
      </c>
      <c r="D43" s="154"/>
      <c r="E43" s="154"/>
      <c r="F43" s="51"/>
      <c r="G43" s="51"/>
      <c r="H43" s="51"/>
      <c r="I43" s="51"/>
      <c r="J43" s="1"/>
      <c r="K43" s="51"/>
      <c r="L43" s="54"/>
      <c r="M43" s="54"/>
      <c r="N43" s="54"/>
      <c r="O43" s="54"/>
      <c r="P43" s="70"/>
    </row>
    <row r="44" spans="1:16" ht="15.75" hidden="1" customHeight="1" x14ac:dyDescent="0.25">
      <c r="A44" s="147">
        <v>9</v>
      </c>
      <c r="B44" s="102" t="s">
        <v>192</v>
      </c>
      <c r="C44" s="104"/>
      <c r="D44" s="154"/>
      <c r="E44" s="154"/>
      <c r="F44" s="51"/>
      <c r="G44" s="51"/>
      <c r="H44" s="51"/>
      <c r="I44" s="51"/>
      <c r="J44" s="244"/>
      <c r="K44" s="51"/>
      <c r="L44" s="54"/>
      <c r="M44" s="54"/>
      <c r="N44" s="54"/>
      <c r="O44" s="54"/>
      <c r="P44" s="117"/>
    </row>
    <row r="45" spans="1:16" hidden="1" x14ac:dyDescent="0.25">
      <c r="A45" s="151"/>
      <c r="B45" s="153" t="s">
        <v>1</v>
      </c>
      <c r="C45" s="153" t="s">
        <v>193</v>
      </c>
      <c r="D45" s="154"/>
      <c r="E45" s="154"/>
      <c r="F45" s="51"/>
      <c r="G45" s="51"/>
      <c r="H45" s="51"/>
      <c r="I45" s="51"/>
      <c r="J45" s="1"/>
      <c r="K45" s="51"/>
      <c r="L45" s="54"/>
      <c r="M45" s="54"/>
      <c r="N45" s="54"/>
      <c r="O45" s="54"/>
      <c r="P45" s="70"/>
    </row>
    <row r="46" spans="1:16" hidden="1" x14ac:dyDescent="0.25">
      <c r="A46" s="151"/>
      <c r="B46" s="153" t="s">
        <v>2</v>
      </c>
      <c r="C46" s="153" t="s">
        <v>194</v>
      </c>
      <c r="D46" s="154"/>
      <c r="E46" s="154"/>
      <c r="F46" s="51"/>
      <c r="G46" s="51"/>
      <c r="H46" s="51"/>
      <c r="I46" s="51"/>
      <c r="J46" s="1"/>
      <c r="K46" s="51"/>
      <c r="L46" s="54"/>
      <c r="M46" s="54"/>
      <c r="N46" s="54"/>
      <c r="O46" s="54"/>
      <c r="P46" s="70"/>
    </row>
    <row r="47" spans="1:16" hidden="1" x14ac:dyDescent="0.25">
      <c r="A47" s="151"/>
      <c r="B47" s="153" t="s">
        <v>3</v>
      </c>
      <c r="C47" s="153" t="s">
        <v>195</v>
      </c>
      <c r="D47" s="154"/>
      <c r="E47" s="154"/>
      <c r="F47" s="51"/>
      <c r="G47" s="51"/>
      <c r="H47" s="51"/>
      <c r="I47" s="51"/>
      <c r="J47" s="1"/>
      <c r="K47" s="51"/>
      <c r="L47" s="54"/>
      <c r="M47" s="54"/>
      <c r="N47" s="54"/>
      <c r="O47" s="54"/>
      <c r="P47" s="70"/>
    </row>
    <row r="48" spans="1:16" hidden="1" x14ac:dyDescent="0.25">
      <c r="A48" s="155"/>
      <c r="B48" s="153" t="s">
        <v>4</v>
      </c>
      <c r="C48" s="153" t="s">
        <v>196</v>
      </c>
      <c r="D48" s="154"/>
      <c r="E48" s="154"/>
      <c r="F48" s="51"/>
      <c r="G48" s="51"/>
      <c r="H48" s="51"/>
      <c r="I48" s="51"/>
      <c r="J48" s="1"/>
      <c r="K48" s="51"/>
      <c r="L48" s="54"/>
      <c r="M48" s="54"/>
      <c r="N48" s="54"/>
      <c r="O48" s="54"/>
      <c r="P48" s="70"/>
    </row>
    <row r="49" spans="1:16" ht="15.75" hidden="1" customHeight="1" x14ac:dyDescent="0.25">
      <c r="A49" s="147">
        <v>10</v>
      </c>
      <c r="B49" s="102" t="s">
        <v>197</v>
      </c>
      <c r="C49" s="104"/>
      <c r="D49" s="154"/>
      <c r="E49" s="154"/>
      <c r="F49" s="51"/>
      <c r="G49" s="51"/>
      <c r="H49" s="51"/>
      <c r="I49" s="51"/>
      <c r="J49" s="244"/>
      <c r="K49" s="51"/>
      <c r="L49" s="54"/>
      <c r="M49" s="54"/>
      <c r="N49" s="54"/>
      <c r="O49" s="54"/>
      <c r="P49" s="117"/>
    </row>
    <row r="50" spans="1:16" hidden="1" x14ac:dyDescent="0.25">
      <c r="A50" s="151"/>
      <c r="B50" s="153" t="s">
        <v>1</v>
      </c>
      <c r="C50" s="153" t="s">
        <v>198</v>
      </c>
      <c r="D50" s="154"/>
      <c r="E50" s="154"/>
      <c r="F50" s="51"/>
      <c r="G50" s="51"/>
      <c r="H50" s="51"/>
      <c r="I50" s="51"/>
      <c r="J50" s="1"/>
      <c r="K50" s="51"/>
      <c r="L50" s="54"/>
      <c r="M50" s="54"/>
      <c r="N50" s="54"/>
      <c r="O50" s="54"/>
      <c r="P50" s="70"/>
    </row>
    <row r="51" spans="1:16" hidden="1" x14ac:dyDescent="0.25">
      <c r="A51" s="151"/>
      <c r="B51" s="153" t="s">
        <v>2</v>
      </c>
      <c r="C51" s="153" t="s">
        <v>199</v>
      </c>
      <c r="D51" s="154"/>
      <c r="E51" s="154"/>
      <c r="F51" s="51"/>
      <c r="G51" s="51"/>
      <c r="H51" s="51"/>
      <c r="I51" s="51"/>
      <c r="J51" s="1"/>
      <c r="K51" s="51"/>
      <c r="L51" s="54"/>
      <c r="M51" s="54"/>
      <c r="N51" s="54"/>
      <c r="O51" s="54"/>
      <c r="P51" s="70"/>
    </row>
    <row r="52" spans="1:16" hidden="1" x14ac:dyDescent="0.25">
      <c r="A52" s="151"/>
      <c r="B52" s="153" t="s">
        <v>3</v>
      </c>
      <c r="C52" s="153" t="s">
        <v>200</v>
      </c>
      <c r="D52" s="154"/>
      <c r="E52" s="154"/>
      <c r="F52" s="51"/>
      <c r="G52" s="51"/>
      <c r="H52" s="51"/>
      <c r="I52" s="51"/>
      <c r="J52" s="1"/>
      <c r="K52" s="51"/>
      <c r="L52" s="54"/>
      <c r="M52" s="54"/>
      <c r="N52" s="54"/>
      <c r="O52" s="54"/>
      <c r="P52" s="70"/>
    </row>
    <row r="53" spans="1:16" hidden="1" x14ac:dyDescent="0.25">
      <c r="A53" s="155"/>
      <c r="B53" s="153" t="s">
        <v>4</v>
      </c>
      <c r="C53" s="153" t="s">
        <v>175</v>
      </c>
      <c r="D53" s="154"/>
      <c r="E53" s="154"/>
      <c r="F53" s="51"/>
      <c r="G53" s="51"/>
      <c r="H53" s="51"/>
      <c r="I53" s="51"/>
      <c r="J53" s="1"/>
      <c r="K53" s="51"/>
      <c r="L53" s="54"/>
      <c r="M53" s="54"/>
      <c r="N53" s="54"/>
      <c r="O53" s="54"/>
      <c r="P53" s="70"/>
    </row>
    <row r="54" spans="1:16" ht="15.75" hidden="1" customHeight="1" x14ac:dyDescent="0.25">
      <c r="A54" s="147">
        <v>11</v>
      </c>
      <c r="B54" s="102" t="s">
        <v>201</v>
      </c>
      <c r="C54" s="104"/>
      <c r="D54" s="154"/>
      <c r="E54" s="154"/>
      <c r="F54" s="51"/>
      <c r="G54" s="51"/>
      <c r="H54" s="51"/>
      <c r="I54" s="51"/>
      <c r="J54" s="244"/>
      <c r="K54" s="51"/>
      <c r="L54" s="54"/>
      <c r="M54" s="54"/>
      <c r="N54" s="54"/>
      <c r="O54" s="54"/>
      <c r="P54" s="117"/>
    </row>
    <row r="55" spans="1:16" hidden="1" x14ac:dyDescent="0.25">
      <c r="A55" s="151"/>
      <c r="B55" s="153" t="s">
        <v>1</v>
      </c>
      <c r="C55" s="153" t="s">
        <v>202</v>
      </c>
      <c r="D55" s="154"/>
      <c r="E55" s="154"/>
      <c r="F55" s="51"/>
      <c r="G55" s="51"/>
      <c r="H55" s="51"/>
      <c r="I55" s="51"/>
      <c r="J55" s="1"/>
      <c r="K55" s="51"/>
      <c r="L55" s="54"/>
      <c r="M55" s="54"/>
      <c r="N55" s="54"/>
      <c r="O55" s="54"/>
      <c r="P55" s="70"/>
    </row>
    <row r="56" spans="1:16" hidden="1" x14ac:dyDescent="0.25">
      <c r="A56" s="155"/>
      <c r="B56" s="153" t="s">
        <v>2</v>
      </c>
      <c r="C56" s="153" t="s">
        <v>191</v>
      </c>
      <c r="D56" s="154"/>
      <c r="E56" s="154"/>
      <c r="F56" s="51"/>
      <c r="G56" s="51"/>
      <c r="H56" s="51"/>
      <c r="I56" s="51"/>
      <c r="J56" s="1"/>
      <c r="K56" s="51"/>
      <c r="L56" s="54"/>
      <c r="M56" s="54"/>
      <c r="N56" s="54"/>
      <c r="O56" s="54"/>
      <c r="P56" s="70"/>
    </row>
    <row r="57" spans="1:16" ht="15.75" hidden="1" customHeight="1" x14ac:dyDescent="0.25">
      <c r="A57" s="147">
        <v>12</v>
      </c>
      <c r="B57" s="102" t="s">
        <v>203</v>
      </c>
      <c r="C57" s="104"/>
      <c r="D57" s="154"/>
      <c r="E57" s="154"/>
      <c r="F57" s="51"/>
      <c r="G57" s="51"/>
      <c r="H57" s="51"/>
      <c r="I57" s="51"/>
      <c r="J57" s="244"/>
      <c r="K57" s="51"/>
      <c r="L57" s="54"/>
      <c r="M57" s="54"/>
      <c r="N57" s="54"/>
      <c r="O57" s="54"/>
      <c r="P57" s="117"/>
    </row>
    <row r="58" spans="1:16" hidden="1" x14ac:dyDescent="0.25">
      <c r="A58" s="155"/>
      <c r="B58" s="153" t="s">
        <v>1</v>
      </c>
      <c r="C58" s="153" t="s">
        <v>204</v>
      </c>
      <c r="D58" s="154"/>
      <c r="E58" s="154"/>
      <c r="F58" s="51"/>
      <c r="G58" s="51"/>
      <c r="H58" s="51"/>
      <c r="I58" s="51"/>
      <c r="J58" s="1"/>
      <c r="K58" s="51"/>
      <c r="L58" s="54"/>
      <c r="M58" s="54"/>
      <c r="N58" s="54"/>
      <c r="O58" s="54"/>
      <c r="P58" s="70"/>
    </row>
    <row r="59" spans="1:16" ht="15.75" hidden="1" customHeight="1" x14ac:dyDescent="0.25">
      <c r="A59" s="147">
        <v>13</v>
      </c>
      <c r="B59" s="102" t="s">
        <v>205</v>
      </c>
      <c r="C59" s="104"/>
      <c r="D59" s="154"/>
      <c r="E59" s="154"/>
      <c r="F59" s="51"/>
      <c r="G59" s="51"/>
      <c r="H59" s="51"/>
      <c r="I59" s="51"/>
      <c r="J59" s="244"/>
      <c r="K59" s="51"/>
      <c r="L59" s="54"/>
      <c r="M59" s="54"/>
      <c r="N59" s="54"/>
      <c r="O59" s="54"/>
      <c r="P59" s="117"/>
    </row>
    <row r="60" spans="1:16" hidden="1" x14ac:dyDescent="0.25">
      <c r="A60" s="151"/>
      <c r="B60" s="153" t="s">
        <v>1</v>
      </c>
      <c r="C60" s="153" t="s">
        <v>206</v>
      </c>
      <c r="D60" s="154"/>
      <c r="E60" s="154"/>
      <c r="F60" s="51"/>
      <c r="G60" s="51"/>
      <c r="H60" s="51"/>
      <c r="I60" s="51"/>
      <c r="J60" s="1"/>
      <c r="K60" s="51"/>
      <c r="L60" s="54"/>
      <c r="M60" s="54"/>
      <c r="N60" s="54"/>
      <c r="O60" s="54"/>
      <c r="P60" s="70"/>
    </row>
    <row r="61" spans="1:16" hidden="1" x14ac:dyDescent="0.25">
      <c r="A61" s="155"/>
      <c r="B61" s="153" t="s">
        <v>2</v>
      </c>
      <c r="C61" s="153" t="s">
        <v>207</v>
      </c>
      <c r="D61" s="154"/>
      <c r="E61" s="154"/>
      <c r="F61" s="51"/>
      <c r="G61" s="51"/>
      <c r="H61" s="51"/>
      <c r="I61" s="51"/>
      <c r="J61" s="1"/>
      <c r="K61" s="51"/>
      <c r="L61" s="54"/>
      <c r="M61" s="54"/>
      <c r="N61" s="54"/>
      <c r="O61" s="54"/>
      <c r="P61" s="70"/>
    </row>
    <row r="62" spans="1:16" ht="15.75" hidden="1" customHeight="1" x14ac:dyDescent="0.25">
      <c r="A62" s="147">
        <v>14</v>
      </c>
      <c r="B62" s="102" t="s">
        <v>208</v>
      </c>
      <c r="C62" s="104"/>
      <c r="D62" s="154"/>
      <c r="E62" s="154"/>
      <c r="F62" s="51"/>
      <c r="G62" s="51"/>
      <c r="H62" s="51"/>
      <c r="I62" s="51"/>
      <c r="J62" s="1"/>
      <c r="K62" s="51"/>
      <c r="L62" s="54"/>
      <c r="M62" s="54"/>
      <c r="N62" s="54"/>
      <c r="O62" s="54"/>
      <c r="P62" s="70"/>
    </row>
    <row r="63" spans="1:16" hidden="1" x14ac:dyDescent="0.25">
      <c r="A63" s="151"/>
      <c r="B63" s="153" t="s">
        <v>1</v>
      </c>
      <c r="C63" s="153" t="s">
        <v>209</v>
      </c>
      <c r="D63" s="154"/>
      <c r="E63" s="154"/>
      <c r="F63" s="51"/>
      <c r="G63" s="51"/>
      <c r="H63" s="51"/>
      <c r="I63" s="51"/>
      <c r="J63" s="1"/>
      <c r="K63" s="51"/>
      <c r="L63" s="54"/>
      <c r="M63" s="54"/>
      <c r="N63" s="54"/>
      <c r="O63" s="54"/>
      <c r="P63" s="70"/>
    </row>
    <row r="64" spans="1:16" hidden="1" x14ac:dyDescent="0.25">
      <c r="A64" s="155"/>
      <c r="B64" s="153" t="s">
        <v>2</v>
      </c>
      <c r="C64" s="153" t="s">
        <v>210</v>
      </c>
      <c r="D64" s="154"/>
      <c r="E64" s="154"/>
      <c r="F64" s="51"/>
      <c r="G64" s="51"/>
      <c r="H64" s="51"/>
      <c r="I64" s="51"/>
      <c r="J64" s="1"/>
      <c r="K64" s="51"/>
      <c r="L64" s="54"/>
      <c r="M64" s="54"/>
      <c r="N64" s="54"/>
      <c r="O64" s="54"/>
      <c r="P64" s="70"/>
    </row>
    <row r="65" spans="1:18" ht="15.75" hidden="1" customHeight="1" x14ac:dyDescent="0.25">
      <c r="A65" s="147">
        <v>15</v>
      </c>
      <c r="B65" s="102" t="s">
        <v>211</v>
      </c>
      <c r="C65" s="104"/>
      <c r="D65" s="154"/>
      <c r="E65" s="154"/>
      <c r="F65" s="51"/>
      <c r="G65" s="51"/>
      <c r="H65" s="51"/>
      <c r="I65" s="51"/>
      <c r="J65" s="244"/>
      <c r="K65" s="51"/>
      <c r="L65" s="54"/>
      <c r="M65" s="54"/>
      <c r="N65" s="54"/>
      <c r="O65" s="54"/>
      <c r="P65" s="117"/>
    </row>
    <row r="66" spans="1:18" hidden="1" x14ac:dyDescent="0.25">
      <c r="A66" s="151"/>
      <c r="B66" s="153" t="s">
        <v>1</v>
      </c>
      <c r="C66" s="153" t="s">
        <v>212</v>
      </c>
      <c r="D66" s="154"/>
      <c r="E66" s="154"/>
      <c r="F66" s="51"/>
      <c r="G66" s="51"/>
      <c r="H66" s="51"/>
      <c r="I66" s="51"/>
      <c r="J66" s="1"/>
      <c r="K66" s="51"/>
      <c r="L66" s="54"/>
      <c r="M66" s="54"/>
      <c r="N66" s="54"/>
      <c r="O66" s="54"/>
      <c r="P66" s="70"/>
    </row>
    <row r="67" spans="1:18" hidden="1" x14ac:dyDescent="0.25">
      <c r="A67" s="155"/>
      <c r="B67" s="153" t="s">
        <v>2</v>
      </c>
      <c r="C67" s="153" t="s">
        <v>213</v>
      </c>
      <c r="D67" s="154"/>
      <c r="E67" s="154"/>
      <c r="F67" s="51"/>
      <c r="G67" s="51"/>
      <c r="H67" s="51"/>
      <c r="I67" s="51"/>
      <c r="J67" s="1"/>
      <c r="K67" s="51"/>
      <c r="L67" s="54"/>
      <c r="M67" s="54"/>
      <c r="N67" s="54"/>
      <c r="O67" s="54"/>
      <c r="P67" s="70"/>
    </row>
    <row r="68" spans="1:18" s="11" customFormat="1" ht="15" hidden="1" customHeight="1" x14ac:dyDescent="0.25">
      <c r="A68" s="102" t="s">
        <v>214</v>
      </c>
      <c r="B68" s="103"/>
      <c r="C68" s="104"/>
      <c r="D68" s="154"/>
      <c r="E68" s="154"/>
      <c r="F68" s="51"/>
      <c r="G68" s="51"/>
      <c r="H68" s="51"/>
      <c r="I68" s="51"/>
      <c r="J68" s="149"/>
      <c r="K68" s="51"/>
      <c r="L68" s="54"/>
      <c r="M68" s="54"/>
      <c r="N68" s="54"/>
      <c r="O68" s="54"/>
      <c r="P68" s="190"/>
    </row>
    <row r="69" spans="1:18" s="34" customFormat="1" ht="20.25" hidden="1" customHeight="1" x14ac:dyDescent="0.25">
      <c r="A69" s="1">
        <v>16</v>
      </c>
      <c r="B69" s="80" t="s">
        <v>215</v>
      </c>
      <c r="C69" s="80"/>
      <c r="D69" s="51"/>
      <c r="E69" s="51"/>
      <c r="F69" s="51"/>
      <c r="G69" s="51"/>
      <c r="H69" s="51"/>
      <c r="I69" s="51"/>
      <c r="J69" s="1"/>
      <c r="K69" s="51"/>
      <c r="L69" s="54"/>
      <c r="M69" s="54"/>
      <c r="N69" s="54"/>
      <c r="O69" s="54"/>
      <c r="P69" s="49"/>
      <c r="R69" s="34" t="s">
        <v>282</v>
      </c>
    </row>
    <row r="70" spans="1:18" s="34" customFormat="1" ht="30.75" hidden="1" customHeight="1" x14ac:dyDescent="0.25">
      <c r="A70" s="1">
        <v>17</v>
      </c>
      <c r="B70" s="80" t="s">
        <v>383</v>
      </c>
      <c r="C70" s="80"/>
      <c r="D70" s="51"/>
      <c r="E70" s="51"/>
      <c r="F70" s="51"/>
      <c r="G70" s="51"/>
      <c r="H70" s="51"/>
      <c r="I70" s="51"/>
      <c r="J70" s="1"/>
      <c r="K70" s="51"/>
      <c r="L70" s="54"/>
      <c r="M70" s="54"/>
      <c r="N70" s="54"/>
      <c r="O70" s="54"/>
      <c r="P70" s="49"/>
    </row>
    <row r="71" spans="1:18" ht="36.75" hidden="1" customHeight="1" x14ac:dyDescent="0.25">
      <c r="A71" s="1">
        <v>18</v>
      </c>
      <c r="B71" s="114" t="s">
        <v>384</v>
      </c>
      <c r="C71" s="115"/>
      <c r="D71" s="51"/>
      <c r="E71" s="51"/>
      <c r="F71" s="51"/>
      <c r="G71" s="51"/>
      <c r="H71" s="51"/>
      <c r="I71" s="51"/>
      <c r="J71" s="1"/>
      <c r="K71" s="51"/>
      <c r="L71" s="54"/>
      <c r="M71" s="54"/>
      <c r="N71" s="54"/>
      <c r="O71" s="54"/>
      <c r="P71" s="258"/>
    </row>
    <row r="72" spans="1:18" s="328" customFormat="1" ht="30.75" customHeight="1" x14ac:dyDescent="0.25">
      <c r="A72" s="1">
        <v>19</v>
      </c>
      <c r="B72" s="114" t="s">
        <v>385</v>
      </c>
      <c r="C72" s="115"/>
      <c r="D72" s="51">
        <v>6</v>
      </c>
      <c r="E72" s="51">
        <v>6</v>
      </c>
      <c r="F72" s="51"/>
      <c r="G72" s="51"/>
      <c r="H72" s="51"/>
      <c r="I72" s="51"/>
      <c r="J72" s="51"/>
      <c r="K72" s="53">
        <v>6</v>
      </c>
      <c r="L72" s="304">
        <f t="shared" ref="L72:M74" si="0">IF(D72=0,"-",(I72/D72))</f>
        <v>0</v>
      </c>
      <c r="M72" s="54">
        <f t="shared" si="0"/>
        <v>0</v>
      </c>
      <c r="N72" s="54">
        <f t="shared" ref="N72:N74" si="1">IF(E72=0,"-",(K72/E72))</f>
        <v>1</v>
      </c>
      <c r="O72" s="54">
        <f t="shared" ref="O72:O74" si="2">IF(E72=0,"-",(M72+N72))</f>
        <v>1</v>
      </c>
      <c r="P72" s="327"/>
    </row>
    <row r="73" spans="1:18" ht="37.5" customHeight="1" x14ac:dyDescent="0.25">
      <c r="A73" s="1">
        <v>20</v>
      </c>
      <c r="B73" s="114" t="s">
        <v>216</v>
      </c>
      <c r="C73" s="115"/>
      <c r="D73" s="51">
        <v>0</v>
      </c>
      <c r="E73" s="51">
        <v>2</v>
      </c>
      <c r="F73" s="51"/>
      <c r="G73" s="51"/>
      <c r="H73" s="51"/>
      <c r="I73" s="51"/>
      <c r="J73" s="51"/>
      <c r="K73" s="53">
        <v>2</v>
      </c>
      <c r="L73" s="54" t="s">
        <v>1071</v>
      </c>
      <c r="M73" s="54">
        <f t="shared" si="0"/>
        <v>0</v>
      </c>
      <c r="N73" s="54">
        <f t="shared" si="1"/>
        <v>1</v>
      </c>
      <c r="O73" s="54">
        <f t="shared" si="2"/>
        <v>1</v>
      </c>
      <c r="P73" s="263"/>
    </row>
    <row r="74" spans="1:18" ht="20.25" customHeight="1" x14ac:dyDescent="0.25">
      <c r="A74" s="108">
        <v>21</v>
      </c>
      <c r="B74" s="118" t="s">
        <v>217</v>
      </c>
      <c r="C74" s="118"/>
      <c r="D74" s="51">
        <v>0</v>
      </c>
      <c r="E74" s="51">
        <v>2</v>
      </c>
      <c r="F74" s="51"/>
      <c r="G74" s="51"/>
      <c r="H74" s="51"/>
      <c r="I74" s="51"/>
      <c r="J74" s="51"/>
      <c r="K74" s="53">
        <v>2</v>
      </c>
      <c r="L74" s="304" t="str">
        <f t="shared" ref="L74" si="3">IF(D74=0,"-",(I74/D74))</f>
        <v>-</v>
      </c>
      <c r="M74" s="304">
        <f t="shared" si="0"/>
        <v>0</v>
      </c>
      <c r="N74" s="304">
        <f t="shared" si="1"/>
        <v>1</v>
      </c>
      <c r="O74" s="304">
        <f t="shared" si="2"/>
        <v>1</v>
      </c>
      <c r="P74" s="78"/>
    </row>
    <row r="75" spans="1:18" s="34" customFormat="1" ht="20.25" hidden="1" customHeight="1" x14ac:dyDescent="0.25">
      <c r="A75" s="1">
        <v>22</v>
      </c>
      <c r="B75" s="80" t="s">
        <v>218</v>
      </c>
      <c r="C75" s="80"/>
      <c r="D75" s="51"/>
      <c r="E75" s="51"/>
      <c r="F75" s="51"/>
      <c r="G75" s="51"/>
      <c r="H75" s="51"/>
      <c r="I75" s="51"/>
      <c r="J75" s="1"/>
      <c r="K75" s="51"/>
      <c r="L75" s="54"/>
      <c r="M75" s="54"/>
      <c r="N75" s="54"/>
      <c r="O75" s="54"/>
      <c r="P75" s="76"/>
    </row>
    <row r="76" spans="1:18" ht="20.25" hidden="1" customHeight="1" x14ac:dyDescent="0.25">
      <c r="A76" s="108">
        <v>23</v>
      </c>
      <c r="B76" s="156" t="s">
        <v>386</v>
      </c>
      <c r="C76" s="117"/>
      <c r="D76" s="51"/>
      <c r="E76" s="51"/>
      <c r="F76" s="51"/>
      <c r="G76" s="51"/>
      <c r="H76" s="51"/>
      <c r="I76" s="51"/>
      <c r="J76" s="1"/>
      <c r="K76" s="51"/>
      <c r="L76" s="54"/>
      <c r="M76" s="54"/>
      <c r="N76" s="54"/>
      <c r="O76" s="54"/>
      <c r="P76" s="70"/>
    </row>
    <row r="77" spans="1:18" s="34" customFormat="1" hidden="1" x14ac:dyDescent="0.25">
      <c r="A77" s="1">
        <v>24</v>
      </c>
      <c r="B77" s="157" t="s">
        <v>595</v>
      </c>
      <c r="C77" s="158"/>
      <c r="D77" s="51"/>
      <c r="E77" s="51"/>
      <c r="F77" s="51"/>
      <c r="G77" s="51"/>
      <c r="H77" s="51"/>
      <c r="I77" s="51"/>
      <c r="J77" s="1"/>
      <c r="K77" s="51"/>
      <c r="L77" s="54"/>
      <c r="M77" s="54"/>
      <c r="N77" s="54"/>
      <c r="O77" s="54"/>
      <c r="P77" s="49"/>
    </row>
    <row r="78" spans="1:18" s="34" customFormat="1" ht="33.75" hidden="1" customHeight="1" x14ac:dyDescent="0.25">
      <c r="A78" s="1">
        <v>25</v>
      </c>
      <c r="B78" s="80" t="s">
        <v>219</v>
      </c>
      <c r="C78" s="80"/>
      <c r="D78" s="51"/>
      <c r="E78" s="51"/>
      <c r="F78" s="51"/>
      <c r="G78" s="51"/>
      <c r="H78" s="51"/>
      <c r="I78" s="51"/>
      <c r="J78" s="1"/>
      <c r="K78" s="51"/>
      <c r="L78" s="54"/>
      <c r="M78" s="54"/>
      <c r="N78" s="54"/>
      <c r="O78" s="54"/>
      <c r="P78" s="56"/>
    </row>
    <row r="79" spans="1:18" ht="15.75" hidden="1" customHeight="1" x14ac:dyDescent="0.25">
      <c r="A79" s="108">
        <v>26</v>
      </c>
      <c r="B79" s="118" t="s">
        <v>220</v>
      </c>
      <c r="C79" s="118"/>
      <c r="D79" s="51"/>
      <c r="E79" s="51"/>
      <c r="F79" s="51"/>
      <c r="G79" s="51"/>
      <c r="H79" s="51"/>
      <c r="I79" s="51"/>
      <c r="J79" s="1"/>
      <c r="K79" s="51"/>
      <c r="L79" s="54"/>
      <c r="M79" s="54"/>
      <c r="N79" s="54"/>
      <c r="O79" s="54"/>
      <c r="P79" s="70"/>
    </row>
    <row r="80" spans="1:18" s="34" customFormat="1" hidden="1" x14ac:dyDescent="0.25">
      <c r="A80" s="1">
        <v>27</v>
      </c>
      <c r="B80" s="80" t="s">
        <v>221</v>
      </c>
      <c r="C80" s="80"/>
      <c r="D80" s="51"/>
      <c r="E80" s="51"/>
      <c r="F80" s="51"/>
      <c r="G80" s="51"/>
      <c r="H80" s="51"/>
      <c r="I80" s="51"/>
      <c r="J80" s="1"/>
      <c r="K80" s="51"/>
      <c r="L80" s="54"/>
      <c r="M80" s="54"/>
      <c r="N80" s="54"/>
      <c r="O80" s="54"/>
      <c r="P80" s="193"/>
    </row>
    <row r="81" spans="1:16" s="11" customFormat="1" ht="14.25" hidden="1" customHeight="1" x14ac:dyDescent="0.25">
      <c r="A81" s="102" t="s">
        <v>222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4"/>
    </row>
    <row r="82" spans="1:16" x14ac:dyDescent="0.25">
      <c r="A82" s="1">
        <v>28</v>
      </c>
      <c r="B82" s="80" t="s">
        <v>223</v>
      </c>
      <c r="C82" s="80"/>
      <c r="D82" s="51">
        <v>2</v>
      </c>
      <c r="E82" s="51">
        <v>2</v>
      </c>
      <c r="F82" s="51"/>
      <c r="G82" s="51"/>
      <c r="H82" s="51"/>
      <c r="I82" s="51"/>
      <c r="J82" s="51"/>
      <c r="K82" s="53">
        <v>2</v>
      </c>
      <c r="L82" s="304">
        <f t="shared" ref="L82:M82" si="4">IF(D82=0,"-",(I82/D82))</f>
        <v>0</v>
      </c>
      <c r="M82" s="304">
        <f t="shared" si="4"/>
        <v>0</v>
      </c>
      <c r="N82" s="304">
        <f t="shared" ref="N82" si="5">IF(E82=0,"-",(K82/E82))</f>
        <v>1</v>
      </c>
      <c r="O82" s="304">
        <f t="shared" ref="O82" si="6">IF(E82=0,"-",(M82+N82))</f>
        <v>1</v>
      </c>
      <c r="P82" s="269"/>
    </row>
    <row r="83" spans="1:16" ht="15.75" hidden="1" customHeight="1" x14ac:dyDescent="0.25">
      <c r="A83" s="108">
        <v>29</v>
      </c>
      <c r="B83" s="118" t="s">
        <v>224</v>
      </c>
      <c r="C83" s="118"/>
      <c r="D83" s="51"/>
      <c r="E83" s="51"/>
      <c r="F83" s="51"/>
      <c r="G83" s="51"/>
      <c r="H83" s="51"/>
      <c r="I83" s="51"/>
      <c r="J83" s="1"/>
      <c r="K83" s="51"/>
      <c r="L83" s="54"/>
      <c r="M83" s="54"/>
      <c r="N83" s="54"/>
      <c r="O83" s="54"/>
      <c r="P83" s="70"/>
    </row>
    <row r="84" spans="1:16" ht="15.75" hidden="1" customHeight="1" x14ac:dyDescent="0.25">
      <c r="A84" s="108">
        <v>30</v>
      </c>
      <c r="B84" s="118" t="s">
        <v>225</v>
      </c>
      <c r="C84" s="118"/>
      <c r="D84" s="51"/>
      <c r="E84" s="51"/>
      <c r="F84" s="51"/>
      <c r="G84" s="51"/>
      <c r="H84" s="51"/>
      <c r="I84" s="51"/>
      <c r="J84" s="1"/>
      <c r="K84" s="51"/>
      <c r="L84" s="54"/>
      <c r="M84" s="54"/>
      <c r="N84" s="54"/>
      <c r="O84" s="54"/>
      <c r="P84" s="70"/>
    </row>
    <row r="85" spans="1:16" ht="15.75" hidden="1" customHeight="1" x14ac:dyDescent="0.25">
      <c r="A85" s="108">
        <v>31</v>
      </c>
      <c r="B85" s="390" t="s">
        <v>226</v>
      </c>
      <c r="C85" s="391"/>
      <c r="D85" s="51"/>
      <c r="E85" s="51"/>
      <c r="F85" s="51"/>
      <c r="G85" s="51"/>
      <c r="H85" s="51"/>
      <c r="I85" s="51"/>
      <c r="J85" s="1"/>
      <c r="K85" s="51"/>
      <c r="L85" s="54"/>
      <c r="M85" s="54"/>
      <c r="N85" s="54"/>
      <c r="O85" s="54"/>
      <c r="P85" s="70"/>
    </row>
    <row r="86" spans="1:16" ht="21" hidden="1" customHeight="1" x14ac:dyDescent="0.25">
      <c r="A86" s="108">
        <v>32</v>
      </c>
      <c r="B86" s="118" t="s">
        <v>227</v>
      </c>
      <c r="C86" s="118"/>
      <c r="D86" s="51"/>
      <c r="E86" s="51"/>
      <c r="F86" s="51"/>
      <c r="G86" s="51"/>
      <c r="H86" s="51"/>
      <c r="I86" s="51"/>
      <c r="J86" s="1"/>
      <c r="K86" s="51"/>
      <c r="L86" s="54"/>
      <c r="M86" s="54"/>
      <c r="N86" s="54"/>
      <c r="O86" s="54"/>
      <c r="P86" s="193"/>
    </row>
    <row r="87" spans="1:16" ht="15.75" hidden="1" customHeight="1" x14ac:dyDescent="0.25">
      <c r="A87" s="108">
        <v>33</v>
      </c>
      <c r="B87" s="118" t="s">
        <v>228</v>
      </c>
      <c r="C87" s="118"/>
      <c r="D87" s="51"/>
      <c r="E87" s="51"/>
      <c r="F87" s="51"/>
      <c r="G87" s="51"/>
      <c r="H87" s="51"/>
      <c r="I87" s="51"/>
      <c r="J87" s="1"/>
      <c r="K87" s="51"/>
      <c r="L87" s="54"/>
      <c r="M87" s="54"/>
      <c r="N87" s="54"/>
      <c r="O87" s="54"/>
      <c r="P87" s="70"/>
    </row>
    <row r="88" spans="1:16" s="11" customFormat="1" ht="15" hidden="1" customHeight="1" x14ac:dyDescent="0.25">
      <c r="A88" s="102" t="s">
        <v>229</v>
      </c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4"/>
    </row>
    <row r="89" spans="1:16" ht="24" hidden="1" customHeight="1" x14ac:dyDescent="0.25">
      <c r="A89" s="108">
        <v>34</v>
      </c>
      <c r="B89" s="118" t="s">
        <v>230</v>
      </c>
      <c r="C89" s="118"/>
      <c r="D89" s="51"/>
      <c r="E89" s="51"/>
      <c r="F89" s="51"/>
      <c r="G89" s="51"/>
      <c r="H89" s="51"/>
      <c r="I89" s="51"/>
      <c r="J89" s="1"/>
      <c r="K89" s="51"/>
      <c r="L89" s="54"/>
      <c r="M89" s="54"/>
      <c r="N89" s="54"/>
      <c r="O89" s="54"/>
      <c r="P89" s="273"/>
    </row>
    <row r="90" spans="1:16" s="328" customFormat="1" ht="27.75" customHeight="1" x14ac:dyDescent="0.25">
      <c r="A90" s="333">
        <v>35</v>
      </c>
      <c r="B90" s="147" t="s">
        <v>231</v>
      </c>
      <c r="C90" s="147"/>
      <c r="D90" s="51">
        <v>8</v>
      </c>
      <c r="E90" s="51">
        <v>11</v>
      </c>
      <c r="F90" s="51"/>
      <c r="G90" s="51"/>
      <c r="H90" s="51"/>
      <c r="I90" s="51"/>
      <c r="J90" s="51"/>
      <c r="K90" s="53">
        <v>11</v>
      </c>
      <c r="L90" s="54">
        <f t="shared" ref="L90:M92" si="7">IF(D90=0,"-",(I90/D90))</f>
        <v>0</v>
      </c>
      <c r="M90" s="54">
        <f t="shared" si="7"/>
        <v>0</v>
      </c>
      <c r="N90" s="54">
        <f t="shared" ref="N90:N92" si="8">IF(E90=0,"-",(K90/E90))</f>
        <v>1</v>
      </c>
      <c r="O90" s="54">
        <f t="shared" ref="O90:O92" si="9">IF(E90=0,"-",(M90+N90))</f>
        <v>1</v>
      </c>
      <c r="P90" s="329"/>
    </row>
    <row r="91" spans="1:16" x14ac:dyDescent="0.25">
      <c r="A91" s="1">
        <v>36</v>
      </c>
      <c r="B91" s="80" t="s">
        <v>232</v>
      </c>
      <c r="C91" s="80"/>
      <c r="D91" s="51">
        <v>0</v>
      </c>
      <c r="E91" s="51">
        <v>13</v>
      </c>
      <c r="F91" s="51"/>
      <c r="G91" s="51"/>
      <c r="H91" s="51"/>
      <c r="I91" s="51"/>
      <c r="J91" s="51"/>
      <c r="K91" s="53">
        <v>3</v>
      </c>
      <c r="L91" s="304" t="str">
        <f t="shared" si="7"/>
        <v>-</v>
      </c>
      <c r="M91" s="304">
        <f t="shared" si="7"/>
        <v>0</v>
      </c>
      <c r="N91" s="304">
        <f t="shared" si="8"/>
        <v>0.23076923076923078</v>
      </c>
      <c r="O91" s="304">
        <f t="shared" si="9"/>
        <v>0.23076923076923078</v>
      </c>
      <c r="P91" s="193"/>
    </row>
    <row r="92" spans="1:16" s="330" customFormat="1" ht="36.75" customHeight="1" x14ac:dyDescent="0.25">
      <c r="A92" s="334">
        <v>37</v>
      </c>
      <c r="B92" s="335" t="s">
        <v>233</v>
      </c>
      <c r="C92" s="335"/>
      <c r="D92" s="51">
        <v>0</v>
      </c>
      <c r="E92" s="51">
        <v>2</v>
      </c>
      <c r="F92" s="51"/>
      <c r="G92" s="51"/>
      <c r="H92" s="51"/>
      <c r="I92" s="51"/>
      <c r="J92" s="51"/>
      <c r="K92" s="53">
        <v>2</v>
      </c>
      <c r="L92" s="54" t="str">
        <f t="shared" si="7"/>
        <v>-</v>
      </c>
      <c r="M92" s="54">
        <f t="shared" si="7"/>
        <v>0</v>
      </c>
      <c r="N92" s="54">
        <f t="shared" si="8"/>
        <v>1</v>
      </c>
      <c r="O92" s="54">
        <f t="shared" si="9"/>
        <v>1</v>
      </c>
      <c r="P92" s="324"/>
    </row>
    <row r="93" spans="1:16" ht="15.75" hidden="1" customHeight="1" x14ac:dyDescent="0.25">
      <c r="A93" s="108">
        <v>38</v>
      </c>
      <c r="B93" s="118" t="s">
        <v>234</v>
      </c>
      <c r="C93" s="118"/>
      <c r="D93" s="51"/>
      <c r="E93" s="51"/>
      <c r="F93" s="51"/>
      <c r="G93" s="51"/>
      <c r="H93" s="51"/>
      <c r="I93" s="51"/>
      <c r="J93" s="1"/>
      <c r="K93" s="51"/>
      <c r="L93" s="54"/>
      <c r="M93" s="54"/>
      <c r="N93" s="54"/>
      <c r="O93" s="54"/>
      <c r="P93" s="193"/>
    </row>
    <row r="94" spans="1:16" ht="15" hidden="1" customHeight="1" x14ac:dyDescent="0.25">
      <c r="A94" s="108">
        <v>39</v>
      </c>
      <c r="B94" s="118" t="s">
        <v>235</v>
      </c>
      <c r="C94" s="118"/>
      <c r="D94" s="51"/>
      <c r="E94" s="51"/>
      <c r="F94" s="51"/>
      <c r="G94" s="51"/>
      <c r="H94" s="51"/>
      <c r="I94" s="51"/>
      <c r="J94" s="1"/>
      <c r="K94" s="51"/>
      <c r="L94" s="54"/>
      <c r="M94" s="54"/>
      <c r="N94" s="54"/>
      <c r="O94" s="54"/>
      <c r="P94" s="70"/>
    </row>
    <row r="95" spans="1:16" hidden="1" x14ac:dyDescent="0.25">
      <c r="A95" s="108">
        <v>40</v>
      </c>
      <c r="B95" s="118" t="s">
        <v>236</v>
      </c>
      <c r="C95" s="118"/>
      <c r="D95" s="51"/>
      <c r="E95" s="51"/>
      <c r="F95" s="51"/>
      <c r="G95" s="51"/>
      <c r="H95" s="51"/>
      <c r="I95" s="51"/>
      <c r="J95" s="1"/>
      <c r="K95" s="51"/>
      <c r="L95" s="54"/>
      <c r="M95" s="54"/>
      <c r="N95" s="54"/>
      <c r="O95" s="54"/>
      <c r="P95" s="193"/>
    </row>
    <row r="96" spans="1:16" ht="15.75" hidden="1" customHeight="1" x14ac:dyDescent="0.25">
      <c r="A96" s="108">
        <v>41</v>
      </c>
      <c r="B96" s="156" t="s">
        <v>684</v>
      </c>
      <c r="C96" s="117"/>
      <c r="D96" s="51"/>
      <c r="E96" s="51"/>
      <c r="F96" s="51"/>
      <c r="G96" s="51"/>
      <c r="H96" s="51"/>
      <c r="I96" s="51"/>
      <c r="J96" s="1"/>
      <c r="K96" s="51"/>
      <c r="L96" s="54"/>
      <c r="M96" s="54"/>
      <c r="N96" s="54"/>
      <c r="O96" s="54"/>
      <c r="P96" s="90"/>
    </row>
    <row r="97" spans="1:16" s="34" customFormat="1" hidden="1" x14ac:dyDescent="0.25">
      <c r="A97" s="108">
        <v>42</v>
      </c>
      <c r="B97" s="156" t="s">
        <v>685</v>
      </c>
      <c r="C97" s="117"/>
      <c r="D97" s="51"/>
      <c r="E97" s="51"/>
      <c r="F97" s="51"/>
      <c r="G97" s="51"/>
      <c r="H97" s="51"/>
      <c r="I97" s="51"/>
      <c r="J97" s="1"/>
      <c r="K97" s="51"/>
      <c r="L97" s="54"/>
      <c r="M97" s="54"/>
      <c r="N97" s="54"/>
      <c r="O97" s="54"/>
      <c r="P97" s="193"/>
    </row>
    <row r="98" spans="1:16" hidden="1" x14ac:dyDescent="0.25">
      <c r="A98" s="108">
        <v>43</v>
      </c>
      <c r="B98" s="118" t="s">
        <v>237</v>
      </c>
      <c r="C98" s="118"/>
      <c r="D98" s="51"/>
      <c r="E98" s="51"/>
      <c r="F98" s="51"/>
      <c r="G98" s="51"/>
      <c r="H98" s="51"/>
      <c r="I98" s="51"/>
      <c r="J98" s="1"/>
      <c r="K98" s="51"/>
      <c r="L98" s="54"/>
      <c r="M98" s="54"/>
      <c r="N98" s="54"/>
      <c r="O98" s="54"/>
      <c r="P98" s="61"/>
    </row>
    <row r="99" spans="1:16" hidden="1" x14ac:dyDescent="0.25">
      <c r="A99" s="1">
        <v>44</v>
      </c>
      <c r="B99" s="80" t="s">
        <v>658</v>
      </c>
      <c r="C99" s="80"/>
      <c r="D99" s="51"/>
      <c r="E99" s="51"/>
      <c r="F99" s="51"/>
      <c r="G99" s="51"/>
      <c r="H99" s="51"/>
      <c r="I99" s="51"/>
      <c r="J99" s="1"/>
      <c r="K99" s="51"/>
      <c r="L99" s="54"/>
      <c r="M99" s="54"/>
      <c r="N99" s="54"/>
      <c r="O99" s="54"/>
      <c r="P99" s="269"/>
    </row>
    <row r="100" spans="1:16" hidden="1" x14ac:dyDescent="0.25">
      <c r="A100" s="108">
        <v>45</v>
      </c>
      <c r="B100" s="118" t="s">
        <v>238</v>
      </c>
      <c r="C100" s="118"/>
      <c r="D100" s="51"/>
      <c r="E100" s="51"/>
      <c r="F100" s="51"/>
      <c r="G100" s="51"/>
      <c r="H100" s="51"/>
      <c r="I100" s="51"/>
      <c r="J100" s="1"/>
      <c r="K100" s="51"/>
      <c r="L100" s="54"/>
      <c r="M100" s="54"/>
      <c r="N100" s="54"/>
      <c r="O100" s="54"/>
      <c r="P100" s="193"/>
    </row>
    <row r="101" spans="1:16" ht="15" hidden="1" customHeight="1" x14ac:dyDescent="0.25">
      <c r="A101" s="108">
        <v>46</v>
      </c>
      <c r="B101" s="118" t="s">
        <v>239</v>
      </c>
      <c r="C101" s="118"/>
      <c r="D101" s="51"/>
      <c r="E101" s="51"/>
      <c r="F101" s="51"/>
      <c r="G101" s="51"/>
      <c r="H101" s="51"/>
      <c r="I101" s="51"/>
      <c r="J101" s="1"/>
      <c r="K101" s="51"/>
      <c r="L101" s="54"/>
      <c r="M101" s="54"/>
      <c r="N101" s="54"/>
      <c r="O101" s="54"/>
      <c r="P101" s="70"/>
    </row>
    <row r="102" spans="1:16" ht="15" hidden="1" customHeight="1" x14ac:dyDescent="0.25">
      <c r="A102" s="108">
        <v>47</v>
      </c>
      <c r="B102" s="118" t="s">
        <v>240</v>
      </c>
      <c r="C102" s="118"/>
      <c r="D102" s="51"/>
      <c r="E102" s="51"/>
      <c r="F102" s="51"/>
      <c r="G102" s="51"/>
      <c r="H102" s="51"/>
      <c r="I102" s="51"/>
      <c r="J102" s="1"/>
      <c r="K102" s="51"/>
      <c r="L102" s="54"/>
      <c r="M102" s="54"/>
      <c r="N102" s="54"/>
      <c r="O102" s="54"/>
      <c r="P102" s="70"/>
    </row>
    <row r="103" spans="1:16" hidden="1" x14ac:dyDescent="0.25">
      <c r="A103" s="108">
        <v>48</v>
      </c>
      <c r="B103" s="118" t="s">
        <v>241</v>
      </c>
      <c r="C103" s="118"/>
      <c r="D103" s="51"/>
      <c r="E103" s="51"/>
      <c r="F103" s="51"/>
      <c r="G103" s="51"/>
      <c r="H103" s="51"/>
      <c r="I103" s="51"/>
      <c r="J103" s="1"/>
      <c r="K103" s="51"/>
      <c r="L103" s="54"/>
      <c r="M103" s="54"/>
      <c r="N103" s="54"/>
      <c r="O103" s="54"/>
      <c r="P103" s="193"/>
    </row>
    <row r="104" spans="1:16" ht="15.75" hidden="1" customHeight="1" x14ac:dyDescent="0.25">
      <c r="A104" s="108">
        <v>49</v>
      </c>
      <c r="B104" s="118" t="s">
        <v>242</v>
      </c>
      <c r="C104" s="118"/>
      <c r="D104" s="51"/>
      <c r="E104" s="51"/>
      <c r="F104" s="51"/>
      <c r="G104" s="51"/>
      <c r="H104" s="51"/>
      <c r="I104" s="51"/>
      <c r="J104" s="1"/>
      <c r="K104" s="51"/>
      <c r="L104" s="54"/>
      <c r="M104" s="54"/>
      <c r="N104" s="54"/>
      <c r="O104" s="54"/>
      <c r="P104" s="194"/>
    </row>
    <row r="105" spans="1:16" ht="15" hidden="1" customHeight="1" x14ac:dyDescent="0.25">
      <c r="A105" s="108">
        <v>50</v>
      </c>
      <c r="B105" s="118" t="s">
        <v>243</v>
      </c>
      <c r="C105" s="118"/>
      <c r="D105" s="51"/>
      <c r="E105" s="51"/>
      <c r="F105" s="51"/>
      <c r="G105" s="51"/>
      <c r="H105" s="51"/>
      <c r="I105" s="51"/>
      <c r="J105" s="1"/>
      <c r="K105" s="51"/>
      <c r="L105" s="54"/>
      <c r="M105" s="54"/>
      <c r="N105" s="54"/>
      <c r="O105" s="54"/>
      <c r="P105" s="70"/>
    </row>
    <row r="106" spans="1:16" ht="22.5" customHeight="1" x14ac:dyDescent="0.25">
      <c r="A106" s="108">
        <v>51</v>
      </c>
      <c r="B106" s="80" t="s">
        <v>244</v>
      </c>
      <c r="C106" s="80"/>
      <c r="D106" s="51">
        <v>6</v>
      </c>
      <c r="E106" s="51">
        <v>6</v>
      </c>
      <c r="F106" s="51"/>
      <c r="G106" s="51"/>
      <c r="H106" s="51"/>
      <c r="I106" s="51"/>
      <c r="J106" s="51"/>
      <c r="K106" s="53">
        <v>6</v>
      </c>
      <c r="L106" s="304">
        <f t="shared" ref="L106:M106" si="10">IF(D106=0,"-",(I106/D106))</f>
        <v>0</v>
      </c>
      <c r="M106" s="304">
        <f t="shared" si="10"/>
        <v>0</v>
      </c>
      <c r="N106" s="304">
        <f t="shared" ref="N106" si="11">IF(E106=0,"-",(K106/E106))</f>
        <v>1</v>
      </c>
      <c r="O106" s="304">
        <f t="shared" ref="O106" si="12">IF(E106=0,"-",(M106+N106))</f>
        <v>1</v>
      </c>
      <c r="P106" s="269"/>
    </row>
    <row r="107" spans="1:16" hidden="1" x14ac:dyDescent="0.25">
      <c r="A107" s="108">
        <v>52</v>
      </c>
      <c r="B107" s="118" t="s">
        <v>245</v>
      </c>
      <c r="C107" s="118"/>
      <c r="D107" s="51"/>
      <c r="E107" s="51"/>
      <c r="F107" s="51"/>
      <c r="G107" s="51"/>
      <c r="H107" s="51"/>
      <c r="I107" s="51"/>
      <c r="J107" s="1"/>
      <c r="K107" s="51"/>
      <c r="L107" s="54"/>
      <c r="M107" s="54"/>
      <c r="N107" s="54"/>
      <c r="O107" s="54"/>
      <c r="P107" s="193"/>
    </row>
    <row r="108" spans="1:16" s="34" customFormat="1" ht="26.25" hidden="1" customHeight="1" x14ac:dyDescent="0.25">
      <c r="A108" s="102" t="s">
        <v>246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4"/>
    </row>
    <row r="109" spans="1:16" x14ac:dyDescent="0.25">
      <c r="A109" s="1">
        <v>53</v>
      </c>
      <c r="B109" s="114" t="s">
        <v>247</v>
      </c>
      <c r="C109" s="115"/>
      <c r="D109" s="51">
        <v>25</v>
      </c>
      <c r="E109" s="51">
        <v>30</v>
      </c>
      <c r="F109" s="51"/>
      <c r="G109" s="51"/>
      <c r="H109" s="51"/>
      <c r="I109" s="51"/>
      <c r="J109" s="51"/>
      <c r="K109" s="53">
        <v>30</v>
      </c>
      <c r="L109" s="304">
        <f t="shared" ref="L109:M109" si="13">IF(D109=0,"-",(I109/D109))</f>
        <v>0</v>
      </c>
      <c r="M109" s="304">
        <f t="shared" si="13"/>
        <v>0</v>
      </c>
      <c r="N109" s="304">
        <f t="shared" ref="N109" si="14">IF(E109=0,"-",(K109/E109))</f>
        <v>1</v>
      </c>
      <c r="O109" s="304">
        <f t="shared" ref="O109" si="15">IF(E109=0,"-",(M109+N109))</f>
        <v>1</v>
      </c>
      <c r="P109" s="234"/>
    </row>
    <row r="110" spans="1:16" hidden="1" x14ac:dyDescent="0.25">
      <c r="A110" s="1">
        <v>54</v>
      </c>
      <c r="B110" s="114" t="s">
        <v>286</v>
      </c>
      <c r="C110" s="115"/>
      <c r="D110" s="51"/>
      <c r="E110" s="51"/>
      <c r="F110" s="51"/>
      <c r="G110" s="51"/>
      <c r="H110" s="51"/>
      <c r="I110" s="51"/>
      <c r="J110" s="1"/>
      <c r="K110" s="51"/>
      <c r="L110" s="54"/>
      <c r="M110" s="54"/>
      <c r="N110" s="54"/>
      <c r="O110" s="54"/>
      <c r="P110" s="193"/>
    </row>
    <row r="111" spans="1:16" hidden="1" x14ac:dyDescent="0.25">
      <c r="A111" s="1">
        <v>55</v>
      </c>
      <c r="B111" s="114" t="s">
        <v>248</v>
      </c>
      <c r="C111" s="115"/>
      <c r="D111" s="51"/>
      <c r="E111" s="51"/>
      <c r="F111" s="51"/>
      <c r="G111" s="51"/>
      <c r="H111" s="51"/>
      <c r="I111" s="51"/>
      <c r="J111" s="1"/>
      <c r="K111" s="51"/>
      <c r="L111" s="54"/>
      <c r="M111" s="54"/>
      <c r="N111" s="54"/>
      <c r="O111" s="54"/>
      <c r="P111" s="193"/>
    </row>
    <row r="112" spans="1:16" hidden="1" x14ac:dyDescent="0.25">
      <c r="A112" s="1">
        <v>56</v>
      </c>
      <c r="B112" s="114" t="s">
        <v>249</v>
      </c>
      <c r="C112" s="115"/>
      <c r="D112" s="51"/>
      <c r="E112" s="51"/>
      <c r="F112" s="51"/>
      <c r="G112" s="51"/>
      <c r="H112" s="51"/>
      <c r="I112" s="51"/>
      <c r="J112" s="1"/>
      <c r="K112" s="51"/>
      <c r="L112" s="54"/>
      <c r="M112" s="54"/>
      <c r="N112" s="54"/>
      <c r="O112" s="54"/>
      <c r="P112" s="56"/>
    </row>
    <row r="113" spans="1:16" hidden="1" x14ac:dyDescent="0.25">
      <c r="A113" s="1">
        <v>57</v>
      </c>
      <c r="B113" s="156" t="s">
        <v>250</v>
      </c>
      <c r="C113" s="117"/>
      <c r="D113" s="51"/>
      <c r="E113" s="51"/>
      <c r="F113" s="51"/>
      <c r="G113" s="51"/>
      <c r="H113" s="51"/>
      <c r="I113" s="51"/>
      <c r="J113" s="1"/>
      <c r="K113" s="51"/>
      <c r="L113" s="54"/>
      <c r="M113" s="54"/>
      <c r="N113" s="54"/>
      <c r="O113" s="54"/>
      <c r="P113" s="193"/>
    </row>
    <row r="114" spans="1:16" s="330" customFormat="1" x14ac:dyDescent="0.25">
      <c r="A114" s="1">
        <v>58</v>
      </c>
      <c r="B114" s="114" t="s">
        <v>287</v>
      </c>
      <c r="C114" s="115"/>
      <c r="D114" s="51">
        <v>0</v>
      </c>
      <c r="E114" s="51">
        <v>0</v>
      </c>
      <c r="F114" s="51"/>
      <c r="G114" s="51"/>
      <c r="H114" s="51"/>
      <c r="I114" s="51"/>
      <c r="J114" s="51"/>
      <c r="K114" s="304" t="str">
        <f t="shared" ref="K114:M114" si="16">IF(C114=0,"-",(H114/C114))</f>
        <v>-</v>
      </c>
      <c r="L114" s="304" t="str">
        <f t="shared" si="16"/>
        <v>-</v>
      </c>
      <c r="M114" s="304" t="str">
        <f t="shared" si="16"/>
        <v>-</v>
      </c>
      <c r="N114" s="304" t="str">
        <f t="shared" ref="N114" si="17">IF(E114=0,"-",(K114/E114))</f>
        <v>-</v>
      </c>
      <c r="O114" s="304" t="str">
        <f t="shared" ref="O114" si="18">IF(E114=0,"-",(M114+N114))</f>
        <v>-</v>
      </c>
      <c r="P114" s="329"/>
    </row>
    <row r="115" spans="1:16" hidden="1" x14ac:dyDescent="0.25">
      <c r="A115" s="1">
        <v>59</v>
      </c>
      <c r="B115" s="156" t="s">
        <v>251</v>
      </c>
      <c r="C115" s="117"/>
      <c r="D115" s="51"/>
      <c r="E115" s="51"/>
      <c r="F115" s="51"/>
      <c r="G115" s="51"/>
      <c r="H115" s="51"/>
      <c r="I115" s="51"/>
      <c r="J115" s="1"/>
      <c r="K115" s="51"/>
      <c r="L115" s="54"/>
      <c r="M115" s="54"/>
      <c r="N115" s="54"/>
      <c r="O115" s="54"/>
      <c r="P115" s="193"/>
    </row>
    <row r="116" spans="1:16" hidden="1" x14ac:dyDescent="0.25">
      <c r="A116" s="1">
        <v>60</v>
      </c>
      <c r="B116" s="114" t="s">
        <v>288</v>
      </c>
      <c r="C116" s="115"/>
      <c r="D116" s="51"/>
      <c r="E116" s="51"/>
      <c r="F116" s="51"/>
      <c r="G116" s="51"/>
      <c r="H116" s="51"/>
      <c r="I116" s="51"/>
      <c r="J116" s="1"/>
      <c r="K116" s="51"/>
      <c r="L116" s="54"/>
      <c r="M116" s="54"/>
      <c r="N116" s="54"/>
      <c r="O116" s="54"/>
      <c r="P116" s="65"/>
    </row>
    <row r="117" spans="1:16" ht="23.25" hidden="1" customHeight="1" x14ac:dyDescent="0.25">
      <c r="A117" s="1">
        <v>61</v>
      </c>
      <c r="B117" s="156" t="s">
        <v>252</v>
      </c>
      <c r="C117" s="117"/>
      <c r="D117" s="51"/>
      <c r="E117" s="51"/>
      <c r="F117" s="51"/>
      <c r="G117" s="51"/>
      <c r="H117" s="51"/>
      <c r="I117" s="51"/>
      <c r="J117" s="1"/>
      <c r="K117" s="51"/>
      <c r="L117" s="54"/>
      <c r="M117" s="54"/>
      <c r="N117" s="54"/>
      <c r="O117" s="54"/>
      <c r="P117" s="193"/>
    </row>
    <row r="118" spans="1:16" s="34" customFormat="1" ht="30.75" customHeight="1" x14ac:dyDescent="0.25">
      <c r="A118" s="1">
        <v>62</v>
      </c>
      <c r="B118" s="114" t="s">
        <v>253</v>
      </c>
      <c r="C118" s="115"/>
      <c r="D118" s="51">
        <v>9</v>
      </c>
      <c r="E118" s="51">
        <v>6</v>
      </c>
      <c r="F118" s="51"/>
      <c r="G118" s="51"/>
      <c r="H118" s="51"/>
      <c r="I118" s="51"/>
      <c r="J118" s="51"/>
      <c r="K118" s="53">
        <v>6</v>
      </c>
      <c r="L118" s="304">
        <f t="shared" ref="L118:M118" si="19">IF(D118=0,"-",(I118/D118))</f>
        <v>0</v>
      </c>
      <c r="M118" s="304">
        <f t="shared" si="19"/>
        <v>0</v>
      </c>
      <c r="N118" s="304">
        <f t="shared" ref="N118" si="20">IF(E118=0,"-",(K118/E118))</f>
        <v>1</v>
      </c>
      <c r="O118" s="304">
        <f t="shared" ref="O118" si="21">IF(E118=0,"-",(M118+N118))</f>
        <v>1</v>
      </c>
      <c r="P118" s="273"/>
    </row>
    <row r="119" spans="1:16" s="34" customFormat="1" ht="20.25" hidden="1" customHeight="1" x14ac:dyDescent="0.25">
      <c r="A119" s="1">
        <v>63</v>
      </c>
      <c r="B119" s="156" t="s">
        <v>254</v>
      </c>
      <c r="C119" s="117"/>
      <c r="D119" s="51"/>
      <c r="E119" s="51"/>
      <c r="F119" s="51"/>
      <c r="G119" s="51"/>
      <c r="H119" s="51"/>
      <c r="I119" s="51"/>
      <c r="J119" s="1"/>
      <c r="K119" s="51"/>
      <c r="L119" s="54"/>
      <c r="M119" s="54"/>
      <c r="N119" s="54"/>
      <c r="O119" s="54"/>
      <c r="P119" s="193"/>
    </row>
    <row r="120" spans="1:16" hidden="1" x14ac:dyDescent="0.25">
      <c r="A120" s="1">
        <v>64</v>
      </c>
      <c r="B120" s="114" t="s">
        <v>255</v>
      </c>
      <c r="C120" s="115"/>
      <c r="D120" s="51"/>
      <c r="E120" s="51"/>
      <c r="F120" s="51"/>
      <c r="G120" s="51"/>
      <c r="H120" s="51"/>
      <c r="I120" s="51"/>
      <c r="J120" s="1"/>
      <c r="K120" s="51"/>
      <c r="L120" s="54"/>
      <c r="M120" s="54"/>
      <c r="N120" s="54"/>
      <c r="O120" s="54"/>
      <c r="P120" s="193"/>
    </row>
    <row r="121" spans="1:16" s="330" customFormat="1" ht="29.25" customHeight="1" x14ac:dyDescent="0.25">
      <c r="A121" s="1">
        <v>65</v>
      </c>
      <c r="B121" s="114" t="s">
        <v>1083</v>
      </c>
      <c r="C121" s="115"/>
      <c r="D121" s="51">
        <v>19</v>
      </c>
      <c r="E121" s="51">
        <v>20</v>
      </c>
      <c r="F121" s="51"/>
      <c r="G121" s="51"/>
      <c r="H121" s="51"/>
      <c r="I121" s="51"/>
      <c r="J121" s="51"/>
      <c r="K121" s="53">
        <v>20</v>
      </c>
      <c r="L121" s="54">
        <f t="shared" ref="L121:M121" si="22">IF(D121=0,"-",(I121/D121))</f>
        <v>0</v>
      </c>
      <c r="M121" s="54">
        <f t="shared" si="22"/>
        <v>0</v>
      </c>
      <c r="N121" s="54">
        <f t="shared" ref="N121" si="23">IF(E121=0,"-",(K121/E121))</f>
        <v>1</v>
      </c>
      <c r="O121" s="54">
        <f t="shared" ref="O121" si="24">IF(E121=0,"-",(M121+N121))</f>
        <v>1</v>
      </c>
      <c r="P121" s="324"/>
    </row>
    <row r="122" spans="1:16" s="34" customFormat="1" hidden="1" x14ac:dyDescent="0.25">
      <c r="A122" s="1">
        <v>66</v>
      </c>
      <c r="B122" s="156" t="s">
        <v>256</v>
      </c>
      <c r="C122" s="117"/>
      <c r="D122" s="51"/>
      <c r="E122" s="51"/>
      <c r="F122" s="51"/>
      <c r="G122" s="51"/>
      <c r="H122" s="51"/>
      <c r="I122" s="51"/>
      <c r="J122" s="1"/>
      <c r="K122" s="51"/>
      <c r="L122" s="54"/>
      <c r="M122" s="54"/>
      <c r="N122" s="54"/>
      <c r="O122" s="54"/>
      <c r="P122" s="193"/>
    </row>
    <row r="123" spans="1:16" s="34" customFormat="1" hidden="1" x14ac:dyDescent="0.25">
      <c r="A123" s="1">
        <v>67</v>
      </c>
      <c r="B123" s="394" t="s">
        <v>257</v>
      </c>
      <c r="C123" s="395"/>
      <c r="D123" s="51"/>
      <c r="E123" s="51"/>
      <c r="F123" s="51"/>
      <c r="G123" s="51"/>
      <c r="H123" s="51"/>
      <c r="I123" s="51"/>
      <c r="J123" s="1"/>
      <c r="K123" s="51"/>
      <c r="L123" s="54"/>
      <c r="M123" s="54"/>
      <c r="N123" s="54"/>
      <c r="O123" s="54"/>
      <c r="P123" s="193"/>
    </row>
    <row r="124" spans="1:16" hidden="1" x14ac:dyDescent="0.25">
      <c r="A124" s="1">
        <v>68</v>
      </c>
      <c r="B124" s="114" t="s">
        <v>258</v>
      </c>
      <c r="C124" s="115"/>
      <c r="D124" s="51"/>
      <c r="E124" s="51"/>
      <c r="F124" s="51"/>
      <c r="G124" s="51"/>
      <c r="H124" s="51"/>
      <c r="I124" s="51"/>
      <c r="J124" s="1"/>
      <c r="K124" s="51"/>
      <c r="L124" s="54"/>
      <c r="M124" s="54"/>
      <c r="N124" s="54"/>
      <c r="O124" s="54"/>
      <c r="P124" s="193"/>
    </row>
    <row r="125" spans="1:16" s="34" customFormat="1" hidden="1" x14ac:dyDescent="0.25">
      <c r="A125" s="1">
        <v>69</v>
      </c>
      <c r="B125" s="114" t="s">
        <v>259</v>
      </c>
      <c r="C125" s="115"/>
      <c r="D125" s="51"/>
      <c r="E125" s="51"/>
      <c r="F125" s="51"/>
      <c r="G125" s="51"/>
      <c r="H125" s="51"/>
      <c r="I125" s="51"/>
      <c r="J125" s="1"/>
      <c r="K125" s="51"/>
      <c r="L125" s="54"/>
      <c r="M125" s="54"/>
      <c r="N125" s="54"/>
      <c r="O125" s="54"/>
      <c r="P125" s="193"/>
    </row>
    <row r="126" spans="1:16" ht="18" customHeight="1" x14ac:dyDescent="0.25">
      <c r="A126" s="1">
        <v>70</v>
      </c>
      <c r="B126" s="156" t="s">
        <v>260</v>
      </c>
      <c r="C126" s="117"/>
      <c r="D126" s="51">
        <v>26</v>
      </c>
      <c r="E126" s="51">
        <v>26</v>
      </c>
      <c r="F126" s="51"/>
      <c r="G126" s="51"/>
      <c r="H126" s="51"/>
      <c r="I126" s="51"/>
      <c r="J126" s="51"/>
      <c r="K126" s="53">
        <v>26</v>
      </c>
      <c r="L126" s="304">
        <f t="shared" ref="L126:M126" si="25">IF(D126=0,"-",(I126/D126))</f>
        <v>0</v>
      </c>
      <c r="M126" s="304">
        <f t="shared" si="25"/>
        <v>0</v>
      </c>
      <c r="N126" s="304">
        <f t="shared" ref="N126" si="26">IF(E126=0,"-",(K126/E126))</f>
        <v>1</v>
      </c>
      <c r="O126" s="304">
        <f t="shared" ref="O126" si="27">IF(E126=0,"-",(M126+N126))</f>
        <v>1</v>
      </c>
      <c r="P126" s="193"/>
    </row>
    <row r="127" spans="1:16" s="34" customFormat="1" hidden="1" x14ac:dyDescent="0.25">
      <c r="A127" s="1">
        <v>71</v>
      </c>
      <c r="B127" s="114" t="s">
        <v>284</v>
      </c>
      <c r="C127" s="115"/>
      <c r="D127" s="51"/>
      <c r="E127" s="51"/>
      <c r="F127" s="51"/>
      <c r="G127" s="51"/>
      <c r="H127" s="51"/>
      <c r="I127" s="51"/>
      <c r="J127" s="1"/>
      <c r="K127" s="51"/>
      <c r="L127" s="54"/>
      <c r="M127" s="54"/>
      <c r="N127" s="54"/>
      <c r="O127" s="54"/>
      <c r="P127" s="193"/>
    </row>
    <row r="128" spans="1:16" s="34" customFormat="1" ht="15.75" hidden="1" customHeight="1" x14ac:dyDescent="0.25">
      <c r="A128" s="1">
        <v>72</v>
      </c>
      <c r="B128" s="156" t="s">
        <v>261</v>
      </c>
      <c r="C128" s="117"/>
      <c r="D128" s="51"/>
      <c r="E128" s="51"/>
      <c r="F128" s="51"/>
      <c r="G128" s="51"/>
      <c r="H128" s="51"/>
      <c r="I128" s="51"/>
      <c r="J128" s="1"/>
      <c r="K128" s="51"/>
      <c r="L128" s="54"/>
      <c r="M128" s="54"/>
      <c r="N128" s="54"/>
      <c r="O128" s="54"/>
      <c r="P128" s="64"/>
    </row>
    <row r="129" spans="1:16" s="34" customFormat="1" ht="21" hidden="1" customHeight="1" x14ac:dyDescent="0.25">
      <c r="A129" s="1">
        <v>73</v>
      </c>
      <c r="B129" s="114" t="s">
        <v>262</v>
      </c>
      <c r="C129" s="115"/>
      <c r="D129" s="51"/>
      <c r="E129" s="51"/>
      <c r="F129" s="51"/>
      <c r="G129" s="51"/>
      <c r="H129" s="51"/>
      <c r="I129" s="51"/>
      <c r="J129" s="1"/>
      <c r="K129" s="51"/>
      <c r="L129" s="54"/>
      <c r="M129" s="54"/>
      <c r="N129" s="54"/>
      <c r="O129" s="54"/>
      <c r="P129" s="269"/>
    </row>
    <row r="130" spans="1:16" hidden="1" x14ac:dyDescent="0.25">
      <c r="A130" s="1">
        <v>74</v>
      </c>
      <c r="B130" s="114" t="s">
        <v>263</v>
      </c>
      <c r="C130" s="115"/>
      <c r="D130" s="51"/>
      <c r="E130" s="51"/>
      <c r="F130" s="51"/>
      <c r="G130" s="51"/>
      <c r="H130" s="51"/>
      <c r="I130" s="51"/>
      <c r="J130" s="1"/>
      <c r="K130" s="51"/>
      <c r="L130" s="54"/>
      <c r="M130" s="54"/>
      <c r="N130" s="54"/>
      <c r="O130" s="54"/>
      <c r="P130" s="269"/>
    </row>
    <row r="131" spans="1:16" x14ac:dyDescent="0.25">
      <c r="A131" s="1">
        <v>75</v>
      </c>
      <c r="B131" s="114" t="s">
        <v>264</v>
      </c>
      <c r="C131" s="115"/>
      <c r="D131" s="51">
        <v>2</v>
      </c>
      <c r="E131" s="51">
        <v>2</v>
      </c>
      <c r="F131" s="51"/>
      <c r="G131" s="51"/>
      <c r="H131" s="51"/>
      <c r="I131" s="51"/>
      <c r="J131" s="51"/>
      <c r="K131" s="53">
        <v>2</v>
      </c>
      <c r="L131" s="304">
        <f t="shared" ref="L131:M131" si="28">IF(D131=0,"-",(I131/D131))</f>
        <v>0</v>
      </c>
      <c r="M131" s="304">
        <f t="shared" si="28"/>
        <v>0</v>
      </c>
      <c r="N131" s="304">
        <f t="shared" ref="N131" si="29">IF(E131=0,"-",(K131/E131))</f>
        <v>1</v>
      </c>
      <c r="O131" s="304">
        <f t="shared" ref="O131" si="30">IF(E131=0,"-",(M131+N131))</f>
        <v>1</v>
      </c>
      <c r="P131" s="269"/>
    </row>
    <row r="132" spans="1:16" ht="15" hidden="1" customHeight="1" x14ac:dyDescent="0.25">
      <c r="A132" s="1">
        <v>76</v>
      </c>
      <c r="B132" s="156" t="s">
        <v>265</v>
      </c>
      <c r="C132" s="117"/>
      <c r="D132" s="51"/>
      <c r="E132" s="51"/>
      <c r="F132" s="51"/>
      <c r="G132" s="51"/>
      <c r="H132" s="51"/>
      <c r="I132" s="51"/>
      <c r="J132" s="1"/>
      <c r="K132" s="51"/>
      <c r="L132" s="54"/>
      <c r="M132" s="54"/>
      <c r="N132" s="54"/>
      <c r="O132" s="54"/>
      <c r="P132" s="70"/>
    </row>
    <row r="133" spans="1:16" s="94" customFormat="1" hidden="1" x14ac:dyDescent="0.25">
      <c r="A133" s="1">
        <v>77</v>
      </c>
      <c r="B133" s="156" t="s">
        <v>266</v>
      </c>
      <c r="C133" s="117"/>
      <c r="D133" s="51"/>
      <c r="E133" s="51"/>
      <c r="F133" s="51"/>
      <c r="G133" s="51"/>
      <c r="H133" s="51"/>
      <c r="I133" s="51"/>
      <c r="J133" s="1"/>
      <c r="K133" s="51"/>
      <c r="L133" s="54"/>
      <c r="M133" s="54"/>
      <c r="N133" s="54"/>
      <c r="O133" s="54"/>
      <c r="P133" s="193"/>
    </row>
    <row r="134" spans="1:16" ht="15.75" hidden="1" customHeight="1" x14ac:dyDescent="0.25">
      <c r="A134" s="1">
        <v>78</v>
      </c>
      <c r="B134" s="156" t="s">
        <v>267</v>
      </c>
      <c r="C134" s="117"/>
      <c r="D134" s="51"/>
      <c r="E134" s="51"/>
      <c r="F134" s="51"/>
      <c r="G134" s="51"/>
      <c r="H134" s="51"/>
      <c r="I134" s="51"/>
      <c r="J134" s="1"/>
      <c r="K134" s="51"/>
      <c r="L134" s="54"/>
      <c r="M134" s="54"/>
      <c r="N134" s="54"/>
      <c r="O134" s="54"/>
      <c r="P134" s="193"/>
    </row>
    <row r="135" spans="1:16" ht="15.75" hidden="1" customHeight="1" x14ac:dyDescent="0.25">
      <c r="A135" s="1">
        <v>79</v>
      </c>
      <c r="B135" s="114" t="s">
        <v>268</v>
      </c>
      <c r="C135" s="115"/>
      <c r="D135" s="51"/>
      <c r="E135" s="51"/>
      <c r="F135" s="51"/>
      <c r="G135" s="51"/>
      <c r="H135" s="51"/>
      <c r="I135" s="51"/>
      <c r="J135" s="1"/>
      <c r="K135" s="51"/>
      <c r="L135" s="54"/>
      <c r="M135" s="54"/>
      <c r="N135" s="54"/>
      <c r="O135" s="54"/>
      <c r="P135" s="90"/>
    </row>
    <row r="136" spans="1:16" hidden="1" x14ac:dyDescent="0.25">
      <c r="A136" s="1">
        <v>80</v>
      </c>
      <c r="B136" s="114" t="s">
        <v>269</v>
      </c>
      <c r="C136" s="115"/>
      <c r="D136" s="51"/>
      <c r="E136" s="51"/>
      <c r="F136" s="51"/>
      <c r="G136" s="51"/>
      <c r="H136" s="51"/>
      <c r="I136" s="51"/>
      <c r="J136" s="1"/>
      <c r="K136" s="51"/>
      <c r="L136" s="54"/>
      <c r="M136" s="54"/>
      <c r="N136" s="54"/>
      <c r="O136" s="54"/>
      <c r="P136" s="193"/>
    </row>
    <row r="137" spans="1:16" hidden="1" x14ac:dyDescent="0.25">
      <c r="A137" s="1">
        <v>81</v>
      </c>
      <c r="B137" s="156" t="s">
        <v>270</v>
      </c>
      <c r="C137" s="117"/>
      <c r="D137" s="51"/>
      <c r="E137" s="51"/>
      <c r="F137" s="51"/>
      <c r="G137" s="51"/>
      <c r="H137" s="51"/>
      <c r="I137" s="51"/>
      <c r="J137" s="1"/>
      <c r="K137" s="51"/>
      <c r="L137" s="54"/>
      <c r="M137" s="54"/>
      <c r="N137" s="54"/>
      <c r="O137" s="54"/>
      <c r="P137" s="193"/>
    </row>
    <row r="138" spans="1:16" hidden="1" x14ac:dyDescent="0.25">
      <c r="A138" s="1">
        <v>82</v>
      </c>
      <c r="B138" s="114" t="s">
        <v>625</v>
      </c>
      <c r="C138" s="115"/>
      <c r="D138" s="51"/>
      <c r="E138" s="51"/>
      <c r="F138" s="51"/>
      <c r="G138" s="51"/>
      <c r="H138" s="51"/>
      <c r="I138" s="51"/>
      <c r="J138" s="1"/>
      <c r="K138" s="51"/>
      <c r="L138" s="54"/>
      <c r="M138" s="54"/>
      <c r="N138" s="54"/>
      <c r="O138" s="54"/>
      <c r="P138" s="193"/>
    </row>
    <row r="139" spans="1:16" ht="15.75" hidden="1" customHeight="1" x14ac:dyDescent="0.25">
      <c r="A139" s="1">
        <v>83</v>
      </c>
      <c r="B139" s="156" t="s">
        <v>391</v>
      </c>
      <c r="C139" s="117"/>
      <c r="D139" s="51"/>
      <c r="E139" s="51"/>
      <c r="F139" s="51"/>
      <c r="G139" s="51"/>
      <c r="H139" s="51"/>
      <c r="I139" s="51"/>
      <c r="J139" s="1"/>
      <c r="K139" s="51"/>
      <c r="L139" s="54"/>
      <c r="M139" s="54"/>
      <c r="N139" s="54"/>
      <c r="O139" s="54"/>
      <c r="P139" s="196"/>
    </row>
    <row r="140" spans="1:16" ht="15" hidden="1" customHeight="1" x14ac:dyDescent="0.25">
      <c r="A140" s="1">
        <v>84</v>
      </c>
      <c r="B140" s="156" t="s">
        <v>271</v>
      </c>
      <c r="C140" s="117"/>
      <c r="D140" s="51"/>
      <c r="E140" s="51"/>
      <c r="F140" s="51"/>
      <c r="G140" s="51"/>
      <c r="H140" s="51"/>
      <c r="I140" s="51"/>
      <c r="J140" s="1"/>
      <c r="K140" s="51"/>
      <c r="L140" s="54"/>
      <c r="M140" s="54"/>
      <c r="N140" s="54"/>
      <c r="O140" s="54"/>
      <c r="P140" s="193"/>
    </row>
    <row r="141" spans="1:16" ht="15.75" hidden="1" customHeight="1" x14ac:dyDescent="0.25">
      <c r="A141" s="1">
        <v>85</v>
      </c>
      <c r="B141" s="156" t="s">
        <v>272</v>
      </c>
      <c r="C141" s="117"/>
      <c r="D141" s="51"/>
      <c r="E141" s="51"/>
      <c r="F141" s="51"/>
      <c r="G141" s="51"/>
      <c r="H141" s="51"/>
      <c r="I141" s="51"/>
      <c r="J141" s="1"/>
      <c r="K141" s="51"/>
      <c r="L141" s="54"/>
      <c r="M141" s="54"/>
      <c r="N141" s="54"/>
      <c r="O141" s="54"/>
      <c r="P141" s="196"/>
    </row>
    <row r="142" spans="1:16" ht="15.75" hidden="1" customHeight="1" x14ac:dyDescent="0.25">
      <c r="A142" s="1">
        <v>86</v>
      </c>
      <c r="B142" s="156" t="s">
        <v>273</v>
      </c>
      <c r="C142" s="117"/>
      <c r="D142" s="51"/>
      <c r="E142" s="51"/>
      <c r="F142" s="51"/>
      <c r="G142" s="51"/>
      <c r="H142" s="51"/>
      <c r="I142" s="51"/>
      <c r="J142" s="1"/>
      <c r="K142" s="51"/>
      <c r="L142" s="54"/>
      <c r="M142" s="54"/>
      <c r="N142" s="54"/>
      <c r="O142" s="54"/>
      <c r="P142" s="197"/>
    </row>
    <row r="143" spans="1:16" ht="15.75" hidden="1" customHeight="1" x14ac:dyDescent="0.25">
      <c r="A143" s="1">
        <v>87</v>
      </c>
      <c r="B143" s="156" t="s">
        <v>275</v>
      </c>
      <c r="C143" s="117"/>
      <c r="D143" s="51"/>
      <c r="E143" s="51"/>
      <c r="F143" s="51"/>
      <c r="G143" s="51"/>
      <c r="H143" s="51"/>
      <c r="I143" s="51"/>
      <c r="J143" s="51"/>
      <c r="K143" s="51"/>
      <c r="L143" s="54"/>
      <c r="M143" s="54"/>
      <c r="N143" s="54"/>
      <c r="O143" s="54"/>
      <c r="P143" s="197"/>
    </row>
    <row r="144" spans="1:16" ht="15.75" hidden="1" customHeight="1" x14ac:dyDescent="0.25">
      <c r="A144" s="1">
        <v>88</v>
      </c>
      <c r="B144" s="156" t="s">
        <v>274</v>
      </c>
      <c r="C144" s="117"/>
      <c r="D144" s="51"/>
      <c r="E144" s="51"/>
      <c r="F144" s="51"/>
      <c r="G144" s="51"/>
      <c r="H144" s="51"/>
      <c r="I144" s="51"/>
      <c r="J144" s="51"/>
      <c r="K144" s="51"/>
      <c r="L144" s="54"/>
      <c r="M144" s="54"/>
      <c r="N144" s="54"/>
      <c r="O144" s="54"/>
      <c r="P144" s="197"/>
    </row>
    <row r="145" spans="1:16" ht="15.75" hidden="1" customHeight="1" x14ac:dyDescent="0.25">
      <c r="A145" s="1">
        <v>89</v>
      </c>
      <c r="B145" s="156" t="s">
        <v>387</v>
      </c>
      <c r="C145" s="117"/>
      <c r="D145" s="51"/>
      <c r="E145" s="51"/>
      <c r="F145" s="51"/>
      <c r="G145" s="51"/>
      <c r="H145" s="51"/>
      <c r="I145" s="51"/>
      <c r="J145" s="51"/>
      <c r="K145" s="51"/>
      <c r="L145" s="54"/>
      <c r="M145" s="54"/>
      <c r="N145" s="54"/>
      <c r="O145" s="54"/>
      <c r="P145" s="197"/>
    </row>
    <row r="146" spans="1:16" ht="15.75" hidden="1" customHeight="1" x14ac:dyDescent="0.25">
      <c r="A146" s="1">
        <v>90</v>
      </c>
      <c r="B146" s="156" t="s">
        <v>388</v>
      </c>
      <c r="C146" s="117"/>
      <c r="D146" s="51"/>
      <c r="E146" s="51"/>
      <c r="F146" s="51"/>
      <c r="G146" s="51"/>
      <c r="H146" s="51"/>
      <c r="I146" s="51"/>
      <c r="J146" s="51"/>
      <c r="K146" s="51"/>
      <c r="L146" s="54"/>
      <c r="M146" s="54"/>
      <c r="N146" s="54"/>
      <c r="O146" s="54"/>
      <c r="P146" s="197"/>
    </row>
    <row r="147" spans="1:16" hidden="1" x14ac:dyDescent="0.25">
      <c r="A147" s="1">
        <v>91</v>
      </c>
      <c r="B147" s="214" t="s">
        <v>592</v>
      </c>
      <c r="C147" s="111"/>
      <c r="D147" s="51"/>
      <c r="E147" s="51"/>
      <c r="F147" s="51"/>
      <c r="G147" s="51"/>
      <c r="H147" s="51"/>
      <c r="I147" s="51"/>
      <c r="J147" s="51"/>
      <c r="K147" s="51"/>
      <c r="L147" s="54"/>
      <c r="M147" s="54"/>
      <c r="N147" s="54"/>
      <c r="O147" s="54"/>
      <c r="P147" s="270"/>
    </row>
    <row r="148" spans="1:16" hidden="1" x14ac:dyDescent="0.25">
      <c r="A148" s="1">
        <v>92</v>
      </c>
      <c r="B148" s="156" t="s">
        <v>593</v>
      </c>
      <c r="C148" s="117"/>
      <c r="D148" s="51"/>
      <c r="E148" s="51"/>
      <c r="F148" s="51"/>
      <c r="G148" s="51"/>
      <c r="H148" s="51"/>
      <c r="I148" s="51"/>
      <c r="J148" s="93"/>
      <c r="K148" s="51"/>
      <c r="L148" s="54"/>
      <c r="M148" s="54"/>
      <c r="N148" s="54"/>
      <c r="O148" s="54"/>
      <c r="P148" s="61"/>
    </row>
    <row r="149" spans="1:16" hidden="1" x14ac:dyDescent="0.25">
      <c r="A149" s="1">
        <v>93</v>
      </c>
      <c r="B149" s="156" t="s">
        <v>594</v>
      </c>
      <c r="C149" s="117"/>
      <c r="D149" s="51"/>
      <c r="E149" s="51"/>
      <c r="F149" s="51"/>
      <c r="G149" s="51"/>
      <c r="H149" s="51"/>
      <c r="I149" s="51"/>
      <c r="J149" s="93"/>
      <c r="K149" s="51"/>
      <c r="L149" s="54"/>
      <c r="M149" s="54"/>
      <c r="N149" s="54"/>
      <c r="O149" s="54"/>
      <c r="P149" s="193"/>
    </row>
    <row r="150" spans="1:16" ht="15.75" hidden="1" customHeight="1" x14ac:dyDescent="0.25">
      <c r="A150" s="1">
        <v>94</v>
      </c>
      <c r="B150" s="112" t="s">
        <v>686</v>
      </c>
      <c r="C150" s="113"/>
      <c r="D150" s="51"/>
      <c r="E150" s="51"/>
      <c r="F150" s="51"/>
      <c r="G150" s="51"/>
      <c r="H150" s="51"/>
      <c r="I150" s="51"/>
      <c r="J150" s="51"/>
      <c r="K150" s="51"/>
      <c r="L150" s="54"/>
      <c r="M150" s="54"/>
      <c r="N150" s="54"/>
      <c r="O150" s="54"/>
      <c r="P150" s="61"/>
    </row>
    <row r="151" spans="1:16" s="3" customFormat="1" ht="15" hidden="1" customHeight="1" x14ac:dyDescent="0.25">
      <c r="A151" s="1">
        <v>95</v>
      </c>
      <c r="B151" s="214" t="s">
        <v>687</v>
      </c>
      <c r="C151" s="111"/>
      <c r="D151" s="51"/>
      <c r="E151" s="51"/>
      <c r="F151" s="51"/>
      <c r="G151" s="51"/>
      <c r="H151" s="51"/>
      <c r="I151" s="51"/>
      <c r="J151" s="53"/>
      <c r="K151" s="51"/>
      <c r="L151" s="54"/>
      <c r="M151" s="54"/>
      <c r="N151" s="54"/>
      <c r="O151" s="54"/>
      <c r="P151" s="195"/>
    </row>
    <row r="152" spans="1:16" s="34" customFormat="1" hidden="1" x14ac:dyDescent="0.25">
      <c r="A152" s="1">
        <v>96</v>
      </c>
      <c r="B152" s="156" t="s">
        <v>619</v>
      </c>
      <c r="C152" s="117"/>
      <c r="D152" s="51"/>
      <c r="E152" s="51"/>
      <c r="F152" s="51"/>
      <c r="G152" s="51"/>
      <c r="H152" s="51"/>
      <c r="I152" s="51"/>
      <c r="J152" s="51"/>
      <c r="K152" s="51"/>
      <c r="L152" s="54"/>
      <c r="M152" s="54"/>
      <c r="N152" s="54"/>
      <c r="O152" s="54"/>
      <c r="P152" s="193"/>
    </row>
    <row r="153" spans="1:16" s="34" customFormat="1" hidden="1" x14ac:dyDescent="0.25">
      <c r="A153" s="1">
        <v>97</v>
      </c>
      <c r="B153" s="114" t="s">
        <v>620</v>
      </c>
      <c r="C153" s="115"/>
      <c r="D153" s="51"/>
      <c r="E153" s="51"/>
      <c r="F153" s="51"/>
      <c r="G153" s="51"/>
      <c r="H153" s="51"/>
      <c r="I153" s="51"/>
      <c r="J153" s="51"/>
      <c r="K153" s="51"/>
      <c r="L153" s="54"/>
      <c r="M153" s="54"/>
      <c r="N153" s="54"/>
      <c r="O153" s="54"/>
      <c r="P153" s="269"/>
    </row>
    <row r="154" spans="1:16" hidden="1" x14ac:dyDescent="0.25">
      <c r="A154" s="1">
        <v>98</v>
      </c>
      <c r="B154" s="114" t="s">
        <v>661</v>
      </c>
      <c r="C154" s="115"/>
      <c r="D154" s="51"/>
      <c r="E154" s="51"/>
      <c r="F154" s="51"/>
      <c r="G154" s="51"/>
      <c r="H154" s="51"/>
      <c r="I154" s="51"/>
      <c r="J154" s="93"/>
      <c r="K154" s="51"/>
      <c r="L154" s="54"/>
      <c r="M154" s="54"/>
      <c r="N154" s="54"/>
      <c r="O154" s="54"/>
      <c r="P154" s="234"/>
    </row>
    <row r="155" spans="1:16" hidden="1" x14ac:dyDescent="0.25">
      <c r="A155" s="1">
        <v>99</v>
      </c>
      <c r="B155" s="114" t="s">
        <v>659</v>
      </c>
      <c r="C155" s="115"/>
      <c r="D155" s="51"/>
      <c r="E155" s="51"/>
      <c r="F155" s="51"/>
      <c r="G155" s="51"/>
      <c r="H155" s="51"/>
      <c r="I155" s="51"/>
      <c r="J155" s="93"/>
      <c r="K155" s="51"/>
      <c r="L155" s="54"/>
      <c r="M155" s="54"/>
      <c r="N155" s="54"/>
      <c r="O155" s="54"/>
      <c r="P155" s="235"/>
    </row>
    <row r="156" spans="1:16" s="34" customFormat="1" hidden="1" x14ac:dyDescent="0.25">
      <c r="A156" s="1">
        <v>100</v>
      </c>
      <c r="B156" s="114" t="s">
        <v>621</v>
      </c>
      <c r="C156" s="115"/>
      <c r="D156" s="51"/>
      <c r="E156" s="51"/>
      <c r="F156" s="51"/>
      <c r="G156" s="51"/>
      <c r="H156" s="51"/>
      <c r="I156" s="51"/>
      <c r="J156" s="93"/>
      <c r="K156" s="51"/>
      <c r="L156" s="54"/>
      <c r="M156" s="54"/>
      <c r="N156" s="54"/>
      <c r="O156" s="54"/>
      <c r="P156" s="234"/>
    </row>
    <row r="157" spans="1:16" hidden="1" x14ac:dyDescent="0.25">
      <c r="A157" s="1">
        <v>101</v>
      </c>
      <c r="B157" s="112" t="s">
        <v>622</v>
      </c>
      <c r="C157" s="113"/>
      <c r="D157" s="51"/>
      <c r="E157" s="51"/>
      <c r="F157" s="51"/>
      <c r="G157" s="51"/>
      <c r="H157" s="51"/>
      <c r="I157" s="51"/>
      <c r="J157" s="93"/>
      <c r="K157" s="51"/>
      <c r="L157" s="54"/>
      <c r="M157" s="54"/>
      <c r="N157" s="54"/>
      <c r="O157" s="54"/>
      <c r="P157" s="69"/>
    </row>
    <row r="158" spans="1:16" hidden="1" x14ac:dyDescent="0.25">
      <c r="A158" s="1">
        <v>102</v>
      </c>
      <c r="B158" s="112" t="s">
        <v>624</v>
      </c>
      <c r="C158" s="113"/>
      <c r="D158" s="51"/>
      <c r="E158" s="51"/>
      <c r="F158" s="51"/>
      <c r="G158" s="51"/>
      <c r="H158" s="51"/>
      <c r="I158" s="51"/>
      <c r="J158" s="93"/>
      <c r="K158" s="51"/>
      <c r="L158" s="54"/>
      <c r="M158" s="54"/>
      <c r="N158" s="54"/>
      <c r="O158" s="54"/>
      <c r="P158" s="271"/>
    </row>
    <row r="159" spans="1:16" hidden="1" x14ac:dyDescent="0.25">
      <c r="A159" s="1">
        <v>103</v>
      </c>
      <c r="B159" s="114" t="s">
        <v>623</v>
      </c>
      <c r="C159" s="115"/>
      <c r="D159" s="51"/>
      <c r="E159" s="51"/>
      <c r="F159" s="51"/>
      <c r="G159" s="51"/>
      <c r="H159" s="51"/>
      <c r="I159" s="51"/>
      <c r="J159" s="93"/>
      <c r="K159" s="51"/>
      <c r="L159" s="54"/>
      <c r="M159" s="54"/>
      <c r="N159" s="54"/>
      <c r="O159" s="54"/>
      <c r="P159" s="271"/>
    </row>
    <row r="160" spans="1:16" ht="25.5" hidden="1" customHeight="1" x14ac:dyDescent="0.25">
      <c r="A160" s="1">
        <v>104</v>
      </c>
      <c r="B160" s="392" t="s">
        <v>925</v>
      </c>
      <c r="C160" s="393"/>
      <c r="D160" s="51"/>
      <c r="E160" s="51"/>
      <c r="F160" s="51"/>
      <c r="G160" s="51"/>
      <c r="H160" s="51"/>
      <c r="I160" s="51"/>
      <c r="J160" s="93"/>
      <c r="K160" s="51"/>
      <c r="L160" s="54"/>
      <c r="M160" s="54"/>
      <c r="N160" s="54"/>
      <c r="O160" s="54"/>
      <c r="P160" s="263"/>
    </row>
    <row r="161" spans="1:16" ht="19.5" hidden="1" customHeight="1" x14ac:dyDescent="0.25">
      <c r="A161" s="1">
        <v>105</v>
      </c>
      <c r="B161" s="187" t="s">
        <v>890</v>
      </c>
      <c r="C161" s="245"/>
      <c r="D161" s="52"/>
      <c r="E161" s="51"/>
      <c r="F161" s="51"/>
      <c r="G161" s="51"/>
      <c r="H161" s="51"/>
      <c r="I161" s="51"/>
      <c r="J161" s="93"/>
      <c r="K161" s="51"/>
      <c r="L161" s="54"/>
      <c r="M161" s="54"/>
      <c r="N161" s="54"/>
      <c r="O161" s="54"/>
      <c r="P161" s="198"/>
    </row>
    <row r="162" spans="1:16" ht="19.5" hidden="1" customHeight="1" x14ac:dyDescent="0.25">
      <c r="A162" s="1">
        <v>106</v>
      </c>
      <c r="B162" s="187" t="s">
        <v>891</v>
      </c>
      <c r="C162" s="245"/>
      <c r="D162" s="52"/>
      <c r="E162" s="51"/>
      <c r="F162" s="51"/>
      <c r="G162" s="51"/>
      <c r="H162" s="51"/>
      <c r="I162" s="51"/>
      <c r="J162" s="93"/>
      <c r="K162" s="51"/>
      <c r="L162" s="54"/>
      <c r="M162" s="54"/>
      <c r="N162" s="54"/>
      <c r="O162" s="54"/>
      <c r="P162" s="198"/>
    </row>
    <row r="163" spans="1:16" ht="19.5" hidden="1" customHeight="1" x14ac:dyDescent="0.25">
      <c r="A163" s="1">
        <v>107</v>
      </c>
      <c r="B163" s="187" t="s">
        <v>892</v>
      </c>
      <c r="C163" s="245"/>
      <c r="D163" s="52"/>
      <c r="E163" s="51"/>
      <c r="F163" s="51"/>
      <c r="G163" s="51"/>
      <c r="H163" s="51"/>
      <c r="I163" s="51"/>
      <c r="J163" s="93"/>
      <c r="K163" s="51"/>
      <c r="L163" s="54"/>
      <c r="M163" s="54"/>
      <c r="N163" s="54"/>
      <c r="O163" s="54"/>
      <c r="P163" s="198"/>
    </row>
    <row r="164" spans="1:16" ht="19.5" hidden="1" customHeight="1" x14ac:dyDescent="0.25">
      <c r="A164" s="1">
        <v>108</v>
      </c>
      <c r="B164" s="187" t="s">
        <v>893</v>
      </c>
      <c r="C164" s="245"/>
      <c r="D164" s="52"/>
      <c r="E164" s="51"/>
      <c r="F164" s="51"/>
      <c r="G164" s="51"/>
      <c r="H164" s="51"/>
      <c r="I164" s="51"/>
      <c r="J164" s="93"/>
      <c r="K164" s="51"/>
      <c r="L164" s="54"/>
      <c r="M164" s="54"/>
      <c r="N164" s="54"/>
      <c r="O164" s="54"/>
      <c r="P164" s="198"/>
    </row>
    <row r="165" spans="1:16" ht="19.5" hidden="1" customHeight="1" x14ac:dyDescent="0.25">
      <c r="A165" s="1">
        <v>109</v>
      </c>
      <c r="B165" s="80" t="s">
        <v>950</v>
      </c>
      <c r="C165" s="245"/>
      <c r="D165" s="52"/>
      <c r="E165" s="51"/>
      <c r="F165" s="51"/>
      <c r="G165" s="51"/>
      <c r="H165" s="51"/>
      <c r="I165" s="51"/>
      <c r="J165" s="93"/>
      <c r="K165" s="51"/>
      <c r="L165" s="54"/>
      <c r="M165" s="54"/>
      <c r="N165" s="54"/>
      <c r="O165" s="54"/>
      <c r="P165" s="56"/>
    </row>
    <row r="166" spans="1:16" ht="19.5" hidden="1" customHeight="1" x14ac:dyDescent="0.25">
      <c r="A166" s="1">
        <v>110</v>
      </c>
      <c r="B166" s="80" t="s">
        <v>951</v>
      </c>
      <c r="C166" s="245"/>
      <c r="D166" s="52"/>
      <c r="E166" s="51"/>
      <c r="F166" s="51"/>
      <c r="G166" s="51"/>
      <c r="H166" s="51"/>
      <c r="I166" s="51"/>
      <c r="J166" s="93"/>
      <c r="K166" s="51"/>
      <c r="L166" s="54"/>
      <c r="M166" s="54"/>
      <c r="N166" s="54"/>
      <c r="O166" s="54"/>
      <c r="P166" s="56"/>
    </row>
    <row r="167" spans="1:16" ht="19.5" hidden="1" customHeight="1" x14ac:dyDescent="0.25">
      <c r="A167" s="1">
        <v>111</v>
      </c>
      <c r="B167" s="112" t="s">
        <v>952</v>
      </c>
      <c r="C167" s="245"/>
      <c r="D167" s="52"/>
      <c r="E167" s="51"/>
      <c r="F167" s="51"/>
      <c r="G167" s="51"/>
      <c r="H167" s="51"/>
      <c r="I167" s="51"/>
      <c r="J167" s="93"/>
      <c r="K167" s="51"/>
      <c r="L167" s="54"/>
      <c r="M167" s="54"/>
      <c r="N167" s="54"/>
      <c r="O167" s="54"/>
      <c r="P167" s="56"/>
    </row>
    <row r="168" spans="1:16" ht="33.75" hidden="1" customHeight="1" x14ac:dyDescent="0.25">
      <c r="A168" s="1">
        <v>112</v>
      </c>
      <c r="B168" s="396" t="s">
        <v>954</v>
      </c>
      <c r="C168" s="397"/>
      <c r="D168" s="52"/>
      <c r="E168" s="51"/>
      <c r="F168" s="51"/>
      <c r="G168" s="51"/>
      <c r="H168" s="51"/>
      <c r="I168" s="51"/>
      <c r="J168" s="93"/>
      <c r="K168" s="51"/>
      <c r="L168" s="54"/>
      <c r="M168" s="54"/>
      <c r="N168" s="54"/>
      <c r="O168" s="54"/>
      <c r="P168" s="56"/>
    </row>
    <row r="169" spans="1:16" ht="33.75" hidden="1" customHeight="1" x14ac:dyDescent="0.25">
      <c r="A169" s="278">
        <v>113</v>
      </c>
      <c r="B169" s="398" t="s">
        <v>957</v>
      </c>
      <c r="C169" s="399"/>
      <c r="D169" s="52"/>
      <c r="E169" s="52"/>
      <c r="F169" s="51"/>
      <c r="G169" s="51"/>
      <c r="H169" s="51"/>
      <c r="I169" s="51"/>
      <c r="J169" s="93"/>
      <c r="K169" s="51"/>
      <c r="L169" s="54"/>
      <c r="M169" s="54"/>
      <c r="N169" s="54"/>
      <c r="O169" s="54"/>
      <c r="P169" s="263"/>
    </row>
    <row r="170" spans="1:16" ht="33.75" hidden="1" customHeight="1" x14ac:dyDescent="0.25">
      <c r="A170" s="278">
        <v>114</v>
      </c>
      <c r="B170" s="398" t="s">
        <v>956</v>
      </c>
      <c r="C170" s="399"/>
      <c r="D170" s="52"/>
      <c r="E170" s="52"/>
      <c r="F170" s="51"/>
      <c r="G170" s="51"/>
      <c r="H170" s="51"/>
      <c r="I170" s="51"/>
      <c r="J170" s="93"/>
      <c r="K170" s="51"/>
      <c r="L170" s="54"/>
      <c r="M170" s="54"/>
      <c r="N170" s="54"/>
      <c r="O170" s="54"/>
      <c r="P170" s="56"/>
    </row>
    <row r="171" spans="1:16" s="36" customFormat="1" x14ac:dyDescent="0.25">
      <c r="A171" s="387" t="s">
        <v>596</v>
      </c>
      <c r="B171" s="388"/>
      <c r="C171" s="389"/>
      <c r="D171" s="213">
        <f>SUBTOTAL(9,D72:D131)</f>
        <v>103</v>
      </c>
      <c r="E171" s="213">
        <f>SUBTOTAL(9,E72:E131)</f>
        <v>128</v>
      </c>
      <c r="F171" s="213"/>
      <c r="G171" s="213"/>
      <c r="H171" s="213"/>
      <c r="I171" s="213"/>
      <c r="J171" s="213"/>
      <c r="K171" s="213">
        <f t="shared" ref="K171" si="31">SUBTOTAL(9,K72:K131)</f>
        <v>118</v>
      </c>
      <c r="L171" s="304">
        <f t="shared" ref="L171" si="32">IF(D171=0,"-",(I171/D171))</f>
        <v>0</v>
      </c>
      <c r="M171" s="304">
        <f t="shared" ref="M171" si="33">IF(E171=0,"-",(J171/E171))</f>
        <v>0</v>
      </c>
      <c r="N171" s="304">
        <f t="shared" ref="N171" si="34">IF(E171=0,"-",(K171/E171))</f>
        <v>0.921875</v>
      </c>
      <c r="O171" s="304">
        <f t="shared" ref="O171" si="35">IF(E171=0,"-",(M171+N171))</f>
        <v>0.921875</v>
      </c>
      <c r="P171" s="191"/>
    </row>
    <row r="172" spans="1:16" x14ac:dyDescent="0.25">
      <c r="C172" s="11"/>
    </row>
  </sheetData>
  <autoFilter ref="A5:P171" xr:uid="{00000000-0009-0000-0000-000006000000}">
    <filterColumn colId="4">
      <customFilters>
        <customFilter operator="notEqual" val=" "/>
      </customFilters>
    </filterColumn>
  </autoFilter>
  <mergeCells count="8">
    <mergeCell ref="A2:P2"/>
    <mergeCell ref="A171:C171"/>
    <mergeCell ref="B85:C85"/>
    <mergeCell ref="B160:C160"/>
    <mergeCell ref="B123:C123"/>
    <mergeCell ref="B168:C168"/>
    <mergeCell ref="B169:C169"/>
    <mergeCell ref="B170:C170"/>
  </mergeCells>
  <dataValidations count="2">
    <dataValidation type="whole" allowBlank="1" showInputMessage="1" showErrorMessage="1" sqref="J50:J53 J60:J64 J13:J15 J45:J48 J42:J43 J37:J40 J31:J35 J28:J29 J23:J26 I7:J11 J55:J56 D132:E160 J17:J21 J66:J67 J58 J150 J137:J147 J152:J153 E161:E168 D75:H80 D106:F106 D82:F82 D7:H71 K7:K71 D72:F74 H72:H74 K75:K80 I13:I80 J69:J80 D83:K87 H82:J82 D89:I89 K89 D90:F92 D107:I107 J89:J107 H90:I92 D93:I105 K93:K105 K107 H106:I106 D109:F109 H109:I109 K110:K113 D110:I113 D114:F114 H114:I114 K115:K117 D115:I117 D118:F118 H118:I118 K119:K120 D119:I120 D121:F121 H121:I121 K132:K170 D122:I125 K122:K125 D126:F126 H126:I126 K127:K130 J109:J135 D127:I130 F132:I170 H131:I131 D131:F131" xr:uid="{00000000-0002-0000-0600-000000000000}">
      <formula1>0</formula1>
      <formula2>50000</formula2>
    </dataValidation>
    <dataValidation type="whole" allowBlank="1" showInputMessage="1" showErrorMessage="1" errorTitle="Value Between 0 to 200000" sqref="J151 K72:K74 K82 K90:K92 K106 K109 K131 K118 K121 K126" xr:uid="{00000000-0002-0000-0600-000001000000}">
      <formula1>0</formula1>
      <formula2>200000</formula2>
    </dataValidation>
  </dataValidations>
  <printOptions horizontalCentered="1"/>
  <pageMargins left="0.39370078740157483" right="0.27559055118110237" top="0.35433070866141736" bottom="0.35433070866141736" header="0.31496062992125984" footer="0.31496062992125984"/>
  <pageSetup paperSize="9"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O96"/>
  <sheetViews>
    <sheetView view="pageBreakPreview" zoomScale="85" zoomScaleNormal="55" zoomScaleSheetLayoutView="85" workbookViewId="0">
      <selection activeCell="P26" sqref="P26"/>
    </sheetView>
  </sheetViews>
  <sheetFormatPr defaultRowHeight="15.75" x14ac:dyDescent="0.25"/>
  <cols>
    <col min="1" max="1" width="10" style="6" customWidth="1"/>
    <col min="2" max="2" width="36.5703125" style="7" customWidth="1"/>
    <col min="3" max="3" width="9.28515625" style="6" customWidth="1"/>
    <col min="4" max="4" width="11.140625" style="6" customWidth="1"/>
    <col min="5" max="5" width="5.42578125" style="6" customWidth="1"/>
    <col min="6" max="6" width="6.42578125" style="6" customWidth="1"/>
    <col min="7" max="7" width="9.28515625" style="6" customWidth="1"/>
    <col min="8" max="8" width="5" style="6" customWidth="1"/>
    <col min="9" max="9" width="5.42578125" style="6" customWidth="1"/>
    <col min="10" max="10" width="4.85546875" style="6" customWidth="1"/>
    <col min="11" max="11" width="5.28515625" style="6" customWidth="1"/>
    <col min="12" max="12" width="6.140625" style="6" customWidth="1"/>
    <col min="13" max="13" width="8.7109375" style="101" customWidth="1"/>
    <col min="14" max="14" width="8" style="6" customWidth="1"/>
    <col min="15" max="15" width="7" style="6" customWidth="1"/>
    <col min="16" max="16" width="10.28515625" style="199" bestFit="1" customWidth="1"/>
    <col min="17" max="17" width="9.7109375" style="199" customWidth="1"/>
    <col min="18" max="18" width="11.7109375" style="199" customWidth="1"/>
    <col min="19" max="19" width="12.7109375" style="199" customWidth="1"/>
    <col min="20" max="20" width="48.5703125" style="37" customWidth="1"/>
    <col min="21" max="21" width="6.140625" style="6" customWidth="1"/>
    <col min="22" max="40" width="9.140625" style="6"/>
    <col min="41" max="41" width="9.140625" style="6" customWidth="1"/>
    <col min="42" max="16384" width="9.140625" style="6"/>
  </cols>
  <sheetData>
    <row r="1" spans="1:2927" ht="18" customHeight="1" x14ac:dyDescent="0.25">
      <c r="R1" s="402" t="s">
        <v>655</v>
      </c>
      <c r="S1" s="402"/>
      <c r="T1" s="402"/>
    </row>
    <row r="2" spans="1:2927" ht="24.75" customHeight="1" x14ac:dyDescent="0.2">
      <c r="A2" s="366" t="s">
        <v>660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</row>
    <row r="3" spans="1:2927" s="1" customFormat="1" ht="18" customHeight="1" x14ac:dyDescent="0.2">
      <c r="A3" s="381" t="s">
        <v>291</v>
      </c>
      <c r="B3" s="403" t="s">
        <v>14</v>
      </c>
      <c r="C3" s="361" t="s">
        <v>19</v>
      </c>
      <c r="D3" s="361"/>
      <c r="E3" s="361" t="s">
        <v>33</v>
      </c>
      <c r="F3" s="361"/>
      <c r="G3" s="361"/>
      <c r="H3" s="361"/>
      <c r="I3" s="361"/>
      <c r="J3" s="361"/>
      <c r="K3" s="361"/>
      <c r="L3" s="361"/>
      <c r="M3" s="404" t="s">
        <v>20</v>
      </c>
      <c r="N3" s="404" t="s">
        <v>292</v>
      </c>
      <c r="O3" s="361" t="s">
        <v>35</v>
      </c>
      <c r="P3" s="406" t="s">
        <v>23</v>
      </c>
      <c r="Q3" s="406" t="s">
        <v>24</v>
      </c>
      <c r="R3" s="406" t="s">
        <v>25</v>
      </c>
      <c r="S3" s="406" t="s">
        <v>26</v>
      </c>
      <c r="T3" s="381" t="s">
        <v>958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</row>
    <row r="4" spans="1:2927" s="1" customFormat="1" ht="31.5" x14ac:dyDescent="0.2">
      <c r="A4" s="381"/>
      <c r="B4" s="403"/>
      <c r="C4" s="240" t="s">
        <v>27</v>
      </c>
      <c r="D4" s="240" t="s">
        <v>28</v>
      </c>
      <c r="E4" s="162" t="s">
        <v>15</v>
      </c>
      <c r="F4" s="162" t="s">
        <v>36</v>
      </c>
      <c r="G4" s="162" t="s">
        <v>29</v>
      </c>
      <c r="H4" s="162" t="s">
        <v>37</v>
      </c>
      <c r="I4" s="162" t="s">
        <v>38</v>
      </c>
      <c r="J4" s="162" t="s">
        <v>39</v>
      </c>
      <c r="K4" s="162" t="s">
        <v>40</v>
      </c>
      <c r="L4" s="89" t="s">
        <v>30</v>
      </c>
      <c r="M4" s="405"/>
      <c r="N4" s="405"/>
      <c r="O4" s="361"/>
      <c r="P4" s="406"/>
      <c r="Q4" s="406"/>
      <c r="R4" s="406"/>
      <c r="S4" s="406"/>
      <c r="T4" s="361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</row>
    <row r="5" spans="1:2927" s="3" customFormat="1" ht="18.75" customHeight="1" x14ac:dyDescent="0.2">
      <c r="A5" s="1" t="s">
        <v>1</v>
      </c>
      <c r="B5" s="56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62" t="s">
        <v>13</v>
      </c>
      <c r="N5" s="1" t="s">
        <v>31</v>
      </c>
      <c r="O5" s="1" t="s">
        <v>32</v>
      </c>
      <c r="P5" s="200" t="s">
        <v>41</v>
      </c>
      <c r="Q5" s="200" t="s">
        <v>42</v>
      </c>
      <c r="R5" s="200" t="s">
        <v>43</v>
      </c>
      <c r="S5" s="200" t="s">
        <v>44</v>
      </c>
      <c r="T5" s="108" t="s">
        <v>45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</row>
    <row r="6" spans="1:2927" s="3" customFormat="1" ht="27.75" customHeight="1" x14ac:dyDescent="0.2">
      <c r="A6" s="400" t="s">
        <v>627</v>
      </c>
      <c r="B6" s="401"/>
      <c r="C6" s="401"/>
      <c r="D6" s="401"/>
      <c r="E6" s="201"/>
      <c r="F6" s="201"/>
      <c r="G6" s="201"/>
      <c r="H6" s="201"/>
      <c r="I6" s="201"/>
      <c r="J6" s="201"/>
      <c r="K6" s="201"/>
      <c r="L6" s="201"/>
      <c r="M6" s="202"/>
      <c r="N6" s="201"/>
      <c r="O6" s="201"/>
      <c r="P6" s="203"/>
      <c r="Q6" s="203"/>
      <c r="R6" s="203"/>
      <c r="S6" s="203"/>
      <c r="T6" s="117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</row>
    <row r="7" spans="1:2927" s="3" customFormat="1" ht="15" x14ac:dyDescent="0.2">
      <c r="A7" s="1">
        <v>1</v>
      </c>
      <c r="B7" s="204" t="s">
        <v>628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05"/>
      <c r="Q7" s="205"/>
      <c r="R7" s="205"/>
      <c r="S7" s="205"/>
      <c r="T7" s="72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</row>
    <row r="8" spans="1:2927" s="3" customFormat="1" ht="15" x14ac:dyDescent="0.2">
      <c r="A8" s="1">
        <v>2</v>
      </c>
      <c r="B8" s="204" t="s">
        <v>611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05"/>
      <c r="Q8" s="205"/>
      <c r="R8" s="205"/>
      <c r="S8" s="205"/>
      <c r="T8" s="72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</row>
    <row r="9" spans="1:2927" s="3" customFormat="1" ht="15" x14ac:dyDescent="0.2">
      <c r="A9" s="1">
        <v>3</v>
      </c>
      <c r="B9" s="157" t="s">
        <v>629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05"/>
      <c r="Q9" s="205"/>
      <c r="R9" s="205"/>
      <c r="S9" s="205"/>
      <c r="T9" s="61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</row>
    <row r="10" spans="1:2927" s="3" customFormat="1" ht="15" x14ac:dyDescent="0.2">
      <c r="A10" s="1">
        <v>4</v>
      </c>
      <c r="B10" s="204" t="s">
        <v>630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05"/>
      <c r="Q10" s="205"/>
      <c r="R10" s="205"/>
      <c r="S10" s="205"/>
      <c r="T10" s="72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</row>
    <row r="11" spans="1:2927" s="3" customFormat="1" ht="15" x14ac:dyDescent="0.2">
      <c r="A11" s="1">
        <v>5</v>
      </c>
      <c r="B11" s="157" t="s">
        <v>631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05"/>
      <c r="Q11" s="205"/>
      <c r="R11" s="205"/>
      <c r="S11" s="205"/>
      <c r="T11" s="7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</row>
    <row r="12" spans="1:2927" s="3" customFormat="1" ht="15" x14ac:dyDescent="0.2">
      <c r="A12" s="1">
        <v>6</v>
      </c>
      <c r="B12" s="157" t="s">
        <v>632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05"/>
      <c r="Q12" s="205"/>
      <c r="R12" s="205"/>
      <c r="S12" s="205"/>
      <c r="T12" s="72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</row>
    <row r="13" spans="1:2927" s="3" customFormat="1" ht="15" x14ac:dyDescent="0.2">
      <c r="A13" s="1">
        <v>7</v>
      </c>
      <c r="B13" s="204" t="s">
        <v>633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05"/>
      <c r="Q13" s="205"/>
      <c r="R13" s="205"/>
      <c r="S13" s="205"/>
      <c r="T13" s="72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</row>
    <row r="14" spans="1:2927" s="3" customFormat="1" ht="30" x14ac:dyDescent="0.2">
      <c r="A14" s="1">
        <v>8</v>
      </c>
      <c r="B14" s="157" t="s">
        <v>634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05"/>
      <c r="Q14" s="205"/>
      <c r="R14" s="205"/>
      <c r="S14" s="205"/>
      <c r="T14" s="61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</row>
    <row r="15" spans="1:2927" s="3" customFormat="1" ht="15" x14ac:dyDescent="0.2">
      <c r="A15" s="1">
        <v>9</v>
      </c>
      <c r="B15" s="157" t="s">
        <v>635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05"/>
      <c r="Q15" s="205"/>
      <c r="R15" s="205"/>
      <c r="S15" s="205"/>
      <c r="T15" s="72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</row>
    <row r="16" spans="1:2927" s="239" customFormat="1" x14ac:dyDescent="0.25">
      <c r="A16" s="1">
        <v>10</v>
      </c>
      <c r="B16" s="157" t="s">
        <v>657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05"/>
      <c r="Q16" s="205"/>
      <c r="R16" s="205"/>
      <c r="S16" s="205"/>
      <c r="T16" s="168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</row>
    <row r="17" spans="1:20" ht="15" x14ac:dyDescent="0.2">
      <c r="A17" s="1">
        <v>11</v>
      </c>
      <c r="B17" s="204" t="s">
        <v>636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05"/>
      <c r="Q17" s="205"/>
      <c r="R17" s="205"/>
      <c r="S17" s="205"/>
      <c r="T17" s="108"/>
    </row>
    <row r="18" spans="1:20" ht="15" x14ac:dyDescent="0.2">
      <c r="A18" s="1">
        <v>12</v>
      </c>
      <c r="B18" s="204" t="s">
        <v>637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05"/>
      <c r="Q18" s="205"/>
      <c r="R18" s="205"/>
      <c r="S18" s="205"/>
      <c r="T18" s="108"/>
    </row>
    <row r="19" spans="1:20" ht="15" x14ac:dyDescent="0.2">
      <c r="A19" s="1">
        <v>13</v>
      </c>
      <c r="B19" s="204" t="s">
        <v>638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05"/>
      <c r="Q19" s="205"/>
      <c r="R19" s="205"/>
      <c r="S19" s="205"/>
      <c r="T19" s="108"/>
    </row>
    <row r="20" spans="1:20" ht="15" x14ac:dyDescent="0.2">
      <c r="A20" s="1">
        <v>14</v>
      </c>
      <c r="B20" s="204" t="s">
        <v>639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05"/>
      <c r="Q20" s="205"/>
      <c r="R20" s="205"/>
      <c r="S20" s="205"/>
      <c r="T20" s="108"/>
    </row>
    <row r="21" spans="1:20" ht="30" x14ac:dyDescent="0.2">
      <c r="A21" s="1">
        <v>15</v>
      </c>
      <c r="B21" s="204" t="s">
        <v>640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05"/>
      <c r="Q21" s="205"/>
      <c r="R21" s="205"/>
      <c r="S21" s="205"/>
      <c r="T21" s="217"/>
    </row>
    <row r="22" spans="1:20" ht="15" x14ac:dyDescent="0.2">
      <c r="A22" s="1">
        <v>16</v>
      </c>
      <c r="B22" s="204" t="s">
        <v>641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05"/>
      <c r="Q22" s="205"/>
      <c r="R22" s="205"/>
      <c r="S22" s="205"/>
      <c r="T22" s="217"/>
    </row>
    <row r="23" spans="1:20" ht="15" x14ac:dyDescent="0.2">
      <c r="A23" s="1">
        <v>17</v>
      </c>
      <c r="B23" s="157" t="s">
        <v>642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05"/>
      <c r="Q23" s="205"/>
      <c r="R23" s="205"/>
      <c r="S23" s="205"/>
      <c r="T23" s="108"/>
    </row>
    <row r="24" spans="1:20" ht="30" x14ac:dyDescent="0.2">
      <c r="A24" s="1">
        <v>18</v>
      </c>
      <c r="B24" s="204" t="s">
        <v>643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05"/>
      <c r="Q24" s="205"/>
      <c r="R24" s="205"/>
      <c r="S24" s="205"/>
      <c r="T24" s="217"/>
    </row>
    <row r="25" spans="1:20" ht="15" x14ac:dyDescent="0.2">
      <c r="A25" s="1">
        <v>19</v>
      </c>
      <c r="B25" s="204" t="s">
        <v>644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5"/>
      <c r="Q25" s="205"/>
      <c r="R25" s="205"/>
      <c r="S25" s="205"/>
      <c r="T25" s="108"/>
    </row>
    <row r="26" spans="1:20" ht="15" x14ac:dyDescent="0.2">
      <c r="A26" s="1">
        <v>20</v>
      </c>
      <c r="B26" s="204" t="s">
        <v>645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5"/>
      <c r="Q26" s="205"/>
      <c r="R26" s="205"/>
      <c r="S26" s="205"/>
      <c r="T26" s="217"/>
    </row>
    <row r="27" spans="1:20" ht="15" x14ac:dyDescent="0.2">
      <c r="A27" s="1">
        <v>21</v>
      </c>
      <c r="B27" s="204" t="s">
        <v>646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5"/>
      <c r="Q27" s="205"/>
      <c r="R27" s="205"/>
      <c r="S27" s="205"/>
      <c r="T27" s="108"/>
    </row>
    <row r="28" spans="1:20" ht="15" x14ac:dyDescent="0.2">
      <c r="A28" s="1">
        <v>22</v>
      </c>
      <c r="B28" s="157" t="s">
        <v>647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5"/>
      <c r="Q28" s="205"/>
      <c r="R28" s="205"/>
      <c r="S28" s="205"/>
      <c r="T28" s="108"/>
    </row>
    <row r="29" spans="1:20" ht="15" x14ac:dyDescent="0.2">
      <c r="A29" s="1">
        <v>23</v>
      </c>
      <c r="B29" s="204" t="s">
        <v>648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5"/>
      <c r="Q29" s="205"/>
      <c r="R29" s="205"/>
      <c r="S29" s="205"/>
      <c r="T29" s="108"/>
    </row>
    <row r="30" spans="1:20" ht="15" x14ac:dyDescent="0.2">
      <c r="A30" s="1">
        <v>24</v>
      </c>
      <c r="B30" s="204" t="s">
        <v>649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5"/>
      <c r="Q30" s="205"/>
      <c r="R30" s="205"/>
      <c r="S30" s="205"/>
      <c r="T30" s="108"/>
    </row>
    <row r="31" spans="1:20" ht="30" x14ac:dyDescent="0.2">
      <c r="A31" s="1">
        <v>25</v>
      </c>
      <c r="B31" s="56" t="s">
        <v>650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5"/>
      <c r="Q31" s="205"/>
      <c r="R31" s="205"/>
      <c r="S31" s="205"/>
      <c r="T31" s="108"/>
    </row>
    <row r="32" spans="1:20" ht="15" x14ac:dyDescent="0.2">
      <c r="A32" s="1">
        <v>26</v>
      </c>
      <c r="B32" s="49" t="s">
        <v>651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05"/>
      <c r="Q32" s="205"/>
      <c r="R32" s="205"/>
      <c r="S32" s="205"/>
      <c r="T32" s="61"/>
    </row>
    <row r="33" spans="1:20" ht="15" x14ac:dyDescent="0.2">
      <c r="A33" s="1">
        <v>27</v>
      </c>
      <c r="B33" s="49" t="s">
        <v>369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5"/>
      <c r="Q33" s="205"/>
      <c r="R33" s="205"/>
      <c r="S33" s="205"/>
      <c r="T33" s="217"/>
    </row>
    <row r="34" spans="1:20" ht="15" x14ac:dyDescent="0.2">
      <c r="A34" s="1">
        <v>28</v>
      </c>
      <c r="B34" s="49" t="s">
        <v>652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5"/>
      <c r="Q34" s="205"/>
      <c r="R34" s="205"/>
      <c r="S34" s="205"/>
      <c r="T34" s="108"/>
    </row>
    <row r="35" spans="1:20" ht="15" x14ac:dyDescent="0.2">
      <c r="A35" s="1">
        <v>29</v>
      </c>
      <c r="B35" s="49" t="s">
        <v>653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05"/>
      <c r="Q35" s="205"/>
      <c r="R35" s="205"/>
      <c r="S35" s="205"/>
      <c r="T35" s="108"/>
    </row>
    <row r="36" spans="1:20" ht="15" x14ac:dyDescent="0.2">
      <c r="A36" s="6">
        <v>30</v>
      </c>
      <c r="B36" s="56" t="s">
        <v>656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05"/>
      <c r="Q36" s="205"/>
      <c r="R36" s="205"/>
      <c r="S36" s="205"/>
      <c r="T36" s="108"/>
    </row>
    <row r="37" spans="1:20" ht="15" x14ac:dyDescent="0.2">
      <c r="A37" s="1">
        <v>31</v>
      </c>
      <c r="B37" s="49" t="s">
        <v>654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05"/>
      <c r="Q37" s="205"/>
      <c r="R37" s="205"/>
      <c r="S37" s="205"/>
      <c r="T37" s="108"/>
    </row>
    <row r="38" spans="1:20" s="101" customFormat="1" x14ac:dyDescent="0.25">
      <c r="A38" s="369" t="s">
        <v>289</v>
      </c>
      <c r="B38" s="369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206"/>
      <c r="Q38" s="206"/>
      <c r="R38" s="206"/>
      <c r="S38" s="206"/>
      <c r="T38" s="207"/>
    </row>
    <row r="96" spans="12:12" x14ac:dyDescent="0.25">
      <c r="L96" s="6" t="str">
        <f>IF(E96=0,"-",(I96/E96))</f>
        <v>-</v>
      </c>
    </row>
  </sheetData>
  <mergeCells count="16">
    <mergeCell ref="A38:B38"/>
    <mergeCell ref="A6:D6"/>
    <mergeCell ref="R1:T1"/>
    <mergeCell ref="A2:T2"/>
    <mergeCell ref="A3:A4"/>
    <mergeCell ref="B3:B4"/>
    <mergeCell ref="C3:D3"/>
    <mergeCell ref="E3:L3"/>
    <mergeCell ref="M3:M4"/>
    <mergeCell ref="N3:N4"/>
    <mergeCell ref="O3:O4"/>
    <mergeCell ref="P3:P4"/>
    <mergeCell ref="Q3:Q4"/>
    <mergeCell ref="R3:R4"/>
    <mergeCell ref="S3:S4"/>
    <mergeCell ref="T3:T4"/>
  </mergeCells>
  <conditionalFormatting sqref="R1:T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56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147216"/>
  </sheetPr>
  <dimension ref="A1:J123"/>
  <sheetViews>
    <sheetView view="pageBreakPreview" zoomScale="90" zoomScaleNormal="100" zoomScaleSheetLayoutView="90" workbookViewId="0">
      <pane ySplit="5" topLeftCell="A6" activePane="bottomLeft" state="frozen"/>
      <selection pane="bottomLeft" activeCell="A93" sqref="A93"/>
    </sheetView>
  </sheetViews>
  <sheetFormatPr defaultRowHeight="15" x14ac:dyDescent="0.2"/>
  <cols>
    <col min="1" max="1" width="6.7109375" style="299" customWidth="1"/>
    <col min="2" max="2" width="38.140625" style="226" customWidth="1"/>
    <col min="3" max="4" width="12.28515625" style="226" customWidth="1"/>
    <col min="5" max="7" width="10.85546875" style="226" customWidth="1"/>
    <col min="8" max="8" width="40" style="226" customWidth="1"/>
    <col min="9" max="9" width="14.42578125" style="226" customWidth="1"/>
    <col min="10" max="10" width="62.85546875" style="226" customWidth="1"/>
    <col min="11" max="16384" width="9.140625" style="226"/>
  </cols>
  <sheetData>
    <row r="1" spans="1:10" ht="15.75" x14ac:dyDescent="0.25">
      <c r="A1" s="218"/>
      <c r="B1" s="219"/>
      <c r="C1" s="218"/>
      <c r="D1" s="220"/>
      <c r="E1" s="220"/>
      <c r="F1" s="220"/>
      <c r="G1" s="220"/>
      <c r="H1" s="220"/>
      <c r="I1" s="220"/>
      <c r="J1" s="221" t="s">
        <v>935</v>
      </c>
    </row>
    <row r="2" spans="1:10" x14ac:dyDescent="0.2">
      <c r="A2" s="218"/>
      <c r="B2" s="219"/>
      <c r="C2" s="218"/>
      <c r="D2" s="218"/>
      <c r="E2" s="218"/>
      <c r="F2" s="218"/>
      <c r="G2" s="218"/>
      <c r="H2" s="218"/>
      <c r="I2" s="218"/>
      <c r="J2" s="218"/>
    </row>
    <row r="3" spans="1:10" ht="30.75" customHeight="1" x14ac:dyDescent="0.2">
      <c r="A3" s="407" t="s">
        <v>936</v>
      </c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x14ac:dyDescent="0.25">
      <c r="A4" s="408" t="s">
        <v>0</v>
      </c>
      <c r="B4" s="408" t="s">
        <v>14</v>
      </c>
      <c r="C4" s="409" t="s">
        <v>19</v>
      </c>
      <c r="D4" s="409"/>
      <c r="E4" s="409" t="s">
        <v>937</v>
      </c>
      <c r="F4" s="409"/>
      <c r="G4" s="409"/>
      <c r="H4" s="408" t="s">
        <v>938</v>
      </c>
      <c r="I4" s="410" t="s">
        <v>939</v>
      </c>
      <c r="J4" s="411" t="s">
        <v>959</v>
      </c>
    </row>
    <row r="5" spans="1:10" ht="17.25" customHeight="1" x14ac:dyDescent="0.25">
      <c r="A5" s="408"/>
      <c r="B5" s="408"/>
      <c r="C5" s="223" t="s">
        <v>27</v>
      </c>
      <c r="D5" s="223" t="s">
        <v>28</v>
      </c>
      <c r="E5" s="222" t="s">
        <v>940</v>
      </c>
      <c r="F5" s="222" t="s">
        <v>941</v>
      </c>
      <c r="G5" s="222" t="s">
        <v>35</v>
      </c>
      <c r="H5" s="408"/>
      <c r="I5" s="410"/>
      <c r="J5" s="411"/>
    </row>
    <row r="6" spans="1:10" ht="15.75" x14ac:dyDescent="0.25">
      <c r="A6" s="413" t="s">
        <v>1046</v>
      </c>
      <c r="B6" s="414"/>
      <c r="C6" s="223"/>
      <c r="D6" s="223"/>
      <c r="E6" s="222"/>
      <c r="F6" s="222"/>
      <c r="G6" s="222"/>
      <c r="H6" s="222"/>
      <c r="I6" s="295"/>
      <c r="J6" s="296"/>
    </row>
    <row r="7" spans="1:10" x14ac:dyDescent="0.2">
      <c r="A7" s="1">
        <v>1</v>
      </c>
      <c r="B7" s="56" t="s">
        <v>965</v>
      </c>
      <c r="C7" s="281">
        <v>0</v>
      </c>
      <c r="D7" s="281">
        <v>1</v>
      </c>
      <c r="E7" s="322"/>
      <c r="F7" s="322"/>
      <c r="G7" s="322">
        <v>1</v>
      </c>
      <c r="H7" s="322"/>
      <c r="I7" s="322"/>
      <c r="J7" s="323"/>
    </row>
    <row r="8" spans="1:10" hidden="1" x14ac:dyDescent="0.2">
      <c r="A8" s="1">
        <v>2</v>
      </c>
      <c r="B8" s="56" t="s">
        <v>966</v>
      </c>
      <c r="C8" s="227"/>
      <c r="D8" s="227"/>
      <c r="E8" s="224"/>
      <c r="F8" s="224"/>
      <c r="G8" s="224"/>
      <c r="H8" s="224"/>
      <c r="I8" s="224"/>
      <c r="J8" s="225"/>
    </row>
    <row r="9" spans="1:10" ht="30" hidden="1" x14ac:dyDescent="0.2">
      <c r="A9" s="1">
        <v>3</v>
      </c>
      <c r="B9" s="56" t="s">
        <v>967</v>
      </c>
      <c r="C9" s="227"/>
      <c r="D9" s="227"/>
      <c r="E9" s="227"/>
      <c r="F9" s="227"/>
      <c r="G9" s="227"/>
      <c r="H9" s="229"/>
      <c r="I9" s="268"/>
      <c r="J9" s="267"/>
    </row>
    <row r="10" spans="1:10" hidden="1" x14ac:dyDescent="0.2">
      <c r="A10" s="1">
        <v>4</v>
      </c>
      <c r="B10" s="56" t="s">
        <v>968</v>
      </c>
      <c r="C10" s="227"/>
      <c r="D10" s="227"/>
      <c r="E10" s="228"/>
      <c r="F10" s="228"/>
      <c r="G10" s="227"/>
      <c r="H10" s="229"/>
      <c r="I10" s="230"/>
      <c r="J10" s="293"/>
    </row>
    <row r="11" spans="1:10" hidden="1" x14ac:dyDescent="0.2">
      <c r="A11" s="1">
        <v>5</v>
      </c>
      <c r="B11" s="56" t="s">
        <v>969</v>
      </c>
      <c r="C11" s="227"/>
      <c r="D11" s="227"/>
      <c r="E11" s="224"/>
      <c r="F11" s="224"/>
      <c r="G11" s="224"/>
      <c r="H11" s="224"/>
      <c r="I11" s="224"/>
      <c r="J11" s="225"/>
    </row>
    <row r="12" spans="1:10" hidden="1" x14ac:dyDescent="0.2">
      <c r="A12" s="1">
        <v>6</v>
      </c>
      <c r="B12" s="56" t="s">
        <v>970</v>
      </c>
      <c r="C12" s="227"/>
      <c r="D12" s="227"/>
      <c r="E12" s="224"/>
      <c r="F12" s="224"/>
      <c r="G12" s="224"/>
      <c r="H12" s="224"/>
      <c r="I12" s="224"/>
      <c r="J12" s="225"/>
    </row>
    <row r="13" spans="1:10" hidden="1" x14ac:dyDescent="0.2">
      <c r="A13" s="1">
        <v>7</v>
      </c>
      <c r="B13" s="56" t="s">
        <v>971</v>
      </c>
      <c r="C13" s="227"/>
      <c r="D13" s="227"/>
      <c r="E13" s="224"/>
      <c r="F13" s="224"/>
      <c r="G13" s="224"/>
      <c r="H13" s="224"/>
      <c r="I13" s="224"/>
      <c r="J13" s="225"/>
    </row>
    <row r="14" spans="1:10" hidden="1" x14ac:dyDescent="0.2">
      <c r="A14" s="1">
        <v>8</v>
      </c>
      <c r="B14" s="56" t="s">
        <v>972</v>
      </c>
      <c r="C14" s="227"/>
      <c r="D14" s="227"/>
      <c r="E14" s="224"/>
      <c r="F14" s="224"/>
      <c r="G14" s="224"/>
      <c r="H14" s="224"/>
      <c r="I14" s="224"/>
      <c r="J14" s="225"/>
    </row>
    <row r="15" spans="1:10" hidden="1" x14ac:dyDescent="0.2">
      <c r="A15" s="1">
        <v>9</v>
      </c>
      <c r="B15" s="56" t="s">
        <v>973</v>
      </c>
      <c r="C15" s="227"/>
      <c r="D15" s="227"/>
      <c r="E15" s="224"/>
      <c r="F15" s="224"/>
      <c r="G15" s="224"/>
      <c r="H15" s="224"/>
      <c r="I15" s="224"/>
      <c r="J15" s="225"/>
    </row>
    <row r="16" spans="1:10" ht="30" hidden="1" x14ac:dyDescent="0.2">
      <c r="A16" s="1">
        <v>10</v>
      </c>
      <c r="B16" s="56" t="s">
        <v>974</v>
      </c>
      <c r="C16" s="227"/>
      <c r="D16" s="227"/>
      <c r="E16" s="224"/>
      <c r="F16" s="224"/>
      <c r="G16" s="224"/>
      <c r="H16" s="224"/>
      <c r="I16" s="224"/>
      <c r="J16" s="225"/>
    </row>
    <row r="17" spans="1:10" ht="30" hidden="1" x14ac:dyDescent="0.2">
      <c r="A17" s="1">
        <v>11</v>
      </c>
      <c r="B17" s="56" t="s">
        <v>975</v>
      </c>
      <c r="C17" s="227"/>
      <c r="D17" s="227"/>
      <c r="E17" s="224"/>
      <c r="F17" s="224"/>
      <c r="G17" s="224"/>
      <c r="H17" s="224"/>
      <c r="I17" s="224"/>
      <c r="J17" s="225"/>
    </row>
    <row r="18" spans="1:10" hidden="1" x14ac:dyDescent="0.2">
      <c r="A18" s="1">
        <v>12</v>
      </c>
      <c r="B18" s="56" t="s">
        <v>976</v>
      </c>
      <c r="C18" s="227"/>
      <c r="D18" s="227"/>
      <c r="E18" s="224"/>
      <c r="F18" s="224"/>
      <c r="G18" s="224"/>
      <c r="H18" s="224"/>
      <c r="I18" s="224"/>
      <c r="J18" s="225"/>
    </row>
    <row r="19" spans="1:10" hidden="1" x14ac:dyDescent="0.2">
      <c r="A19" s="1">
        <v>13</v>
      </c>
      <c r="B19" s="56" t="s">
        <v>977</v>
      </c>
      <c r="C19" s="227"/>
      <c r="D19" s="227"/>
      <c r="E19" s="224"/>
      <c r="F19" s="224"/>
      <c r="G19" s="224"/>
      <c r="H19" s="224"/>
      <c r="I19" s="224"/>
      <c r="J19" s="225"/>
    </row>
    <row r="20" spans="1:10" ht="30" hidden="1" x14ac:dyDescent="0.2">
      <c r="A20" s="1">
        <v>14</v>
      </c>
      <c r="B20" s="56" t="s">
        <v>978</v>
      </c>
      <c r="C20" s="227"/>
      <c r="D20" s="227"/>
      <c r="E20" s="224"/>
      <c r="F20" s="224"/>
      <c r="G20" s="224"/>
      <c r="H20" s="224"/>
      <c r="I20" s="224"/>
      <c r="J20" s="225"/>
    </row>
    <row r="21" spans="1:10" hidden="1" x14ac:dyDescent="0.2">
      <c r="A21" s="1">
        <v>15</v>
      </c>
      <c r="B21" s="56" t="s">
        <v>979</v>
      </c>
      <c r="C21" s="227"/>
      <c r="D21" s="227"/>
      <c r="E21" s="224"/>
      <c r="F21" s="224"/>
      <c r="G21" s="224"/>
      <c r="H21" s="224"/>
      <c r="I21" s="224"/>
      <c r="J21" s="225"/>
    </row>
    <row r="22" spans="1:10" ht="30" hidden="1" x14ac:dyDescent="0.2">
      <c r="A22" s="1">
        <v>16</v>
      </c>
      <c r="B22" s="56" t="s">
        <v>980</v>
      </c>
      <c r="C22" s="225"/>
      <c r="D22" s="225"/>
      <c r="E22" s="225"/>
      <c r="F22" s="225"/>
      <c r="G22" s="225"/>
      <c r="H22" s="225"/>
      <c r="I22" s="225"/>
      <c r="J22" s="225"/>
    </row>
    <row r="23" spans="1:10" hidden="1" x14ac:dyDescent="0.2">
      <c r="A23" s="1">
        <v>17</v>
      </c>
      <c r="B23" s="56" t="s">
        <v>981</v>
      </c>
      <c r="C23" s="225"/>
      <c r="D23" s="225"/>
      <c r="E23" s="225"/>
      <c r="F23" s="225"/>
      <c r="G23" s="225"/>
      <c r="H23" s="225"/>
      <c r="I23" s="225"/>
      <c r="J23" s="225"/>
    </row>
    <row r="24" spans="1:10" hidden="1" x14ac:dyDescent="0.2">
      <c r="A24" s="1">
        <v>18</v>
      </c>
      <c r="B24" s="56" t="s">
        <v>982</v>
      </c>
      <c r="C24" s="225"/>
      <c r="D24" s="225"/>
      <c r="E24" s="225"/>
      <c r="F24" s="225"/>
      <c r="G24" s="225"/>
      <c r="H24" s="225"/>
      <c r="I24" s="225"/>
      <c r="J24" s="225"/>
    </row>
    <row r="25" spans="1:10" ht="30" hidden="1" x14ac:dyDescent="0.2">
      <c r="A25" s="1">
        <v>19</v>
      </c>
      <c r="B25" s="56" t="s">
        <v>983</v>
      </c>
      <c r="C25" s="225"/>
      <c r="D25" s="225"/>
      <c r="E25" s="225"/>
      <c r="F25" s="225"/>
      <c r="G25" s="225"/>
      <c r="H25" s="225"/>
      <c r="I25" s="225"/>
      <c r="J25" s="225"/>
    </row>
    <row r="26" spans="1:10" hidden="1" x14ac:dyDescent="0.2">
      <c r="A26" s="1">
        <v>20</v>
      </c>
      <c r="B26" s="56" t="s">
        <v>984</v>
      </c>
      <c r="C26" s="225"/>
      <c r="D26" s="225"/>
      <c r="E26" s="225"/>
      <c r="F26" s="225"/>
      <c r="G26" s="225"/>
      <c r="H26" s="225"/>
      <c r="I26" s="225"/>
      <c r="J26" s="225"/>
    </row>
    <row r="27" spans="1:10" hidden="1" x14ac:dyDescent="0.2">
      <c r="A27" s="1">
        <v>21</v>
      </c>
      <c r="B27" s="56" t="s">
        <v>985</v>
      </c>
      <c r="C27" s="225"/>
      <c r="D27" s="225"/>
      <c r="E27" s="225"/>
      <c r="F27" s="225"/>
      <c r="G27" s="225"/>
      <c r="H27" s="225"/>
      <c r="I27" s="225"/>
      <c r="J27" s="225"/>
    </row>
    <row r="28" spans="1:10" hidden="1" x14ac:dyDescent="0.2">
      <c r="A28" s="1">
        <v>22</v>
      </c>
      <c r="B28" s="56" t="s">
        <v>986</v>
      </c>
      <c r="C28" s="225"/>
      <c r="D28" s="225"/>
      <c r="E28" s="225"/>
      <c r="F28" s="225"/>
      <c r="G28" s="225"/>
      <c r="H28" s="225"/>
      <c r="I28" s="225"/>
      <c r="J28" s="225"/>
    </row>
    <row r="29" spans="1:10" hidden="1" x14ac:dyDescent="0.2">
      <c r="A29" s="1">
        <v>23</v>
      </c>
      <c r="B29" s="56" t="s">
        <v>987</v>
      </c>
      <c r="C29" s="225"/>
      <c r="D29" s="225"/>
      <c r="E29" s="225"/>
      <c r="F29" s="225"/>
      <c r="G29" s="225"/>
      <c r="H29" s="225"/>
      <c r="I29" s="225"/>
      <c r="J29" s="225"/>
    </row>
    <row r="30" spans="1:10" hidden="1" x14ac:dyDescent="0.2">
      <c r="A30" s="1">
        <v>24</v>
      </c>
      <c r="B30" s="56" t="s">
        <v>988</v>
      </c>
      <c r="C30" s="225"/>
      <c r="D30" s="225"/>
      <c r="E30" s="225"/>
      <c r="F30" s="225"/>
      <c r="G30" s="225"/>
      <c r="H30" s="225"/>
      <c r="I30" s="225"/>
      <c r="J30" s="225"/>
    </row>
    <row r="31" spans="1:10" hidden="1" x14ac:dyDescent="0.2">
      <c r="A31" s="1">
        <v>25</v>
      </c>
      <c r="B31" s="56" t="s">
        <v>683</v>
      </c>
      <c r="C31" s="225"/>
      <c r="D31" s="225"/>
      <c r="E31" s="225"/>
      <c r="F31" s="225"/>
      <c r="G31" s="225"/>
      <c r="H31" s="225"/>
      <c r="I31" s="225"/>
      <c r="J31" s="225"/>
    </row>
    <row r="32" spans="1:10" hidden="1" x14ac:dyDescent="0.2">
      <c r="A32" s="1">
        <v>26</v>
      </c>
      <c r="B32" s="56" t="s">
        <v>989</v>
      </c>
      <c r="C32" s="225"/>
      <c r="D32" s="225"/>
      <c r="E32" s="225"/>
      <c r="F32" s="225"/>
      <c r="G32" s="225"/>
      <c r="H32" s="225"/>
      <c r="I32" s="225"/>
      <c r="J32" s="225"/>
    </row>
    <row r="33" spans="1:10" ht="30" hidden="1" x14ac:dyDescent="0.2">
      <c r="A33" s="1">
        <v>27</v>
      </c>
      <c r="B33" s="56" t="s">
        <v>990</v>
      </c>
      <c r="C33" s="225"/>
      <c r="D33" s="225"/>
      <c r="E33" s="225"/>
      <c r="F33" s="225"/>
      <c r="G33" s="225"/>
      <c r="H33" s="225"/>
      <c r="I33" s="225"/>
      <c r="J33" s="225"/>
    </row>
    <row r="34" spans="1:10" hidden="1" x14ac:dyDescent="0.2">
      <c r="A34" s="1">
        <v>28</v>
      </c>
      <c r="B34" s="56" t="s">
        <v>991</v>
      </c>
      <c r="C34" s="225"/>
      <c r="D34" s="225"/>
      <c r="E34" s="225"/>
      <c r="F34" s="225"/>
      <c r="G34" s="225"/>
      <c r="H34" s="225"/>
      <c r="I34" s="225"/>
      <c r="J34" s="225"/>
    </row>
    <row r="35" spans="1:10" hidden="1" x14ac:dyDescent="0.2">
      <c r="A35" s="1">
        <v>29</v>
      </c>
      <c r="B35" s="56" t="s">
        <v>992</v>
      </c>
      <c r="C35" s="225"/>
      <c r="D35" s="225"/>
      <c r="E35" s="225"/>
      <c r="F35" s="225"/>
      <c r="G35" s="225"/>
      <c r="H35" s="225"/>
      <c r="I35" s="225"/>
      <c r="J35" s="225"/>
    </row>
    <row r="36" spans="1:10" ht="30" hidden="1" x14ac:dyDescent="0.2">
      <c r="A36" s="1">
        <v>30</v>
      </c>
      <c r="B36" s="56" t="s">
        <v>993</v>
      </c>
      <c r="C36" s="225"/>
      <c r="D36" s="225"/>
      <c r="E36" s="225"/>
      <c r="F36" s="225"/>
      <c r="G36" s="225"/>
      <c r="H36" s="225"/>
      <c r="I36" s="225"/>
      <c r="J36" s="225"/>
    </row>
    <row r="37" spans="1:10" ht="30" hidden="1" x14ac:dyDescent="0.2">
      <c r="A37" s="1">
        <v>31</v>
      </c>
      <c r="B37" s="56" t="s">
        <v>994</v>
      </c>
      <c r="C37" s="225"/>
      <c r="D37" s="225"/>
      <c r="E37" s="225"/>
      <c r="F37" s="225"/>
      <c r="G37" s="225"/>
      <c r="H37" s="225"/>
      <c r="I37" s="225"/>
      <c r="J37" s="225"/>
    </row>
    <row r="38" spans="1:10" hidden="1" x14ac:dyDescent="0.2">
      <c r="A38" s="1">
        <v>32</v>
      </c>
      <c r="B38" s="297" t="s">
        <v>995</v>
      </c>
      <c r="C38" s="225"/>
      <c r="D38" s="225"/>
      <c r="E38" s="225"/>
      <c r="F38" s="225"/>
      <c r="G38" s="225"/>
      <c r="H38" s="225"/>
      <c r="I38" s="225"/>
      <c r="J38" s="225"/>
    </row>
    <row r="39" spans="1:10" hidden="1" x14ac:dyDescent="0.2">
      <c r="A39" s="1">
        <v>33</v>
      </c>
      <c r="B39" s="297" t="s">
        <v>996</v>
      </c>
      <c r="C39" s="225"/>
      <c r="D39" s="225"/>
      <c r="E39" s="225"/>
      <c r="F39" s="225"/>
      <c r="G39" s="225"/>
      <c r="H39" s="225"/>
      <c r="I39" s="225"/>
      <c r="J39" s="225"/>
    </row>
    <row r="40" spans="1:10" hidden="1" x14ac:dyDescent="0.2">
      <c r="A40" s="1">
        <v>34</v>
      </c>
      <c r="B40" s="56" t="s">
        <v>997</v>
      </c>
      <c r="C40" s="225"/>
      <c r="D40" s="225"/>
      <c r="E40" s="225"/>
      <c r="F40" s="225"/>
      <c r="G40" s="225"/>
      <c r="H40" s="225"/>
      <c r="I40" s="225"/>
      <c r="J40" s="225"/>
    </row>
    <row r="41" spans="1:10" ht="30" hidden="1" x14ac:dyDescent="0.2">
      <c r="A41" s="1">
        <v>35</v>
      </c>
      <c r="B41" s="56" t="s">
        <v>998</v>
      </c>
      <c r="C41" s="225"/>
      <c r="D41" s="225"/>
      <c r="E41" s="225"/>
      <c r="F41" s="225"/>
      <c r="G41" s="225"/>
      <c r="H41" s="225"/>
      <c r="I41" s="225"/>
      <c r="J41" s="225"/>
    </row>
    <row r="42" spans="1:10" hidden="1" x14ac:dyDescent="0.2">
      <c r="A42" s="1">
        <v>36</v>
      </c>
      <c r="B42" s="56" t="s">
        <v>999</v>
      </c>
      <c r="C42" s="225"/>
      <c r="D42" s="225"/>
      <c r="E42" s="225"/>
      <c r="F42" s="225"/>
      <c r="G42" s="225"/>
      <c r="H42" s="225"/>
      <c r="I42" s="225"/>
      <c r="J42" s="225"/>
    </row>
    <row r="43" spans="1:10" hidden="1" x14ac:dyDescent="0.2">
      <c r="A43" s="1">
        <v>37</v>
      </c>
      <c r="B43" s="56" t="s">
        <v>1000</v>
      </c>
      <c r="C43" s="225"/>
      <c r="D43" s="225"/>
      <c r="E43" s="225"/>
      <c r="F43" s="225"/>
      <c r="G43" s="225"/>
      <c r="H43" s="225"/>
      <c r="I43" s="225"/>
      <c r="J43" s="225"/>
    </row>
    <row r="44" spans="1:10" hidden="1" x14ac:dyDescent="0.2">
      <c r="A44" s="1">
        <v>38</v>
      </c>
      <c r="B44" s="49" t="s">
        <v>942</v>
      </c>
      <c r="C44" s="225"/>
      <c r="D44" s="225"/>
      <c r="E44" s="225"/>
      <c r="F44" s="225"/>
      <c r="G44" s="225"/>
      <c r="H44" s="225"/>
      <c r="I44" s="225"/>
      <c r="J44" s="225"/>
    </row>
    <row r="45" spans="1:10" hidden="1" x14ac:dyDescent="0.2">
      <c r="A45" s="1">
        <v>39</v>
      </c>
      <c r="B45" s="298" t="s">
        <v>1001</v>
      </c>
      <c r="C45" s="225"/>
      <c r="D45" s="225"/>
      <c r="E45" s="225"/>
      <c r="F45" s="225"/>
      <c r="G45" s="225"/>
      <c r="H45" s="225"/>
      <c r="I45" s="225"/>
      <c r="J45" s="225"/>
    </row>
    <row r="46" spans="1:10" hidden="1" x14ac:dyDescent="0.2">
      <c r="A46" s="1">
        <v>40</v>
      </c>
      <c r="B46" s="298" t="s">
        <v>1002</v>
      </c>
      <c r="C46" s="225"/>
      <c r="D46" s="225"/>
      <c r="E46" s="225"/>
      <c r="F46" s="225"/>
      <c r="G46" s="225"/>
      <c r="H46" s="225"/>
      <c r="I46" s="225"/>
      <c r="J46" s="225"/>
    </row>
    <row r="47" spans="1:10" hidden="1" x14ac:dyDescent="0.2">
      <c r="A47" s="1">
        <v>41</v>
      </c>
      <c r="B47" s="297" t="s">
        <v>1003</v>
      </c>
      <c r="C47" s="225"/>
      <c r="D47" s="225"/>
      <c r="E47" s="225"/>
      <c r="F47" s="225"/>
      <c r="G47" s="225"/>
      <c r="H47" s="225"/>
      <c r="I47" s="225"/>
      <c r="J47" s="225"/>
    </row>
    <row r="48" spans="1:10" hidden="1" x14ac:dyDescent="0.2">
      <c r="A48" s="1">
        <v>42</v>
      </c>
      <c r="B48" s="297" t="s">
        <v>1004</v>
      </c>
      <c r="C48" s="225"/>
      <c r="D48" s="225"/>
      <c r="E48" s="225"/>
      <c r="F48" s="225"/>
      <c r="G48" s="225"/>
      <c r="H48" s="225"/>
      <c r="I48" s="225"/>
      <c r="J48" s="225"/>
    </row>
    <row r="49" spans="1:10" hidden="1" x14ac:dyDescent="0.2">
      <c r="A49" s="1">
        <v>43</v>
      </c>
      <c r="B49" s="298" t="s">
        <v>1005</v>
      </c>
      <c r="C49" s="225"/>
      <c r="D49" s="225"/>
      <c r="E49" s="225"/>
      <c r="F49" s="225"/>
      <c r="G49" s="225"/>
      <c r="H49" s="225"/>
      <c r="I49" s="225"/>
      <c r="J49" s="225"/>
    </row>
    <row r="50" spans="1:10" ht="30" hidden="1" x14ac:dyDescent="0.2">
      <c r="A50" s="1">
        <v>44</v>
      </c>
      <c r="B50" s="298" t="s">
        <v>1006</v>
      </c>
      <c r="C50" s="225"/>
      <c r="D50" s="225"/>
      <c r="E50" s="225"/>
      <c r="F50" s="225"/>
      <c r="G50" s="225"/>
      <c r="H50" s="225"/>
      <c r="I50" s="225"/>
      <c r="J50" s="225"/>
    </row>
    <row r="51" spans="1:10" hidden="1" x14ac:dyDescent="0.2">
      <c r="A51" s="1">
        <v>45</v>
      </c>
      <c r="B51" s="297" t="s">
        <v>1007</v>
      </c>
      <c r="C51" s="225"/>
      <c r="D51" s="225"/>
      <c r="E51" s="225"/>
      <c r="F51" s="225"/>
      <c r="G51" s="225"/>
      <c r="H51" s="225"/>
      <c r="I51" s="225"/>
      <c r="J51" s="225"/>
    </row>
    <row r="52" spans="1:10" hidden="1" x14ac:dyDescent="0.2">
      <c r="A52" s="1">
        <v>46</v>
      </c>
      <c r="B52" s="297" t="s">
        <v>1008</v>
      </c>
      <c r="C52" s="225"/>
      <c r="D52" s="225"/>
      <c r="E52" s="225"/>
      <c r="F52" s="225"/>
      <c r="G52" s="225"/>
      <c r="H52" s="225"/>
      <c r="I52" s="225"/>
      <c r="J52" s="225"/>
    </row>
    <row r="53" spans="1:10" s="326" customFormat="1" ht="30" x14ac:dyDescent="0.25">
      <c r="A53" s="1">
        <v>47</v>
      </c>
      <c r="B53" s="49" t="s">
        <v>1009</v>
      </c>
      <c r="C53" s="281">
        <v>10</v>
      </c>
      <c r="D53" s="281">
        <v>14</v>
      </c>
      <c r="E53" s="281"/>
      <c r="F53" s="281"/>
      <c r="G53" s="281">
        <v>14</v>
      </c>
      <c r="H53" s="297"/>
      <c r="I53" s="297"/>
      <c r="J53" s="297"/>
    </row>
    <row r="54" spans="1:10" ht="30" hidden="1" x14ac:dyDescent="0.2">
      <c r="A54" s="1">
        <v>48</v>
      </c>
      <c r="B54" s="49" t="s">
        <v>1010</v>
      </c>
      <c r="C54" s="225"/>
      <c r="D54" s="225"/>
      <c r="E54" s="225"/>
      <c r="F54" s="225"/>
      <c r="G54" s="225"/>
      <c r="H54" s="225"/>
      <c r="I54" s="225"/>
      <c r="J54" s="225"/>
    </row>
    <row r="55" spans="1:10" ht="30" hidden="1" x14ac:dyDescent="0.2">
      <c r="A55" s="1">
        <v>49</v>
      </c>
      <c r="B55" s="49" t="s">
        <v>1011</v>
      </c>
      <c r="C55" s="225"/>
      <c r="D55" s="225"/>
      <c r="E55" s="225"/>
      <c r="F55" s="225"/>
      <c r="G55" s="225"/>
      <c r="H55" s="225"/>
      <c r="I55" s="225"/>
      <c r="J55" s="225"/>
    </row>
    <row r="56" spans="1:10" hidden="1" x14ac:dyDescent="0.2">
      <c r="A56" s="1">
        <v>50</v>
      </c>
      <c r="B56" s="49" t="s">
        <v>1012</v>
      </c>
      <c r="C56" s="225"/>
      <c r="D56" s="225"/>
      <c r="E56" s="225"/>
      <c r="F56" s="225"/>
      <c r="G56" s="225"/>
      <c r="H56" s="225"/>
      <c r="I56" s="225"/>
      <c r="J56" s="225"/>
    </row>
    <row r="57" spans="1:10" ht="30" hidden="1" x14ac:dyDescent="0.2">
      <c r="A57" s="1">
        <v>51</v>
      </c>
      <c r="B57" s="49" t="s">
        <v>1013</v>
      </c>
      <c r="C57" s="225"/>
      <c r="D57" s="225"/>
      <c r="E57" s="225"/>
      <c r="F57" s="225"/>
      <c r="G57" s="225"/>
      <c r="H57" s="225"/>
      <c r="I57" s="225"/>
      <c r="J57" s="225"/>
    </row>
    <row r="58" spans="1:10" hidden="1" x14ac:dyDescent="0.2">
      <c r="A58" s="1">
        <v>52</v>
      </c>
      <c r="B58" s="49" t="s">
        <v>1014</v>
      </c>
      <c r="C58" s="225"/>
      <c r="D58" s="225"/>
      <c r="E58" s="225"/>
      <c r="F58" s="225"/>
      <c r="G58" s="225"/>
      <c r="H58" s="225"/>
      <c r="I58" s="225"/>
      <c r="J58" s="225"/>
    </row>
    <row r="59" spans="1:10" hidden="1" x14ac:dyDescent="0.2">
      <c r="A59" s="1">
        <v>53</v>
      </c>
      <c r="B59" s="49" t="s">
        <v>1015</v>
      </c>
      <c r="C59" s="225"/>
      <c r="D59" s="225"/>
      <c r="E59" s="225"/>
      <c r="F59" s="225"/>
      <c r="G59" s="225"/>
      <c r="H59" s="225"/>
      <c r="I59" s="225"/>
      <c r="J59" s="225"/>
    </row>
    <row r="60" spans="1:10" hidden="1" x14ac:dyDescent="0.2">
      <c r="A60" s="1">
        <v>54</v>
      </c>
      <c r="B60" s="49" t="s">
        <v>1016</v>
      </c>
      <c r="C60" s="225"/>
      <c r="D60" s="225"/>
      <c r="E60" s="225"/>
      <c r="F60" s="225"/>
      <c r="G60" s="225"/>
      <c r="H60" s="225"/>
      <c r="I60" s="225"/>
      <c r="J60" s="225"/>
    </row>
    <row r="61" spans="1:10" hidden="1" x14ac:dyDescent="0.2">
      <c r="A61" s="1">
        <v>55</v>
      </c>
      <c r="B61" s="49" t="s">
        <v>1017</v>
      </c>
      <c r="C61" s="225"/>
      <c r="D61" s="225"/>
      <c r="E61" s="225"/>
      <c r="F61" s="225"/>
      <c r="G61" s="225"/>
      <c r="H61" s="225"/>
      <c r="I61" s="225"/>
      <c r="J61" s="225"/>
    </row>
    <row r="62" spans="1:10" hidden="1" x14ac:dyDescent="0.2">
      <c r="A62" s="1">
        <v>56</v>
      </c>
      <c r="B62" s="49" t="s">
        <v>1018</v>
      </c>
      <c r="C62" s="225"/>
      <c r="D62" s="225"/>
      <c r="E62" s="225"/>
      <c r="F62" s="225"/>
      <c r="G62" s="225"/>
      <c r="H62" s="225"/>
      <c r="I62" s="225"/>
      <c r="J62" s="225"/>
    </row>
    <row r="63" spans="1:10" hidden="1" x14ac:dyDescent="0.2">
      <c r="A63" s="1">
        <v>57</v>
      </c>
      <c r="B63" s="49" t="s">
        <v>1019</v>
      </c>
      <c r="C63" s="225"/>
      <c r="D63" s="225"/>
      <c r="E63" s="225"/>
      <c r="F63" s="225"/>
      <c r="G63" s="225"/>
      <c r="H63" s="225"/>
      <c r="I63" s="225"/>
      <c r="J63" s="225"/>
    </row>
    <row r="64" spans="1:10" hidden="1" x14ac:dyDescent="0.2">
      <c r="A64" s="1">
        <v>58</v>
      </c>
      <c r="B64" s="49" t="s">
        <v>1020</v>
      </c>
      <c r="C64" s="225"/>
      <c r="D64" s="225"/>
      <c r="E64" s="225"/>
      <c r="F64" s="225"/>
      <c r="G64" s="225"/>
      <c r="H64" s="225"/>
      <c r="I64" s="225"/>
      <c r="J64" s="225"/>
    </row>
    <row r="65" spans="1:10" hidden="1" x14ac:dyDescent="0.2">
      <c r="A65" s="1">
        <v>59</v>
      </c>
      <c r="B65" s="49" t="s">
        <v>943</v>
      </c>
      <c r="C65" s="225"/>
      <c r="D65" s="225"/>
      <c r="E65" s="225"/>
      <c r="F65" s="225"/>
      <c r="G65" s="225"/>
      <c r="H65" s="225"/>
      <c r="I65" s="225"/>
      <c r="J65" s="225"/>
    </row>
    <row r="66" spans="1:10" ht="30" hidden="1" x14ac:dyDescent="0.2">
      <c r="A66" s="1">
        <v>60</v>
      </c>
      <c r="B66" s="49" t="s">
        <v>1021</v>
      </c>
      <c r="C66" s="225"/>
      <c r="D66" s="225"/>
      <c r="E66" s="225"/>
      <c r="F66" s="225"/>
      <c r="G66" s="225"/>
      <c r="H66" s="225"/>
      <c r="I66" s="225"/>
      <c r="J66" s="225"/>
    </row>
    <row r="67" spans="1:10" hidden="1" x14ac:dyDescent="0.2">
      <c r="A67" s="1">
        <v>61</v>
      </c>
      <c r="B67" s="49" t="s">
        <v>944</v>
      </c>
      <c r="C67" s="225"/>
      <c r="D67" s="225"/>
      <c r="E67" s="225"/>
      <c r="F67" s="225"/>
      <c r="G67" s="225"/>
      <c r="H67" s="225"/>
      <c r="I67" s="225"/>
      <c r="J67" s="225"/>
    </row>
    <row r="68" spans="1:10" hidden="1" x14ac:dyDescent="0.2">
      <c r="A68" s="1">
        <v>62</v>
      </c>
      <c r="B68" s="49" t="s">
        <v>950</v>
      </c>
      <c r="C68" s="225"/>
      <c r="D68" s="225"/>
      <c r="E68" s="225"/>
      <c r="F68" s="225"/>
      <c r="G68" s="225"/>
      <c r="H68" s="225"/>
      <c r="I68" s="225"/>
      <c r="J68" s="225"/>
    </row>
    <row r="69" spans="1:10" ht="30" hidden="1" x14ac:dyDescent="0.2">
      <c r="A69" s="1">
        <v>63</v>
      </c>
      <c r="B69" s="49" t="s">
        <v>951</v>
      </c>
      <c r="C69" s="225"/>
      <c r="D69" s="225"/>
      <c r="E69" s="225"/>
      <c r="F69" s="225"/>
      <c r="G69" s="225"/>
      <c r="H69" s="225"/>
      <c r="I69" s="225"/>
      <c r="J69" s="225"/>
    </row>
    <row r="70" spans="1:10" hidden="1" x14ac:dyDescent="0.2">
      <c r="A70" s="1">
        <v>64</v>
      </c>
      <c r="B70" s="49" t="s">
        <v>952</v>
      </c>
      <c r="C70" s="225"/>
      <c r="D70" s="225"/>
      <c r="E70" s="225"/>
      <c r="F70" s="225"/>
      <c r="G70" s="225"/>
      <c r="H70" s="225"/>
      <c r="I70" s="225"/>
      <c r="J70" s="225"/>
    </row>
    <row r="71" spans="1:10" hidden="1" x14ac:dyDescent="0.2">
      <c r="A71" s="1">
        <v>65</v>
      </c>
      <c r="B71" s="298" t="s">
        <v>1022</v>
      </c>
      <c r="C71" s="225"/>
      <c r="D71" s="225"/>
      <c r="E71" s="225"/>
      <c r="F71" s="225"/>
      <c r="G71" s="225"/>
      <c r="H71" s="225"/>
      <c r="I71" s="225"/>
      <c r="J71" s="225"/>
    </row>
    <row r="72" spans="1:10" hidden="1" x14ac:dyDescent="0.2">
      <c r="A72" s="1">
        <v>66</v>
      </c>
      <c r="B72" s="298" t="s">
        <v>1023</v>
      </c>
      <c r="C72" s="225"/>
      <c r="D72" s="225"/>
      <c r="E72" s="225"/>
      <c r="F72" s="225"/>
      <c r="G72" s="225"/>
      <c r="H72" s="225"/>
      <c r="I72" s="225"/>
      <c r="J72" s="225"/>
    </row>
    <row r="73" spans="1:10" hidden="1" x14ac:dyDescent="0.2">
      <c r="A73" s="1">
        <v>67</v>
      </c>
      <c r="B73" s="298" t="s">
        <v>1024</v>
      </c>
      <c r="C73" s="225"/>
      <c r="D73" s="225"/>
      <c r="E73" s="225"/>
      <c r="F73" s="225"/>
      <c r="G73" s="225"/>
      <c r="H73" s="225"/>
      <c r="I73" s="225"/>
      <c r="J73" s="225"/>
    </row>
    <row r="74" spans="1:10" hidden="1" x14ac:dyDescent="0.2">
      <c r="A74" s="1">
        <v>68</v>
      </c>
      <c r="B74" s="298" t="s">
        <v>1025</v>
      </c>
      <c r="C74" s="225"/>
      <c r="D74" s="225"/>
      <c r="E74" s="225"/>
      <c r="F74" s="225"/>
      <c r="G74" s="225"/>
      <c r="H74" s="225"/>
      <c r="I74" s="225"/>
      <c r="J74" s="225"/>
    </row>
    <row r="75" spans="1:10" hidden="1" x14ac:dyDescent="0.2">
      <c r="A75" s="1">
        <v>69</v>
      </c>
      <c r="B75" s="298" t="s">
        <v>1026</v>
      </c>
      <c r="C75" s="225"/>
      <c r="D75" s="225"/>
      <c r="E75" s="225"/>
      <c r="F75" s="225"/>
      <c r="G75" s="225"/>
      <c r="H75" s="225"/>
      <c r="I75" s="225"/>
      <c r="J75" s="225"/>
    </row>
    <row r="76" spans="1:10" hidden="1" x14ac:dyDescent="0.2">
      <c r="A76" s="1">
        <v>70</v>
      </c>
      <c r="B76" s="298" t="s">
        <v>1027</v>
      </c>
      <c r="C76" s="225"/>
      <c r="D76" s="225"/>
      <c r="E76" s="225"/>
      <c r="F76" s="225"/>
      <c r="G76" s="225"/>
      <c r="H76" s="225"/>
      <c r="I76" s="225"/>
      <c r="J76" s="225"/>
    </row>
    <row r="77" spans="1:10" hidden="1" x14ac:dyDescent="0.2">
      <c r="A77" s="1">
        <v>71</v>
      </c>
      <c r="B77" s="298" t="s">
        <v>1028</v>
      </c>
      <c r="C77" s="225"/>
      <c r="D77" s="225"/>
      <c r="E77" s="225"/>
      <c r="F77" s="225"/>
      <c r="G77" s="225"/>
      <c r="H77" s="225"/>
      <c r="I77" s="225"/>
      <c r="J77" s="225"/>
    </row>
    <row r="78" spans="1:10" hidden="1" x14ac:dyDescent="0.2">
      <c r="A78" s="1">
        <v>72</v>
      </c>
      <c r="B78" s="297" t="s">
        <v>1029</v>
      </c>
      <c r="C78" s="225"/>
      <c r="D78" s="225"/>
      <c r="E78" s="225"/>
      <c r="F78" s="225"/>
      <c r="G78" s="225"/>
      <c r="H78" s="225"/>
      <c r="I78" s="225"/>
      <c r="J78" s="225"/>
    </row>
    <row r="79" spans="1:10" hidden="1" x14ac:dyDescent="0.2">
      <c r="A79" s="1">
        <v>73</v>
      </c>
      <c r="B79" s="297" t="s">
        <v>1030</v>
      </c>
      <c r="C79" s="225"/>
      <c r="D79" s="225"/>
      <c r="E79" s="225"/>
      <c r="F79" s="225"/>
      <c r="G79" s="225"/>
      <c r="H79" s="225"/>
      <c r="I79" s="225"/>
      <c r="J79" s="225"/>
    </row>
    <row r="80" spans="1:10" hidden="1" x14ac:dyDescent="0.2">
      <c r="A80" s="1">
        <v>74</v>
      </c>
      <c r="B80" s="297" t="s">
        <v>1031</v>
      </c>
      <c r="C80" s="225"/>
      <c r="D80" s="225"/>
      <c r="E80" s="225"/>
      <c r="F80" s="225"/>
      <c r="G80" s="225"/>
      <c r="H80" s="225"/>
      <c r="I80" s="225"/>
      <c r="J80" s="225"/>
    </row>
    <row r="81" spans="1:10" hidden="1" x14ac:dyDescent="0.2">
      <c r="A81" s="1">
        <v>75</v>
      </c>
      <c r="B81" s="297" t="s">
        <v>1032</v>
      </c>
      <c r="C81" s="225"/>
      <c r="D81" s="225"/>
      <c r="E81" s="225"/>
      <c r="F81" s="225"/>
      <c r="G81" s="225"/>
      <c r="H81" s="225"/>
      <c r="I81" s="225"/>
      <c r="J81" s="225"/>
    </row>
    <row r="82" spans="1:10" hidden="1" x14ac:dyDescent="0.2">
      <c r="A82" s="1">
        <v>76</v>
      </c>
      <c r="B82" s="297" t="s">
        <v>1033</v>
      </c>
      <c r="C82" s="225"/>
      <c r="D82" s="225"/>
      <c r="E82" s="225"/>
      <c r="F82" s="225"/>
      <c r="G82" s="225"/>
      <c r="H82" s="225"/>
      <c r="I82" s="225"/>
      <c r="J82" s="225"/>
    </row>
    <row r="83" spans="1:10" ht="30" hidden="1" x14ac:dyDescent="0.2">
      <c r="A83" s="1">
        <v>77</v>
      </c>
      <c r="B83" s="298" t="s">
        <v>1034</v>
      </c>
      <c r="C83" s="225"/>
      <c r="D83" s="225"/>
      <c r="E83" s="225"/>
      <c r="F83" s="225"/>
      <c r="G83" s="225"/>
      <c r="H83" s="225"/>
      <c r="I83" s="225"/>
      <c r="J83" s="225"/>
    </row>
    <row r="84" spans="1:10" hidden="1" x14ac:dyDescent="0.2">
      <c r="A84" s="1">
        <v>78</v>
      </c>
      <c r="B84" s="297" t="s">
        <v>1035</v>
      </c>
      <c r="C84" s="225"/>
      <c r="D84" s="225"/>
      <c r="E84" s="225"/>
      <c r="F84" s="225"/>
      <c r="G84" s="225"/>
      <c r="H84" s="225"/>
      <c r="I84" s="225"/>
      <c r="J84" s="225"/>
    </row>
    <row r="85" spans="1:10" hidden="1" x14ac:dyDescent="0.2">
      <c r="A85" s="1">
        <v>79</v>
      </c>
      <c r="B85" s="297" t="s">
        <v>1036</v>
      </c>
      <c r="C85" s="225"/>
      <c r="D85" s="225"/>
      <c r="E85" s="225"/>
      <c r="F85" s="225"/>
      <c r="G85" s="225"/>
      <c r="H85" s="225"/>
      <c r="I85" s="225"/>
      <c r="J85" s="225"/>
    </row>
    <row r="86" spans="1:10" hidden="1" x14ac:dyDescent="0.2">
      <c r="A86" s="1">
        <v>80</v>
      </c>
      <c r="B86" s="297" t="s">
        <v>1037</v>
      </c>
      <c r="C86" s="225"/>
      <c r="D86" s="225"/>
      <c r="E86" s="225"/>
      <c r="F86" s="225"/>
      <c r="G86" s="225"/>
      <c r="H86" s="225"/>
      <c r="I86" s="225"/>
      <c r="J86" s="225"/>
    </row>
    <row r="87" spans="1:10" hidden="1" x14ac:dyDescent="0.2">
      <c r="A87" s="1">
        <v>81</v>
      </c>
      <c r="B87" s="297" t="s">
        <v>1038</v>
      </c>
      <c r="C87" s="225"/>
      <c r="D87" s="225"/>
      <c r="E87" s="225"/>
      <c r="F87" s="225"/>
      <c r="G87" s="225"/>
      <c r="H87" s="225"/>
      <c r="I87" s="225"/>
      <c r="J87" s="225"/>
    </row>
    <row r="88" spans="1:10" hidden="1" x14ac:dyDescent="0.2">
      <c r="A88" s="1">
        <v>82</v>
      </c>
      <c r="B88" s="297" t="s">
        <v>595</v>
      </c>
      <c r="C88" s="225"/>
      <c r="D88" s="225"/>
      <c r="E88" s="225"/>
      <c r="F88" s="225"/>
      <c r="G88" s="225"/>
      <c r="H88" s="225"/>
      <c r="I88" s="225"/>
      <c r="J88" s="225"/>
    </row>
    <row r="89" spans="1:10" hidden="1" x14ac:dyDescent="0.2">
      <c r="A89" s="1">
        <v>83</v>
      </c>
      <c r="B89" s="297" t="s">
        <v>1039</v>
      </c>
      <c r="C89" s="225"/>
      <c r="D89" s="225"/>
      <c r="E89" s="225"/>
      <c r="F89" s="225"/>
      <c r="G89" s="225"/>
      <c r="H89" s="225"/>
      <c r="I89" s="225"/>
      <c r="J89" s="225"/>
    </row>
    <row r="90" spans="1:10" hidden="1" x14ac:dyDescent="0.2">
      <c r="A90" s="1">
        <v>84</v>
      </c>
      <c r="B90" s="297" t="s">
        <v>1040</v>
      </c>
      <c r="C90" s="225"/>
      <c r="D90" s="225"/>
      <c r="E90" s="225"/>
      <c r="F90" s="225"/>
      <c r="G90" s="225"/>
      <c r="H90" s="225"/>
      <c r="I90" s="225"/>
      <c r="J90" s="225"/>
    </row>
    <row r="91" spans="1:10" hidden="1" x14ac:dyDescent="0.2">
      <c r="A91" s="1">
        <v>85</v>
      </c>
      <c r="B91" s="297" t="s">
        <v>1041</v>
      </c>
      <c r="C91" s="225"/>
      <c r="D91" s="225"/>
      <c r="E91" s="225"/>
      <c r="F91" s="225"/>
      <c r="G91" s="225"/>
      <c r="H91" s="225"/>
      <c r="I91" s="225"/>
      <c r="J91" s="225"/>
    </row>
    <row r="92" spans="1:10" hidden="1" x14ac:dyDescent="0.2">
      <c r="A92" s="1">
        <v>86</v>
      </c>
      <c r="B92" s="297" t="s">
        <v>1042</v>
      </c>
      <c r="C92" s="225"/>
      <c r="D92" s="225"/>
      <c r="E92" s="225"/>
      <c r="F92" s="225"/>
      <c r="G92" s="225"/>
      <c r="H92" s="225"/>
      <c r="I92" s="225"/>
      <c r="J92" s="225"/>
    </row>
    <row r="93" spans="1:10" s="325" customFormat="1" ht="15.75" x14ac:dyDescent="0.25">
      <c r="A93" s="1">
        <v>87</v>
      </c>
      <c r="B93" s="297" t="s">
        <v>1043</v>
      </c>
      <c r="C93" s="322">
        <v>0</v>
      </c>
      <c r="D93" s="322">
        <v>4</v>
      </c>
      <c r="E93" s="323"/>
      <c r="F93" s="322"/>
      <c r="G93" s="322">
        <v>2</v>
      </c>
      <c r="H93" s="323"/>
      <c r="I93" s="323"/>
      <c r="J93" s="323"/>
    </row>
    <row r="94" spans="1:10" ht="15.75" hidden="1" customHeight="1" x14ac:dyDescent="0.2">
      <c r="A94" s="408" t="s">
        <v>1044</v>
      </c>
      <c r="B94" s="408"/>
      <c r="C94" s="225"/>
      <c r="D94" s="225"/>
      <c r="E94" s="225"/>
      <c r="F94" s="225"/>
      <c r="G94" s="225"/>
      <c r="H94" s="225"/>
      <c r="I94" s="225"/>
      <c r="J94" s="225"/>
    </row>
    <row r="95" spans="1:10" hidden="1" x14ac:dyDescent="0.2">
      <c r="A95" s="224">
        <v>1</v>
      </c>
      <c r="B95" s="224" t="s">
        <v>1045</v>
      </c>
      <c r="C95" s="225"/>
      <c r="D95" s="225"/>
      <c r="E95" s="225"/>
      <c r="F95" s="225"/>
      <c r="G95" s="225"/>
      <c r="H95" s="225"/>
      <c r="I95" s="225"/>
      <c r="J95" s="225"/>
    </row>
    <row r="96" spans="1:10" ht="15.75" hidden="1" x14ac:dyDescent="0.25">
      <c r="A96" s="417" t="s">
        <v>596</v>
      </c>
      <c r="B96" s="418"/>
      <c r="C96" s="300"/>
      <c r="D96" s="300"/>
      <c r="E96" s="300"/>
      <c r="F96" s="300"/>
      <c r="G96" s="300"/>
      <c r="H96" s="300"/>
      <c r="I96" s="300"/>
      <c r="J96" s="300"/>
    </row>
    <row r="97" spans="1:10" ht="15.75" hidden="1" x14ac:dyDescent="0.25">
      <c r="A97" s="412" t="s">
        <v>1047</v>
      </c>
      <c r="B97" s="412"/>
      <c r="C97" s="412"/>
      <c r="D97" s="412"/>
      <c r="E97" s="412"/>
      <c r="F97" s="412"/>
      <c r="G97" s="412"/>
      <c r="H97" s="412"/>
      <c r="I97" s="412"/>
      <c r="J97" s="412"/>
    </row>
    <row r="98" spans="1:10" x14ac:dyDescent="0.2">
      <c r="A98" s="322">
        <v>1</v>
      </c>
      <c r="B98" s="80" t="s">
        <v>1048</v>
      </c>
      <c r="C98" s="322">
        <v>3</v>
      </c>
      <c r="D98" s="322">
        <v>3</v>
      </c>
      <c r="E98" s="322"/>
      <c r="F98" s="322"/>
      <c r="G98" s="322">
        <v>3</v>
      </c>
      <c r="H98" s="323"/>
      <c r="I98" s="323"/>
      <c r="J98" s="323"/>
    </row>
    <row r="99" spans="1:10" hidden="1" x14ac:dyDescent="0.2">
      <c r="A99" s="224">
        <v>2</v>
      </c>
      <c r="B99" s="80" t="s">
        <v>1049</v>
      </c>
      <c r="C99" s="225"/>
      <c r="D99" s="225"/>
      <c r="E99" s="225"/>
      <c r="F99" s="225"/>
      <c r="G99" s="225"/>
      <c r="H99" s="225"/>
      <c r="I99" s="225"/>
      <c r="J99" s="225"/>
    </row>
    <row r="100" spans="1:10" hidden="1" x14ac:dyDescent="0.2">
      <c r="A100" s="224">
        <v>3</v>
      </c>
      <c r="B100" s="80" t="s">
        <v>1050</v>
      </c>
      <c r="C100" s="225"/>
      <c r="D100" s="225"/>
      <c r="E100" s="225"/>
      <c r="F100" s="225"/>
      <c r="G100" s="225"/>
      <c r="H100" s="225"/>
      <c r="I100" s="225"/>
      <c r="J100" s="225"/>
    </row>
    <row r="101" spans="1:10" ht="30" hidden="1" x14ac:dyDescent="0.2">
      <c r="A101" s="224">
        <v>4</v>
      </c>
      <c r="B101" s="287" t="s">
        <v>1051</v>
      </c>
      <c r="C101" s="225"/>
      <c r="D101" s="225"/>
      <c r="E101" s="225"/>
      <c r="F101" s="225"/>
      <c r="G101" s="225"/>
      <c r="H101" s="225"/>
      <c r="I101" s="225"/>
      <c r="J101" s="225"/>
    </row>
    <row r="102" spans="1:10" hidden="1" x14ac:dyDescent="0.2">
      <c r="A102" s="224">
        <v>5</v>
      </c>
      <c r="B102" s="301" t="s">
        <v>1052</v>
      </c>
      <c r="C102" s="225"/>
      <c r="D102" s="225"/>
      <c r="E102" s="225"/>
      <c r="F102" s="225"/>
      <c r="G102" s="225"/>
      <c r="H102" s="225"/>
      <c r="I102" s="225"/>
      <c r="J102" s="225"/>
    </row>
    <row r="103" spans="1:10" hidden="1" x14ac:dyDescent="0.2">
      <c r="A103" s="224">
        <v>6</v>
      </c>
      <c r="B103" s="80" t="s">
        <v>637</v>
      </c>
      <c r="C103" s="225"/>
      <c r="D103" s="225"/>
      <c r="E103" s="225"/>
      <c r="F103" s="225"/>
      <c r="G103" s="225"/>
      <c r="H103" s="225"/>
      <c r="I103" s="225"/>
      <c r="J103" s="225"/>
    </row>
    <row r="104" spans="1:10" hidden="1" x14ac:dyDescent="0.2">
      <c r="A104" s="224">
        <v>7</v>
      </c>
      <c r="B104" s="80" t="s">
        <v>638</v>
      </c>
      <c r="C104" s="225"/>
      <c r="D104" s="225"/>
      <c r="E104" s="225"/>
      <c r="F104" s="225"/>
      <c r="G104" s="225"/>
      <c r="H104" s="225"/>
      <c r="I104" s="225"/>
      <c r="J104" s="225"/>
    </row>
    <row r="105" spans="1:10" hidden="1" x14ac:dyDescent="0.2">
      <c r="A105" s="224">
        <v>8</v>
      </c>
      <c r="B105" s="80" t="s">
        <v>1053</v>
      </c>
      <c r="C105" s="225"/>
      <c r="D105" s="225"/>
      <c r="E105" s="225"/>
      <c r="F105" s="225"/>
      <c r="G105" s="225"/>
      <c r="H105" s="225"/>
      <c r="I105" s="225"/>
      <c r="J105" s="225"/>
    </row>
    <row r="106" spans="1:10" hidden="1" x14ac:dyDescent="0.2">
      <c r="A106" s="224">
        <v>9</v>
      </c>
      <c r="B106" s="80" t="s">
        <v>1054</v>
      </c>
      <c r="C106" s="225"/>
      <c r="D106" s="225"/>
      <c r="E106" s="225"/>
      <c r="F106" s="225"/>
      <c r="G106" s="225"/>
      <c r="H106" s="225"/>
      <c r="I106" s="225"/>
      <c r="J106" s="225"/>
    </row>
    <row r="107" spans="1:10" hidden="1" x14ac:dyDescent="0.2">
      <c r="A107" s="224">
        <v>10</v>
      </c>
      <c r="B107" s="80" t="s">
        <v>1055</v>
      </c>
      <c r="C107" s="225"/>
      <c r="D107" s="225"/>
      <c r="E107" s="225"/>
      <c r="F107" s="225"/>
      <c r="G107" s="225"/>
      <c r="H107" s="225"/>
      <c r="I107" s="225"/>
      <c r="J107" s="225"/>
    </row>
    <row r="108" spans="1:10" hidden="1" x14ac:dyDescent="0.2">
      <c r="A108" s="224">
        <v>11</v>
      </c>
      <c r="B108" s="80" t="s">
        <v>1056</v>
      </c>
      <c r="C108" s="225"/>
      <c r="D108" s="225"/>
      <c r="E108" s="225"/>
      <c r="F108" s="225"/>
      <c r="G108" s="225"/>
      <c r="H108" s="225"/>
      <c r="I108" s="225"/>
      <c r="J108" s="225"/>
    </row>
    <row r="109" spans="1:10" hidden="1" x14ac:dyDescent="0.2">
      <c r="A109" s="224">
        <v>12</v>
      </c>
      <c r="B109" s="80" t="s">
        <v>1057</v>
      </c>
      <c r="C109" s="225"/>
      <c r="D109" s="225"/>
      <c r="E109" s="225"/>
      <c r="F109" s="225"/>
      <c r="G109" s="225"/>
      <c r="H109" s="225"/>
      <c r="I109" s="225"/>
      <c r="J109" s="225"/>
    </row>
    <row r="110" spans="1:10" ht="30" hidden="1" x14ac:dyDescent="0.2">
      <c r="A110" s="224">
        <v>13</v>
      </c>
      <c r="B110" s="49" t="s">
        <v>1058</v>
      </c>
      <c r="C110" s="225"/>
      <c r="D110" s="225"/>
      <c r="E110" s="225"/>
      <c r="F110" s="225"/>
      <c r="G110" s="225"/>
      <c r="H110" s="225"/>
      <c r="I110" s="225"/>
      <c r="J110" s="225"/>
    </row>
    <row r="111" spans="1:10" hidden="1" x14ac:dyDescent="0.2">
      <c r="A111" s="224">
        <v>14</v>
      </c>
      <c r="B111" s="80" t="s">
        <v>628</v>
      </c>
      <c r="C111" s="225"/>
      <c r="D111" s="225"/>
      <c r="E111" s="225"/>
      <c r="F111" s="225"/>
      <c r="G111" s="225"/>
      <c r="H111" s="225"/>
      <c r="I111" s="225"/>
      <c r="J111" s="225"/>
    </row>
    <row r="112" spans="1:10" hidden="1" x14ac:dyDescent="0.2">
      <c r="A112" s="224">
        <v>15</v>
      </c>
      <c r="B112" s="80" t="s">
        <v>1059</v>
      </c>
      <c r="C112" s="225"/>
      <c r="D112" s="225"/>
      <c r="E112" s="225"/>
      <c r="F112" s="225"/>
      <c r="G112" s="225"/>
      <c r="H112" s="225"/>
      <c r="I112" s="225"/>
      <c r="J112" s="225"/>
    </row>
    <row r="113" spans="1:10" hidden="1" x14ac:dyDescent="0.2">
      <c r="A113" s="224">
        <v>16</v>
      </c>
      <c r="B113" s="80" t="s">
        <v>352</v>
      </c>
      <c r="C113" s="225"/>
      <c r="D113" s="225"/>
      <c r="E113" s="225"/>
      <c r="F113" s="225"/>
      <c r="G113" s="225"/>
      <c r="H113" s="225"/>
      <c r="I113" s="225"/>
      <c r="J113" s="225"/>
    </row>
    <row r="114" spans="1:10" hidden="1" x14ac:dyDescent="0.2">
      <c r="A114" s="224">
        <v>17</v>
      </c>
      <c r="B114" s="80" t="s">
        <v>1060</v>
      </c>
      <c r="C114" s="225"/>
      <c r="D114" s="225"/>
      <c r="E114" s="225"/>
      <c r="F114" s="225"/>
      <c r="G114" s="225"/>
      <c r="H114" s="225"/>
      <c r="I114" s="225"/>
      <c r="J114" s="225"/>
    </row>
    <row r="115" spans="1:10" hidden="1" x14ac:dyDescent="0.2">
      <c r="A115" s="224">
        <v>18</v>
      </c>
      <c r="B115" s="80" t="s">
        <v>1061</v>
      </c>
      <c r="C115" s="225"/>
      <c r="D115" s="225"/>
      <c r="E115" s="225"/>
      <c r="F115" s="225"/>
      <c r="G115" s="225"/>
      <c r="H115" s="225"/>
      <c r="I115" s="225"/>
      <c r="J115" s="225"/>
    </row>
    <row r="116" spans="1:10" hidden="1" x14ac:dyDescent="0.2">
      <c r="A116" s="224">
        <v>19</v>
      </c>
      <c r="B116" s="80" t="s">
        <v>1062</v>
      </c>
      <c r="C116" s="225"/>
      <c r="D116" s="225"/>
      <c r="E116" s="225"/>
      <c r="F116" s="225"/>
      <c r="G116" s="225"/>
      <c r="H116" s="225"/>
      <c r="I116" s="225"/>
      <c r="J116" s="225"/>
    </row>
    <row r="117" spans="1:10" hidden="1" x14ac:dyDescent="0.2">
      <c r="A117" s="224">
        <v>20</v>
      </c>
      <c r="B117" s="80" t="s">
        <v>1063</v>
      </c>
      <c r="C117" s="225"/>
      <c r="D117" s="225"/>
      <c r="E117" s="225"/>
      <c r="F117" s="225"/>
      <c r="G117" s="225"/>
      <c r="H117" s="225"/>
      <c r="I117" s="225"/>
      <c r="J117" s="225"/>
    </row>
    <row r="118" spans="1:10" hidden="1" x14ac:dyDescent="0.2">
      <c r="A118" s="224">
        <v>21</v>
      </c>
      <c r="B118" s="80" t="s">
        <v>611</v>
      </c>
      <c r="C118" s="225"/>
      <c r="D118" s="225"/>
      <c r="E118" s="225"/>
      <c r="F118" s="225"/>
      <c r="G118" s="225"/>
      <c r="H118" s="225"/>
      <c r="I118" s="225"/>
      <c r="J118" s="225"/>
    </row>
    <row r="119" spans="1:10" hidden="1" x14ac:dyDescent="0.2">
      <c r="A119" s="224">
        <v>22</v>
      </c>
      <c r="B119" s="80" t="s">
        <v>1064</v>
      </c>
      <c r="C119" s="225"/>
      <c r="D119" s="225"/>
      <c r="E119" s="225"/>
      <c r="F119" s="225"/>
      <c r="G119" s="225"/>
      <c r="H119" s="225"/>
      <c r="I119" s="225"/>
      <c r="J119" s="225"/>
    </row>
    <row r="120" spans="1:10" hidden="1" x14ac:dyDescent="0.2">
      <c r="A120" s="224">
        <v>23</v>
      </c>
      <c r="B120" s="80" t="s">
        <v>1065</v>
      </c>
      <c r="C120" s="225"/>
      <c r="D120" s="225"/>
      <c r="E120" s="225"/>
      <c r="F120" s="225"/>
      <c r="G120" s="225"/>
      <c r="H120" s="225"/>
      <c r="I120" s="225"/>
      <c r="J120" s="225"/>
    </row>
    <row r="121" spans="1:10" hidden="1" x14ac:dyDescent="0.2">
      <c r="A121" s="224">
        <v>24</v>
      </c>
      <c r="B121" s="80" t="s">
        <v>1066</v>
      </c>
      <c r="C121" s="225"/>
      <c r="D121" s="225"/>
      <c r="E121" s="225"/>
      <c r="F121" s="225"/>
      <c r="G121" s="225"/>
      <c r="H121" s="225"/>
      <c r="I121" s="225"/>
      <c r="J121" s="225"/>
    </row>
    <row r="122" spans="1:10" hidden="1" x14ac:dyDescent="0.2">
      <c r="A122" s="224">
        <v>25</v>
      </c>
      <c r="B122" s="80" t="s">
        <v>1067</v>
      </c>
      <c r="C122" s="225"/>
      <c r="D122" s="225"/>
      <c r="E122" s="225"/>
      <c r="F122" s="225"/>
      <c r="G122" s="225"/>
      <c r="H122" s="225"/>
      <c r="I122" s="225"/>
      <c r="J122" s="225"/>
    </row>
    <row r="123" spans="1:10" ht="15.75" hidden="1" x14ac:dyDescent="0.25">
      <c r="A123" s="415" t="s">
        <v>596</v>
      </c>
      <c r="B123" s="416"/>
      <c r="C123" s="225"/>
      <c r="D123" s="225"/>
      <c r="E123" s="225"/>
      <c r="F123" s="225"/>
      <c r="G123" s="225"/>
      <c r="H123" s="225"/>
      <c r="I123" s="225"/>
      <c r="J123" s="225"/>
    </row>
  </sheetData>
  <autoFilter ref="A7:J123" xr:uid="{00000000-0009-0000-0000-000008000000}">
    <filterColumn colId="3">
      <customFilters>
        <customFilter operator="notEqual" val=" "/>
      </customFilters>
    </filterColumn>
  </autoFilter>
  <mergeCells count="13">
    <mergeCell ref="A97:J97"/>
    <mergeCell ref="A6:B6"/>
    <mergeCell ref="A123:B123"/>
    <mergeCell ref="A94:B94"/>
    <mergeCell ref="A96:B96"/>
    <mergeCell ref="A3:J3"/>
    <mergeCell ref="A4:A5"/>
    <mergeCell ref="B4:B5"/>
    <mergeCell ref="C4:D4"/>
    <mergeCell ref="E4:G4"/>
    <mergeCell ref="H4:H5"/>
    <mergeCell ref="I4:I5"/>
    <mergeCell ref="J4:J5"/>
  </mergeCells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view="pageBreakPreview" zoomScaleNormal="100" zoomScaleSheetLayoutView="100" workbookViewId="0">
      <pane ySplit="2" topLeftCell="A3" activePane="bottomLeft" state="frozen"/>
      <selection pane="bottomLeft" activeCell="D26" sqref="D26"/>
    </sheetView>
  </sheetViews>
  <sheetFormatPr defaultRowHeight="15" x14ac:dyDescent="0.2"/>
  <cols>
    <col min="1" max="1" width="9.28515625" style="299" customWidth="1"/>
    <col min="2" max="2" width="26.5703125" style="226" customWidth="1"/>
    <col min="3" max="4" width="12.28515625" style="226" customWidth="1"/>
    <col min="5" max="5" width="14.28515625" style="226" customWidth="1"/>
    <col min="6" max="7" width="10.85546875" style="226" customWidth="1"/>
    <col min="8" max="8" width="16" style="226" customWidth="1"/>
    <col min="9" max="9" width="14.42578125" style="226" customWidth="1"/>
    <col min="10" max="10" width="26" style="226" customWidth="1"/>
    <col min="11" max="11" width="9.140625" style="226"/>
    <col min="12" max="12" width="14.5703125" style="226" customWidth="1"/>
    <col min="13" max="16384" width="9.140625" style="226"/>
  </cols>
  <sheetData>
    <row r="1" spans="1:12" ht="15.75" x14ac:dyDescent="0.25">
      <c r="A1" s="218"/>
      <c r="B1" s="219"/>
      <c r="C1" s="218"/>
      <c r="D1" s="220"/>
      <c r="E1" s="220"/>
      <c r="F1" s="220"/>
      <c r="G1" s="220"/>
      <c r="H1" s="220"/>
      <c r="I1" s="220"/>
      <c r="J1" s="419" t="s">
        <v>1097</v>
      </c>
      <c r="K1" s="419"/>
      <c r="L1" s="419"/>
    </row>
    <row r="2" spans="1:12" ht="30.75" customHeight="1" x14ac:dyDescent="0.2">
      <c r="A2" s="420" t="s">
        <v>1098</v>
      </c>
      <c r="B2" s="420"/>
      <c r="C2" s="420"/>
      <c r="D2" s="420"/>
      <c r="E2" s="420"/>
      <c r="F2" s="420"/>
      <c r="G2" s="420"/>
      <c r="H2" s="420"/>
      <c r="I2" s="420"/>
      <c r="J2" s="420"/>
    </row>
    <row r="3" spans="1:12" ht="19.5" customHeight="1" x14ac:dyDescent="0.2">
      <c r="A3" s="377" t="s">
        <v>1099</v>
      </c>
      <c r="B3" s="377" t="s">
        <v>1100</v>
      </c>
      <c r="C3" s="421" t="s">
        <v>1109</v>
      </c>
      <c r="D3" s="422"/>
      <c r="E3" s="421" t="s">
        <v>1110</v>
      </c>
      <c r="F3" s="423"/>
      <c r="G3" s="423"/>
      <c r="H3" s="423"/>
      <c r="I3" s="422"/>
      <c r="J3" s="424" t="s">
        <v>1110</v>
      </c>
      <c r="K3" s="426" t="s">
        <v>1115</v>
      </c>
      <c r="L3" s="428" t="s">
        <v>1101</v>
      </c>
    </row>
    <row r="4" spans="1:12" ht="15.75" x14ac:dyDescent="0.2">
      <c r="A4" s="378"/>
      <c r="B4" s="378"/>
      <c r="C4" s="348" t="s">
        <v>1111</v>
      </c>
      <c r="D4" s="348" t="s">
        <v>1112</v>
      </c>
      <c r="E4" s="348" t="s">
        <v>36</v>
      </c>
      <c r="F4" s="348" t="s">
        <v>29</v>
      </c>
      <c r="G4" s="348" t="s">
        <v>1113</v>
      </c>
      <c r="H4" s="348" t="s">
        <v>39</v>
      </c>
      <c r="I4" s="348" t="s">
        <v>1114</v>
      </c>
      <c r="J4" s="425"/>
      <c r="K4" s="427"/>
      <c r="L4" s="429"/>
    </row>
    <row r="5" spans="1:12" ht="53.25" customHeight="1" x14ac:dyDescent="0.2">
      <c r="A5" s="72">
        <v>1</v>
      </c>
      <c r="B5" s="193" t="s">
        <v>1102</v>
      </c>
      <c r="C5" s="347" t="s">
        <v>1071</v>
      </c>
      <c r="D5" s="347" t="s">
        <v>1071</v>
      </c>
      <c r="E5" s="347"/>
      <c r="F5" s="347"/>
      <c r="G5" s="347"/>
      <c r="H5" s="347"/>
      <c r="I5" s="347"/>
      <c r="J5" s="347"/>
      <c r="K5" s="225"/>
      <c r="L5" s="225"/>
    </row>
    <row r="6" spans="1:12" ht="45" x14ac:dyDescent="0.2">
      <c r="A6" s="72">
        <v>2</v>
      </c>
      <c r="B6" s="349" t="s">
        <v>1103</v>
      </c>
      <c r="C6" s="347" t="s">
        <v>1071</v>
      </c>
      <c r="D6" s="347" t="s">
        <v>1071</v>
      </c>
      <c r="E6" s="347"/>
      <c r="F6" s="347"/>
      <c r="G6" s="347"/>
      <c r="H6" s="347"/>
      <c r="I6" s="347"/>
      <c r="J6" s="347"/>
      <c r="K6" s="225"/>
      <c r="L6" s="225"/>
    </row>
    <row r="7" spans="1:12" ht="30" x14ac:dyDescent="0.2">
      <c r="A7" s="72">
        <v>3</v>
      </c>
      <c r="B7" s="349" t="s">
        <v>1104</v>
      </c>
      <c r="C7" s="347" t="s">
        <v>1071</v>
      </c>
      <c r="D7" s="347" t="s">
        <v>1071</v>
      </c>
      <c r="E7" s="347"/>
      <c r="F7" s="347"/>
      <c r="G7" s="347"/>
      <c r="H7" s="347"/>
      <c r="I7" s="347"/>
      <c r="J7" s="347"/>
      <c r="K7" s="225"/>
      <c r="L7" s="225"/>
    </row>
    <row r="8" spans="1:12" ht="30" x14ac:dyDescent="0.2">
      <c r="A8" s="72">
        <v>4</v>
      </c>
      <c r="B8" s="193" t="s">
        <v>1105</v>
      </c>
      <c r="C8" s="347" t="s">
        <v>1071</v>
      </c>
      <c r="D8" s="347" t="s">
        <v>1071</v>
      </c>
      <c r="E8" s="347"/>
      <c r="F8" s="347"/>
      <c r="G8" s="347"/>
      <c r="H8" s="347"/>
      <c r="I8" s="347"/>
      <c r="J8" s="347"/>
      <c r="K8" s="225"/>
      <c r="L8" s="225"/>
    </row>
    <row r="9" spans="1:12" ht="30" x14ac:dyDescent="0.2">
      <c r="A9" s="72">
        <v>5</v>
      </c>
      <c r="B9" s="193" t="s">
        <v>1106</v>
      </c>
      <c r="C9" s="347" t="s">
        <v>1071</v>
      </c>
      <c r="D9" s="347" t="s">
        <v>1071</v>
      </c>
      <c r="E9" s="347"/>
      <c r="F9" s="347"/>
      <c r="G9" s="347"/>
      <c r="H9" s="347"/>
      <c r="I9" s="347"/>
      <c r="J9" s="347"/>
      <c r="K9" s="225"/>
      <c r="L9" s="225"/>
    </row>
    <row r="10" spans="1:12" ht="30" x14ac:dyDescent="0.2">
      <c r="A10" s="72">
        <v>6</v>
      </c>
      <c r="B10" s="193" t="s">
        <v>1107</v>
      </c>
      <c r="C10" s="347" t="s">
        <v>1071</v>
      </c>
      <c r="D10" s="347" t="s">
        <v>1071</v>
      </c>
      <c r="E10" s="347"/>
      <c r="F10" s="347"/>
      <c r="G10" s="347"/>
      <c r="H10" s="347"/>
      <c r="I10" s="347"/>
      <c r="J10" s="347"/>
      <c r="K10" s="225"/>
      <c r="L10" s="225"/>
    </row>
    <row r="11" spans="1:12" ht="30" x14ac:dyDescent="0.2">
      <c r="A11" s="72">
        <v>7</v>
      </c>
      <c r="B11" s="49" t="s">
        <v>1108</v>
      </c>
      <c r="C11" s="346" t="s">
        <v>1071</v>
      </c>
      <c r="D11" s="346" t="s">
        <v>1071</v>
      </c>
      <c r="E11" s="267"/>
      <c r="F11" s="267"/>
      <c r="G11" s="267"/>
      <c r="H11" s="267"/>
      <c r="I11" s="267"/>
      <c r="J11" s="267"/>
      <c r="K11" s="225"/>
      <c r="L11" s="225"/>
    </row>
  </sheetData>
  <mergeCells count="9">
    <mergeCell ref="J1:L1"/>
    <mergeCell ref="A2:J2"/>
    <mergeCell ref="C3:D3"/>
    <mergeCell ref="E3:I3"/>
    <mergeCell ref="J3:J4"/>
    <mergeCell ref="K3:K4"/>
    <mergeCell ref="L3:L4"/>
    <mergeCell ref="B3:B4"/>
    <mergeCell ref="A3:A4"/>
  </mergeCells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Appx A (A veh)  </vt:lpstr>
      <vt:lpstr>Appx A (B veh)</vt:lpstr>
      <vt:lpstr>Appx A (C veh),</vt:lpstr>
      <vt:lpstr>Appx B</vt:lpstr>
      <vt:lpstr>Appx C</vt:lpstr>
      <vt:lpstr>Appx D</vt:lpstr>
      <vt:lpstr>Appx E</vt:lpstr>
      <vt:lpstr>Appx F</vt:lpstr>
      <vt:lpstr>Appx G </vt:lpstr>
      <vt:lpstr>CBRN</vt:lpstr>
      <vt:lpstr>'Appx A (A veh)  '!Print_Area</vt:lpstr>
      <vt:lpstr>'Appx A (B veh)'!Print_Area</vt:lpstr>
      <vt:lpstr>'Appx A (C veh),'!Print_Area</vt:lpstr>
      <vt:lpstr>'Appx B'!Print_Area</vt:lpstr>
      <vt:lpstr>'Appx C'!Print_Area</vt:lpstr>
      <vt:lpstr>'Appx D'!Print_Area</vt:lpstr>
      <vt:lpstr>'Appx E'!Print_Area</vt:lpstr>
      <vt:lpstr>'Appx F'!Print_Area</vt:lpstr>
      <vt:lpstr>'Appx G '!Print_Area</vt:lpstr>
      <vt:lpstr>CBRN!Print_Area</vt:lpstr>
      <vt:lpstr>'Appx A (A veh)  '!Print_Titles</vt:lpstr>
      <vt:lpstr>'Appx C'!Print_Titles</vt:lpstr>
      <vt:lpstr>'Appx D'!Print_Titles</vt:lpstr>
      <vt:lpstr>'Appx 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2026-03-05T07:58:40Z</dcterms:modified>
</cp:coreProperties>
</file>