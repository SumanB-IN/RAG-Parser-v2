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BA7BB7B1-8037-4420-B163-6EE5F999A3B7}" xr6:coauthVersionLast="47" xr6:coauthVersionMax="47" xr10:uidLastSave="{00000000-0000-0000-0000-000000000000}"/>
  <bookViews>
    <workbookView xWindow="3510" yWindow="3510" windowWidth="21600" windowHeight="11385" tabRatio="876" activeTab="1" xr2:uid="{00000000-000D-0000-FFFF-FFFF00000000}"/>
  </bookViews>
  <sheets>
    <sheet name="Appx B (B veh)" sheetId="19" r:id="rId1"/>
    <sheet name="Appx C C veh)" sheetId="24" r:id="rId2"/>
    <sheet name="App E (Armt" sheetId="25" r:id="rId3"/>
    <sheet name="Appx F (SA)" sheetId="3" r:id="rId4"/>
    <sheet name="Appx H (Inst)" sheetId="5" r:id="rId5"/>
  </sheets>
  <definedNames>
    <definedName name="_xlnm._FilterDatabase" localSheetId="0" hidden="1">'Appx B (B veh)'!$A$2:$J$108</definedName>
    <definedName name="_xlnm.Print_Area" localSheetId="2">'App E (Armt'!$A$1:$T$26</definedName>
    <definedName name="_xlnm.Print_Area" localSheetId="0">'Appx B (B veh)'!$A$1:$J$108</definedName>
    <definedName name="_xlnm.Print_Area" localSheetId="1">'Appx C C veh)'!$A$1:$O$23</definedName>
    <definedName name="_xlnm.Print_Area" localSheetId="3">'Appx F (SA)'!$A$1:$Q$27</definedName>
    <definedName name="_xlnm.Print_Area" localSheetId="4">'Appx H (Inst)'!$A$1:$P$25</definedName>
    <definedName name="_xlnm.Print_Titles" localSheetId="2">'App E (Armt'!$2:$4</definedName>
    <definedName name="_xlnm.Print_Titles" localSheetId="0">'Appx B (B veh)'!$2:$3</definedName>
    <definedName name="_xlnm.Print_Titles" localSheetId="1">'Appx C C veh)'!$2:$4</definedName>
    <definedName name="_xlnm.Print_Titles" localSheetId="3">'Appx F (SA)'!$2:$3</definedName>
    <definedName name="_xlnm.Print_Titles" localSheetId="4">'Appx H (Inst)'!$2:$3</definedName>
  </definedNames>
  <calcPr calcId="191029"/>
  <fileRecoveryPr autoRecover="0"/>
</workbook>
</file>

<file path=xl/calcChain.xml><?xml version="1.0" encoding="utf-8"?>
<calcChain xmlns="http://schemas.openxmlformats.org/spreadsheetml/2006/main">
  <c r="L24" i="3" l="1"/>
  <c r="M20" i="5" l="1"/>
  <c r="O20" i="5"/>
  <c r="K25" i="5"/>
  <c r="S26" i="25" l="1"/>
  <c r="Q26" i="25"/>
  <c r="P26" i="25"/>
  <c r="O26" i="25"/>
  <c r="R26" i="25" s="1"/>
  <c r="S25" i="25"/>
  <c r="R25" i="25"/>
  <c r="Q25" i="25"/>
  <c r="P25" i="25"/>
  <c r="S24" i="25"/>
  <c r="R24" i="25"/>
  <c r="Q24" i="25"/>
  <c r="P24" i="25"/>
  <c r="S23" i="25"/>
  <c r="R23" i="25"/>
  <c r="Q23" i="25"/>
  <c r="O21" i="25"/>
  <c r="O20" i="25"/>
  <c r="O19" i="25"/>
  <c r="O18" i="25"/>
  <c r="O17" i="25"/>
  <c r="O16" i="25"/>
  <c r="O15" i="25"/>
  <c r="O14" i="25"/>
  <c r="O13" i="25"/>
  <c r="O12" i="25"/>
  <c r="O11" i="25"/>
  <c r="O10" i="25"/>
  <c r="O9" i="25"/>
  <c r="O8" i="25"/>
  <c r="O7" i="25"/>
  <c r="O6" i="25"/>
  <c r="N14" i="24"/>
  <c r="N13" i="24"/>
  <c r="N9" i="24"/>
  <c r="N7" i="24"/>
  <c r="N6" i="24"/>
  <c r="O18" i="5" l="1"/>
  <c r="O19" i="5"/>
  <c r="M24" i="5" l="1"/>
  <c r="M22" i="5" l="1"/>
  <c r="L22" i="5"/>
  <c r="K8" i="5" l="1"/>
  <c r="O12" i="5" l="1"/>
  <c r="P25" i="3" l="1"/>
  <c r="P27" i="3"/>
  <c r="I20" i="5" l="1"/>
  <c r="L20" i="5" s="1"/>
  <c r="I18" i="5" l="1"/>
  <c r="K18" i="5" s="1"/>
  <c r="I24" i="5"/>
  <c r="O24" i="3"/>
  <c r="K24" i="5" l="1"/>
  <c r="N24" i="5" s="1"/>
  <c r="L24" i="5"/>
  <c r="K21" i="5" l="1"/>
  <c r="P14" i="3" l="1"/>
  <c r="P24" i="3"/>
  <c r="K5" i="5"/>
  <c r="K6" i="5"/>
  <c r="N6" i="5" s="1"/>
  <c r="L6" i="5"/>
  <c r="M6" i="5"/>
  <c r="O6" i="5"/>
  <c r="K7" i="5"/>
  <c r="N7" i="5" s="1"/>
  <c r="L7" i="5"/>
  <c r="M7" i="5"/>
  <c r="O7" i="5"/>
  <c r="N8" i="5"/>
  <c r="L8" i="5"/>
  <c r="M8" i="5"/>
  <c r="O8" i="5"/>
  <c r="K9" i="5"/>
  <c r="K10" i="5"/>
  <c r="K11" i="5"/>
  <c r="N11" i="5" s="1"/>
  <c r="L11" i="5"/>
  <c r="M11" i="5"/>
  <c r="O11" i="5"/>
  <c r="K12" i="5"/>
  <c r="N12" i="5" s="1"/>
  <c r="L12" i="5"/>
  <c r="M12" i="5"/>
  <c r="K13" i="5"/>
  <c r="N13" i="5" s="1"/>
  <c r="L13" i="5"/>
  <c r="M13" i="5"/>
  <c r="O13" i="5"/>
  <c r="K14" i="5"/>
  <c r="K15" i="5"/>
  <c r="N15" i="5" s="1"/>
  <c r="L15" i="5"/>
  <c r="M15" i="5"/>
  <c r="O15" i="5"/>
  <c r="K16" i="5"/>
  <c r="N16" i="5" s="1"/>
  <c r="L16" i="5"/>
  <c r="M16" i="5"/>
  <c r="O16" i="5"/>
  <c r="K17" i="5"/>
  <c r="N17" i="5" s="1"/>
  <c r="L17" i="5"/>
  <c r="M17" i="5"/>
  <c r="O17" i="5"/>
  <c r="N18" i="5"/>
  <c r="L18" i="5"/>
  <c r="M18" i="5"/>
  <c r="K19" i="5"/>
  <c r="N19" i="5" s="1"/>
  <c r="L19" i="5"/>
  <c r="M19" i="5"/>
  <c r="K20" i="5"/>
  <c r="N20" i="5" s="1"/>
  <c r="N21" i="5"/>
  <c r="L21" i="5"/>
  <c r="M21" i="5"/>
  <c r="O21" i="5"/>
  <c r="K22" i="5"/>
  <c r="N22" i="5" s="1"/>
  <c r="K23" i="5"/>
  <c r="N23" i="5" s="1"/>
  <c r="L23" i="5"/>
  <c r="M23" i="5"/>
  <c r="O23" i="5"/>
  <c r="N25" i="5"/>
  <c r="L25" i="5"/>
  <c r="M25" i="5"/>
  <c r="O25" i="5"/>
  <c r="N11" i="3"/>
  <c r="N14" i="3"/>
  <c r="N24" i="3"/>
  <c r="N25" i="3"/>
  <c r="N27" i="3"/>
  <c r="M11" i="3"/>
  <c r="M14" i="3"/>
  <c r="M24" i="3"/>
  <c r="M25" i="3"/>
  <c r="M27" i="3"/>
  <c r="L7" i="3"/>
  <c r="L8" i="3"/>
  <c r="L9" i="3"/>
  <c r="L10" i="3"/>
  <c r="L12" i="3"/>
  <c r="L13" i="3"/>
  <c r="L14" i="3"/>
  <c r="O14" i="3" s="1"/>
  <c r="L15" i="3"/>
  <c r="L16" i="3"/>
  <c r="L17" i="3"/>
  <c r="L18" i="3"/>
  <c r="L19" i="3"/>
  <c r="L20" i="3"/>
  <c r="L21" i="3"/>
  <c r="L22" i="3"/>
  <c r="L23" i="3"/>
  <c r="L25" i="3"/>
  <c r="O25" i="3" s="1"/>
  <c r="L26" i="3"/>
  <c r="L27" i="3"/>
  <c r="O27" i="3" s="1"/>
  <c r="L6" i="3"/>
</calcChain>
</file>

<file path=xl/sharedStrings.xml><?xml version="1.0" encoding="utf-8"?>
<sst xmlns="http://schemas.openxmlformats.org/spreadsheetml/2006/main" count="532" uniqueCount="272">
  <si>
    <t>Ser</t>
  </si>
  <si>
    <t>(i)</t>
  </si>
  <si>
    <t>(ii)</t>
  </si>
  <si>
    <t>(iii)</t>
  </si>
  <si>
    <t>(iv)</t>
  </si>
  <si>
    <t>(v)</t>
  </si>
  <si>
    <t>(vi)</t>
  </si>
  <si>
    <t>(vii)</t>
  </si>
  <si>
    <t>(viii)</t>
  </si>
  <si>
    <t>(ix)</t>
  </si>
  <si>
    <t>(x)</t>
  </si>
  <si>
    <t>(xi)</t>
  </si>
  <si>
    <t>(xii)</t>
  </si>
  <si>
    <t>(xiii)</t>
  </si>
  <si>
    <t>Category (Make &amp; Type)</t>
  </si>
  <si>
    <t>Eng</t>
  </si>
  <si>
    <t xml:space="preserve">Make &amp; Eqpt </t>
  </si>
  <si>
    <t>Dependency</t>
  </si>
  <si>
    <t>Total NMC (Nos)</t>
  </si>
  <si>
    <t xml:space="preserve">PMC (Nos) 
</t>
  </si>
  <si>
    <t>FMC (Nos)</t>
  </si>
  <si>
    <t>NMC %</t>
  </si>
  <si>
    <t>PMC%</t>
  </si>
  <si>
    <t>FMC %</t>
  </si>
  <si>
    <t>Avl %</t>
  </si>
  <si>
    <t>Auth (UE)</t>
  </si>
  <si>
    <t>Held (UH)</t>
  </si>
  <si>
    <t>Spares</t>
  </si>
  <si>
    <t>OBE</t>
  </si>
  <si>
    <t>(xiv)</t>
  </si>
  <si>
    <t>(xv)</t>
  </si>
  <si>
    <t>NMC Due to</t>
  </si>
  <si>
    <t>PMC (Nos) 
(Due to OH)</t>
  </si>
  <si>
    <t>FMC</t>
  </si>
  <si>
    <t xml:space="preserve">Remarks </t>
  </si>
  <si>
    <t>MUA</t>
  </si>
  <si>
    <t>OH</t>
  </si>
  <si>
    <t>MR</t>
  </si>
  <si>
    <t>FR</t>
  </si>
  <si>
    <t>R4</t>
  </si>
  <si>
    <t>(xvi)</t>
  </si>
  <si>
    <t>(xvii)</t>
  </si>
  <si>
    <t>(xviii)</t>
  </si>
  <si>
    <t>(xix)</t>
  </si>
  <si>
    <t>(xx)</t>
  </si>
  <si>
    <t>Eng/Brl</t>
  </si>
  <si>
    <t xml:space="preserve"> Under OH / MR/R4/FR/ Base Repair</t>
  </si>
  <si>
    <t>WE Eqpt</t>
  </si>
  <si>
    <t xml:space="preserve">NMC due to </t>
  </si>
  <si>
    <t xml:space="preserve"> Under OH /R4/FR/  Base Repair</t>
  </si>
  <si>
    <t>Total</t>
  </si>
  <si>
    <t xml:space="preserve">        Remarks 
(To incl present loc of eqpt EOA)</t>
  </si>
  <si>
    <t>Fitted with Digicora Met Sys</t>
  </si>
  <si>
    <t>Issued with ETC</t>
  </si>
  <si>
    <t>-</t>
  </si>
  <si>
    <t xml:space="preserve">   </t>
  </si>
  <si>
    <t>Auth</t>
  </si>
  <si>
    <t>Held</t>
  </si>
  <si>
    <t>DRWO</t>
  </si>
  <si>
    <t>NMC (Nos)</t>
  </si>
  <si>
    <t>PMC (Nos)</t>
  </si>
  <si>
    <t>GS Vehs</t>
  </si>
  <si>
    <t>Special Vehs</t>
  </si>
  <si>
    <t>NMC Due To</t>
  </si>
  <si>
    <t>Ambulance Vehs</t>
  </si>
  <si>
    <t>Recovery Vehs</t>
  </si>
  <si>
    <t>Water Bowser</t>
  </si>
  <si>
    <t>NIV/CIV Pattern Vehs</t>
  </si>
  <si>
    <t>Trailer</t>
  </si>
  <si>
    <t>Misc Vehs</t>
  </si>
  <si>
    <t>PLANT AND MACHY EQPT</t>
  </si>
  <si>
    <t>Cl-V/ IV</t>
  </si>
  <si>
    <t>Fitted with Lrs &amp; Comd Post Veh</t>
  </si>
  <si>
    <t>Fitted with Comd Post Veh</t>
  </si>
  <si>
    <t>Fitted in LCR</t>
  </si>
  <si>
    <t>R4/Cl-V</t>
  </si>
  <si>
    <t>ALS (Lt Rec Veh)</t>
  </si>
  <si>
    <t>17*</t>
  </si>
  <si>
    <t>3*</t>
  </si>
  <si>
    <t>*03xALS based held in lieu (Digicora mtd)</t>
  </si>
  <si>
    <t>1*</t>
  </si>
  <si>
    <t>*ALS Med Amb 4x4 held in lieu</t>
  </si>
  <si>
    <t>*Held in lieu of 2.5 Ton Amb</t>
  </si>
  <si>
    <r>
      <t>1</t>
    </r>
    <r>
      <rPr>
        <b/>
        <vertAlign val="superscript"/>
        <sz val="11"/>
        <rFont val="Arial"/>
        <family val="2"/>
      </rPr>
      <t>#</t>
    </r>
  </si>
  <si>
    <r>
      <t>03* x Digicora mtd (held in lieu of HMV 4x4).</t>
    </r>
    <r>
      <rPr>
        <b/>
        <vertAlign val="superscript"/>
        <sz val="11"/>
        <rFont val="Arial"/>
        <family val="2"/>
      </rPr>
      <t xml:space="preserve">
</t>
    </r>
    <r>
      <rPr>
        <b/>
        <sz val="11"/>
        <rFont val="Arial"/>
        <family val="2"/>
      </rPr>
      <t>01</t>
    </r>
    <r>
      <rPr>
        <b/>
        <vertAlign val="superscript"/>
        <sz val="11"/>
        <rFont val="Arial"/>
        <family val="2"/>
      </rPr>
      <t>#</t>
    </r>
    <r>
      <rPr>
        <b/>
        <sz val="11"/>
        <rFont val="Arial"/>
        <family val="2"/>
      </rPr>
      <t xml:space="preserve"> x Downgraded to Cl-V. Being backloaded.</t>
    </r>
  </si>
  <si>
    <t>0*</t>
  </si>
  <si>
    <t>* 01x7.6KVA held in lieu (Welding Genr)</t>
  </si>
  <si>
    <t>* Held in lieu of 5.6 KW Charging Set  (Welding Genr)</t>
  </si>
  <si>
    <t>*Declared BER due to poor performance and no Output</t>
  </si>
  <si>
    <t>*Cyl head of air comp bkn (Under local purchase)</t>
  </si>
  <si>
    <t>FMN READINESS STATE OF 172 (I) FWC (PINAKA) FOR THE MONTH OF NOV 2025 : 'B' VEHS</t>
  </si>
  <si>
    <r>
      <t>*1+</t>
    </r>
    <r>
      <rPr>
        <b/>
        <vertAlign val="superscript"/>
        <sz val="11"/>
        <color rgb="FFFF0000"/>
        <rFont val="Arial"/>
        <family val="2"/>
      </rPr>
      <t>@</t>
    </r>
    <r>
      <rPr>
        <b/>
        <sz val="11"/>
        <color rgb="FFFF0000"/>
        <rFont val="Arial"/>
        <family val="2"/>
      </rPr>
      <t>1</t>
    </r>
  </si>
  <si>
    <t>Eng assy decl BER due to internal crack . Half eng assy &amp; Head Complete Cyl  demanded on 09 Oct 25</t>
  </si>
  <si>
    <t>FMN READINESS STATE OF 172 (I) FD WKSP COY (PINAKA) FOR THE MONTH OF NOV 2025 : 'C' VEHS</t>
  </si>
  <si>
    <t>FMN READINESS STATE OF 172 (I) FD WKSP COY (PINAKA) FOR THE MONTH OF NOV 2025  : ARMT</t>
  </si>
  <si>
    <t>FMN READINESS STATE OF 172 (I) FD WKSP COY (PINAKA) FOR THE MONTH OF NOV 2025 : SMALL ARMS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</si>
  <si>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</si>
  <si>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</si>
  <si>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</si>
  <si>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</si>
  <si>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</si>
  <si>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</si>
  <si>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</si>
  <si>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</si>
  <si>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</si>
  <si>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</si>
  <si>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</si>
  <si>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</si>
  <si>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</si>
  <si>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</si>
  <si>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</si>
  <si>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</si>
  <si>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</si>
  <si>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</si>
  <si>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</si>
  <si>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</si>
  <si>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</si>
  <si>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</si>
  <si>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</si>
  <si>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</si>
  <si>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</si>
  <si>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</si>
  <si>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</si>
  <si>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</si>
  <si>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</si>
  <si>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</si>
  <si>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</si>
  <si>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</si>
  <si>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</si>
  <si>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</si>
  <si>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</si>
  <si>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</si>
  <si>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</si>
  <si>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</si>
  <si>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</si>
  <si>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</si>
  <si>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</si>
  <si>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</si>
  <si>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</si>
  <si>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</si>
  <si>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</si>
  <si>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</si>
  <si>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</si>
  <si>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</si>
  <si>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</si>
  <si>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</si>
  <si>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</si>
  <si>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</si>
  <si>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</si>
  <si>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</si>
  <si>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</si>
  <si>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B57</t>
  </si>
  <si>
    <t>B58</t>
  </si>
  <si>
    <t>B59</t>
  </si>
  <si>
    <t>B60</t>
  </si>
  <si>
    <t>B61</t>
  </si>
  <si>
    <t>B62</t>
  </si>
  <si>
    <t>B64</t>
  </si>
  <si>
    <t>B65</t>
  </si>
  <si>
    <t>B67</t>
  </si>
  <si>
    <t>B69</t>
  </si>
  <si>
    <t>B70</t>
  </si>
  <si>
    <t>B71</t>
  </si>
  <si>
    <t>B72</t>
  </si>
  <si>
    <t>B73</t>
  </si>
  <si>
    <t>B74</t>
  </si>
  <si>
    <t>B75</t>
  </si>
  <si>
    <t>B76</t>
  </si>
  <si>
    <t>B77</t>
  </si>
  <si>
    <t>B78</t>
  </si>
  <si>
    <t>B79</t>
  </si>
  <si>
    <t>B80</t>
  </si>
  <si>
    <t>B81</t>
  </si>
  <si>
    <t>B82</t>
  </si>
  <si>
    <t>B83</t>
  </si>
  <si>
    <t>B84</t>
  </si>
  <si>
    <t>B85</t>
  </si>
  <si>
    <t>B87</t>
  </si>
  <si>
    <t>B89</t>
  </si>
  <si>
    <t>B90</t>
  </si>
  <si>
    <t>B91</t>
  </si>
  <si>
    <t>B92</t>
  </si>
  <si>
    <t>B93</t>
  </si>
  <si>
    <t>B94</t>
  </si>
  <si>
    <t>B95</t>
  </si>
  <si>
    <t>B96</t>
  </si>
  <si>
    <t>* 01 X LCR Crack on Chassis. DR raised on 20 Sep 22 J43atra 8x8 /EME Recap Sys-5 dt 28 Mar 2025. 
508 ABW intimated that the Chassis and associated spares are likely to besupplied by Nov 25 and the veh to be fwd to W6 for subject replacement vide letter No 70306/DRWO/P&amp;P dt 08 Nov 25.
The veh being fwd to W6.
@ 1 x Eng Assy of RV decl BER due to excessive wot in all cyl. New eng assy demanded on 27 Oct 25.</t>
  </si>
  <si>
    <t>C11</t>
  </si>
  <si>
    <t>C12</t>
  </si>
  <si>
    <t>C29</t>
  </si>
  <si>
    <t>C64</t>
  </si>
  <si>
    <t>C65</t>
  </si>
  <si>
    <t>C66</t>
  </si>
  <si>
    <t>C69</t>
  </si>
  <si>
    <t>C72</t>
  </si>
  <si>
    <t>C74</t>
  </si>
  <si>
    <t>C77</t>
  </si>
  <si>
    <t>C82</t>
  </si>
  <si>
    <t>C87</t>
  </si>
  <si>
    <t>C90</t>
  </si>
  <si>
    <t>C91</t>
  </si>
  <si>
    <t>C99</t>
  </si>
  <si>
    <t>C107</t>
  </si>
  <si>
    <t>C117</t>
  </si>
  <si>
    <t>C118</t>
  </si>
  <si>
    <t>D1</t>
  </si>
  <si>
    <t>D2</t>
  </si>
  <si>
    <t>D3</t>
  </si>
  <si>
    <t>D4</t>
  </si>
  <si>
    <t>D5</t>
  </si>
  <si>
    <t>D6</t>
  </si>
  <si>
    <t>D7</t>
  </si>
  <si>
    <t>D8</t>
  </si>
  <si>
    <t>D9</t>
  </si>
  <si>
    <t>D10</t>
  </si>
  <si>
    <t>D11</t>
  </si>
  <si>
    <t>D12</t>
  </si>
  <si>
    <t>D13</t>
  </si>
  <si>
    <t>D14</t>
  </si>
  <si>
    <t>D15</t>
  </si>
  <si>
    <t>D16</t>
  </si>
  <si>
    <t>D17</t>
  </si>
  <si>
    <t>D18</t>
  </si>
  <si>
    <t>D19</t>
  </si>
  <si>
    <t>D20</t>
  </si>
  <si>
    <t>D21</t>
  </si>
  <si>
    <t>*05 x Lrs PMC with details are as under:-
05 x Aux console UR at W3.                                                         
03 x Main Console UR at W3.
02 x SIGMA-30 UR at W3 
04 x SAU UR at W3
02 x LCU UR at W3
06 x Single Phase Bty Charger UR at W3</t>
  </si>
  <si>
    <t>01 x Single Phase Bty Charger UR at W3</t>
  </si>
  <si>
    <t>(a)  01 x LCR crack on chassis Defect Report raised as on 20 Sep 2022.
(b)  DR Closed by Min of Defance DQA (veh-6)  vide letter No 
DRWO fwd to W6 vide 172 (I) FWC (Pinaka) letter No 24503/DRWO/TC-26 dt 06 Jul 24.
(c)  Team of W6 &amp; M/s BEML is vis wef 25-27 Sep 24 to the unit loc for insp/ feasibility check of LCR BA 08E019847E in r/o replacement of chassis.
(d)  Assistance for dis-mtg/ mtg of TIL Crane sought by W6 vide letter No71001/Tech Misc/TC dt 09 Oct 2024. The wksp confirmed the avbl of LRV/ HRV vide letter No 71601/DR B Veh/TC-15 dt 14 Oct 2024.
(e)  Present status of the cse and confirmation of CIN with repair timelines from W6 vide letter No 71601/DR B Veh/TC-15 dt 18 Nov 2024 &amp; 13 Jan 2025. 
(f) OS Dte (OS-4) ‘R’ that the veh be despatched to OEM under the aegis of the concerned wksp rather than routing the veh through COD vide letter No 13711/APR/TATRA-69/OS-4F dt 14 Feb 25 recd vide 1841 Rkt Regt (Pinaka) letter No 50700/2/Q dt 26 Feb 25.
(g)  Dte Gen of EME (Recap Sys) dirn recd for replacement of chassis of LCR to be undertaken at W6 vide lettter No B 35739/Tatra 8x8 /EME Recap Sys-5 dt 28 Mar 2025.
(h) HQ 375 Arty Bde took up a case with HQ EC (EME) to issue CIN to feed the affected LCR to W6 vide letter No 303201/06/GS(SD) dt 05 May 2025.
(j) HQ MGS Br dir COD Dehu Road to update status on issue of Chassis &amp; 82 x Spares associated with LCR vide letter No 13711/APR/TATRA-69/OS-4F dt 16 May 2025.   
(k) W6 intimated that the Chassis and associated spares are likely to besupplied by Nov 25 and the veh to be fwd to W6 for subject replacement vide letter No 70306/DRWO/P&amp;P dt 08 Nov 25.
(l) The veh being fwd to W6</t>
  </si>
  <si>
    <t>S1</t>
  </si>
  <si>
    <t>S2</t>
  </si>
  <si>
    <t>S3</t>
  </si>
  <si>
    <t>S4</t>
  </si>
  <si>
    <t>S5</t>
  </si>
  <si>
    <t>S6</t>
  </si>
  <si>
    <t>S7</t>
  </si>
  <si>
    <t>S8</t>
  </si>
  <si>
    <t>S9</t>
  </si>
  <si>
    <t>S10</t>
  </si>
  <si>
    <t>S11</t>
  </si>
  <si>
    <t>S12</t>
  </si>
  <si>
    <t>S13</t>
  </si>
  <si>
    <t>S14</t>
  </si>
  <si>
    <t>S15</t>
  </si>
  <si>
    <t>S16</t>
  </si>
  <si>
    <t>S17</t>
  </si>
  <si>
    <t>S18</t>
  </si>
  <si>
    <t>S19</t>
  </si>
  <si>
    <t>S20</t>
  </si>
  <si>
    <t>S21</t>
  </si>
  <si>
    <t>S22</t>
  </si>
  <si>
    <t>T16</t>
  </si>
  <si>
    <t>T17</t>
  </si>
  <si>
    <t>T18</t>
  </si>
  <si>
    <t>T25</t>
  </si>
  <si>
    <t>T26</t>
  </si>
  <si>
    <t>T27</t>
  </si>
  <si>
    <t>T28</t>
  </si>
  <si>
    <t>T32</t>
  </si>
  <si>
    <t>T33</t>
  </si>
  <si>
    <t>T34</t>
  </si>
  <si>
    <t>T39</t>
  </si>
  <si>
    <t>T46</t>
  </si>
  <si>
    <t>T48</t>
  </si>
  <si>
    <t>T51</t>
  </si>
  <si>
    <t>T53</t>
  </si>
  <si>
    <t>T55</t>
  </si>
  <si>
    <t>T60</t>
  </si>
  <si>
    <t>T67</t>
  </si>
  <si>
    <t>T69</t>
  </si>
  <si>
    <t>T78</t>
  </si>
  <si>
    <t>T86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</si>
</sst>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name val="Arial"/>
      <family val="2"/>
    </font>
    <font>
      <sz val="11"/>
      <name val="Arial"/>
      <family val="2"/>
    </font>
    <font>
      <b/>
      <sz val="11"/>
      <name val="Arial"/>
      <family val="2"/>
    </font>
    <font>
      <sz val="10"/>
      <name val="Arial"/>
      <family val="2"/>
    </font>
    <font>
      <sz val="11"/>
      <color theme="1"/>
      <name val="Calibri"/>
      <family val="2"/>
      <scheme val="minor"/>
    </font>
    <font>
      <sz val="12"/>
      <color theme="1"/>
      <name val="Arial"/>
      <family val="2"/>
    </font>
    <font>
      <b/>
      <sz val="11"/>
      <color theme="1"/>
      <name val="Arial"/>
      <family val="2"/>
    </font>
    <font>
      <sz val="11"/>
      <color theme="1"/>
      <name val="Arial"/>
      <family val="2"/>
    </font>
    <font>
      <b/>
      <sz val="12"/>
      <color theme="1"/>
      <name val="Arial"/>
      <family val="2"/>
    </font>
    <font>
      <b/>
      <sz val="12"/>
      <name val="Arial"/>
      <family val="2"/>
    </font>
    <font>
      <sz val="12"/>
      <color theme="1" tint="0.14999847407452621"/>
      <name val="Arial"/>
      <family val="2"/>
    </font>
    <font>
      <b/>
      <u/>
      <sz val="12"/>
      <color theme="1" tint="0.14999847407452621"/>
      <name val="Arial"/>
      <family val="2"/>
    </font>
    <font>
      <b/>
      <sz val="12"/>
      <color theme="1" tint="0.14999847407452621"/>
      <name val="Arial"/>
      <family val="2"/>
    </font>
    <font>
      <b/>
      <u/>
      <sz val="12"/>
      <name val="Arial"/>
      <family val="2"/>
    </font>
    <font>
      <sz val="11"/>
      <name val="Calibri"/>
      <family val="2"/>
      <scheme val="minor"/>
    </font>
    <font>
      <b/>
      <sz val="11"/>
      <name val="Calibri"/>
      <family val="2"/>
      <scheme val="minor"/>
    </font>
    <font>
      <b/>
      <u/>
      <sz val="11"/>
      <name val="Arial"/>
      <family val="2"/>
    </font>
    <font>
      <sz val="12"/>
      <color rgb="FFFF0000"/>
      <name val="Arial"/>
      <family val="2"/>
    </font>
    <font>
      <b/>
      <sz val="14"/>
      <name val="Arial"/>
      <family val="2"/>
    </font>
    <font>
      <b/>
      <sz val="11"/>
      <color rgb="FFFF0000"/>
      <name val="Arial"/>
      <family val="2"/>
    </font>
    <font>
      <sz val="12"/>
      <color theme="1" tint="0.249977111117893"/>
      <name val="Arial"/>
      <family val="2"/>
    </font>
    <font>
      <b/>
      <sz val="12"/>
      <color rgb="FFFF0000"/>
      <name val="Arial"/>
      <family val="2"/>
    </font>
    <font>
      <sz val="14"/>
      <name val="Arial"/>
      <family val="2"/>
    </font>
    <font>
      <b/>
      <sz val="11"/>
      <color theme="1"/>
      <name val="Calibri"/>
      <family val="2"/>
      <scheme val="minor"/>
    </font>
    <font>
      <b/>
      <vertAlign val="superscript"/>
      <sz val="11"/>
      <name val="Arial"/>
      <family val="2"/>
    </font>
    <font>
      <sz val="8"/>
      <name val="Calibri"/>
      <family val="2"/>
      <scheme val="minor"/>
    </font>
    <font>
      <b/>
      <vertAlign val="superscript"/>
      <sz val="11"/>
      <color rgb="FFFF0000"/>
      <name val="Arial"/>
      <family val="2"/>
    </font>
    <font>
      <u/>
      <sz val="11"/>
      <color theme="10"/>
      <name val="Calibri"/>
      <family val="2"/>
      <scheme val="minor"/>
    </font>
    <font>
      <b/>
      <sz val="12"/>
      <color rgb="FF00B050"/>
      <name val="Arial"/>
      <family val="2"/>
    </font>
    <font>
      <sz val="12"/>
      <color rgb="FF00B050"/>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4" fillId="0" borderId="0"/>
    <xf numFmtId="0" fontId="4" fillId="0" borderId="0"/>
    <xf numFmtId="9" fontId="5" fillId="0" borderId="0" applyFont="0" applyFill="0" applyBorder="0" applyAlignment="0" applyProtection="0"/>
    <xf numFmtId="0" fontId="28" fillId="0" borderId="0" applyNumberFormat="0" applyFill="0" applyBorder="0" applyAlignment="0" applyProtection="0"/>
  </cellStyleXfs>
  <cellXfs count="212">
    <xf numFmtId="0" fontId="0" fillId="0" borderId="0" xfId="0"/>
    <xf numFmtId="0" fontId="10" fillId="2" borderId="1" xfId="0" applyFont="1" applyFill="1" applyBorder="1" applyAlignment="1">
      <alignment horizontal="center" vertical="center"/>
    </xf>
    <xf numFmtId="1" fontId="10" fillId="2" borderId="1" xfId="0"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xf>
    <xf numFmtId="0" fontId="15" fillId="2" borderId="0" xfId="0" applyFont="1" applyFill="1"/>
    <xf numFmtId="0" fontId="16" fillId="2" borderId="0" xfId="0" applyFont="1" applyFill="1"/>
    <xf numFmtId="0" fontId="3" fillId="0" borderId="1" xfId="0" applyFont="1" applyBorder="1" applyAlignment="1">
      <alignment horizontal="left" vertical="center" wrapText="1"/>
    </xf>
    <xf numFmtId="10" fontId="3" fillId="0" borderId="1" xfId="3" applyNumberFormat="1" applyFont="1" applyFill="1" applyBorder="1" applyAlignment="1" applyProtection="1">
      <alignment horizontal="center" vertical="center"/>
    </xf>
    <xf numFmtId="0" fontId="2" fillId="0" borderId="1" xfId="0" applyFont="1" applyBorder="1" applyAlignment="1" applyProtection="1">
      <alignment horizontal="center" vertical="center"/>
      <protection locked="0"/>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top"/>
    </xf>
    <xf numFmtId="0" fontId="2" fillId="0" borderId="0" xfId="0" applyFont="1" applyAlignment="1">
      <alignment horizontal="left" indent="2"/>
    </xf>
    <xf numFmtId="0" fontId="2" fillId="0" borderId="0" xfId="0" applyFont="1" applyAlignment="1">
      <alignment horizontal="left" vertical="top" wrapText="1"/>
    </xf>
    <xf numFmtId="0" fontId="3" fillId="0" borderId="1" xfId="0" applyFont="1" applyBorder="1" applyAlignment="1" applyProtection="1">
      <alignment vertical="top" wrapText="1"/>
      <protection locked="0"/>
    </xf>
    <xf numFmtId="0" fontId="3" fillId="0" borderId="0" xfId="0" applyFont="1" applyAlignment="1">
      <alignment horizontal="left" indent="2"/>
    </xf>
    <xf numFmtId="0" fontId="3" fillId="0" borderId="0" xfId="0" applyFont="1" applyAlignment="1" applyProtection="1">
      <alignment horizontal="center"/>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vertical="top" wrapText="1"/>
      <protection locked="0"/>
    </xf>
    <xf numFmtId="10" fontId="10" fillId="0" borderId="1" xfId="3" applyNumberFormat="1" applyFont="1" applyFill="1" applyBorder="1" applyAlignment="1" applyProtection="1">
      <alignment horizontal="center" vertical="center"/>
    </xf>
    <xf numFmtId="0" fontId="2" fillId="0" borderId="1" xfId="0" applyFont="1" applyBorder="1" applyAlignment="1">
      <alignment horizontal="center" vertical="top"/>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vertical="top" wrapText="1"/>
      <protection locked="0"/>
    </xf>
    <xf numFmtId="0" fontId="10" fillId="0" borderId="1" xfId="0" applyFont="1" applyBorder="1" applyAlignment="1">
      <alignment vertical="center" wrapText="1"/>
    </xf>
    <xf numFmtId="0" fontId="10" fillId="0" borderId="1" xfId="0" applyFont="1" applyBorder="1" applyAlignment="1" applyProtection="1">
      <alignment horizontal="center" vertical="center"/>
      <protection locked="0"/>
    </xf>
    <xf numFmtId="1" fontId="10" fillId="0" borderId="1" xfId="0" applyNumberFormat="1" applyFont="1" applyBorder="1" applyAlignment="1">
      <alignment horizontal="center" vertical="center" wrapText="1"/>
    </xf>
    <xf numFmtId="0" fontId="11" fillId="0" borderId="0" xfId="0" applyFont="1" applyAlignment="1">
      <alignment horizontal="center" vertical="top"/>
    </xf>
    <xf numFmtId="0" fontId="2" fillId="2" borderId="0" xfId="0" applyFont="1" applyFill="1" applyAlignment="1">
      <alignment horizontal="left" vertical="top"/>
    </xf>
    <xf numFmtId="0" fontId="2" fillId="2" borderId="1" xfId="0" applyFont="1" applyFill="1" applyBorder="1" applyAlignment="1">
      <alignment horizontal="left" indent="2"/>
    </xf>
    <xf numFmtId="0" fontId="2" fillId="2" borderId="0" xfId="0" applyFont="1" applyFill="1" applyAlignment="1">
      <alignment horizontal="left" indent="2"/>
    </xf>
    <xf numFmtId="0" fontId="3" fillId="2" borderId="1" xfId="0" applyFont="1" applyFill="1" applyBorder="1" applyAlignment="1" applyProtection="1">
      <alignment vertical="top" wrapText="1"/>
      <protection locked="0"/>
    </xf>
    <xf numFmtId="0" fontId="3" fillId="2" borderId="1" xfId="0" applyFont="1" applyFill="1" applyBorder="1" applyAlignment="1">
      <alignment vertical="top" wrapText="1"/>
    </xf>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pplyProtection="1">
      <alignment horizontal="center" vertical="center"/>
      <protection locked="0"/>
    </xf>
    <xf numFmtId="0" fontId="1" fillId="0" borderId="0" xfId="0" applyFont="1" applyAlignment="1">
      <alignment horizontal="left" indent="2"/>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pplyProtection="1">
      <alignment horizontal="center" vertical="center"/>
      <protection locked="0"/>
    </xf>
    <xf numFmtId="0" fontId="2" fillId="0" borderId="1" xfId="0" applyFont="1" applyBorder="1" applyAlignment="1">
      <alignment horizontal="left" indent="2"/>
    </xf>
    <xf numFmtId="0" fontId="2" fillId="0" borderId="5" xfId="0" applyFont="1" applyBorder="1" applyAlignment="1" applyProtection="1">
      <alignment horizontal="left" vertical="top" wrapText="1"/>
      <protection locked="0"/>
    </xf>
    <xf numFmtId="0" fontId="10" fillId="0" borderId="1" xfId="0" applyFont="1" applyBorder="1" applyAlignment="1">
      <alignment horizontal="center" vertical="center"/>
    </xf>
    <xf numFmtId="0" fontId="3" fillId="0" borderId="0" xfId="0" applyFont="1" applyAlignment="1">
      <alignment horizontal="center"/>
    </xf>
    <xf numFmtId="0" fontId="3" fillId="0" borderId="1" xfId="0" applyFont="1" applyBorder="1" applyAlignment="1">
      <alignment horizontal="center" vertical="top"/>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3" fillId="0" borderId="1" xfId="0" applyFont="1" applyBorder="1" applyAlignment="1">
      <alignment horizontal="left" indent="2"/>
    </xf>
    <xf numFmtId="0" fontId="16" fillId="0" borderId="1"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top"/>
    </xf>
    <xf numFmtId="0" fontId="3" fillId="0" borderId="1" xfId="0" applyFont="1" applyBorder="1" applyAlignment="1">
      <alignment horizontal="center" vertical="center" textRotation="90"/>
    </xf>
    <xf numFmtId="0" fontId="3" fillId="0" borderId="1" xfId="0" applyFont="1" applyBorder="1" applyAlignment="1">
      <alignment horizontal="center" vertical="center" textRotation="90" wrapText="1"/>
    </xf>
    <xf numFmtId="1" fontId="1" fillId="0" borderId="1" xfId="0" applyNumberFormat="1" applyFont="1" applyBorder="1" applyAlignment="1">
      <alignment horizontal="center" vertical="center" wrapText="1"/>
    </xf>
    <xf numFmtId="0" fontId="1" fillId="0" borderId="1" xfId="0" applyFont="1" applyBorder="1" applyAlignment="1" applyProtection="1">
      <alignment horizontal="left" indent="2"/>
      <protection locked="0"/>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vertical="top" wrapText="1"/>
      <protection locked="0"/>
    </xf>
    <xf numFmtId="0" fontId="1"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indent="2"/>
      <protection locked="0"/>
    </xf>
    <xf numFmtId="0" fontId="2" fillId="2" borderId="1" xfId="0" applyFont="1" applyFill="1" applyBorder="1" applyAlignment="1">
      <alignment horizontal="center" vertical="center"/>
    </xf>
    <xf numFmtId="0" fontId="2" fillId="0" borderId="1" xfId="0" applyFont="1" applyBorder="1" applyAlignment="1">
      <alignment horizontal="center" vertical="top" wrapText="1"/>
    </xf>
    <xf numFmtId="0" fontId="2" fillId="2" borderId="0" xfId="0" applyFont="1" applyFill="1" applyAlignment="1">
      <alignment horizontal="center" vertical="top"/>
    </xf>
    <xf numFmtId="0" fontId="3" fillId="2" borderId="1" xfId="0" applyFont="1" applyFill="1" applyBorder="1" applyAlignment="1">
      <alignment horizontal="center" vertical="center" textRotation="90"/>
    </xf>
    <xf numFmtId="0" fontId="3" fillId="2" borderId="1" xfId="0" applyFont="1" applyFill="1" applyBorder="1" applyAlignment="1">
      <alignment horizontal="center" vertical="center" textRotation="90" wrapText="1"/>
    </xf>
    <xf numFmtId="0" fontId="3" fillId="2" borderId="1" xfId="0" applyFont="1" applyFill="1" applyBorder="1" applyAlignment="1">
      <alignment horizontal="center" vertical="top"/>
    </xf>
    <xf numFmtId="0" fontId="3" fillId="2" borderId="0" xfId="0" applyFont="1" applyFill="1" applyAlignment="1">
      <alignment horizontal="center" vertical="top"/>
    </xf>
    <xf numFmtId="0" fontId="1" fillId="2" borderId="1" xfId="0" applyFont="1" applyFill="1" applyBorder="1" applyAlignment="1">
      <alignment horizontal="center" vertical="center" wrapText="1"/>
    </xf>
    <xf numFmtId="0" fontId="2" fillId="2" borderId="1" xfId="0" applyFont="1" applyFill="1" applyBorder="1" applyAlignment="1">
      <alignment vertical="top" wrapText="1"/>
    </xf>
    <xf numFmtId="0" fontId="3" fillId="2" borderId="1" xfId="0" applyFont="1" applyFill="1" applyBorder="1" applyAlignment="1">
      <alignment horizontal="left" indent="2"/>
    </xf>
    <xf numFmtId="0" fontId="3" fillId="2" borderId="1" xfId="0" applyFont="1" applyFill="1" applyBorder="1" applyAlignment="1">
      <alignment horizontal="left" vertical="center"/>
    </xf>
    <xf numFmtId="0" fontId="15" fillId="0" borderId="0" xfId="0" applyFont="1"/>
    <xf numFmtId="10" fontId="3" fillId="0" borderId="1" xfId="0" applyNumberFormat="1" applyFont="1" applyBorder="1" applyAlignment="1">
      <alignment horizontal="center" vertical="center"/>
    </xf>
    <xf numFmtId="0" fontId="3" fillId="2" borderId="2" xfId="0" applyFont="1" applyFill="1" applyBorder="1" applyAlignment="1">
      <alignment horizontal="center" vertical="center" wrapText="1"/>
    </xf>
    <xf numFmtId="0" fontId="3" fillId="0" borderId="1" xfId="0" applyFont="1" applyBorder="1" applyAlignment="1" applyProtection="1">
      <alignment horizontal="center" vertical="center"/>
      <protection locked="0"/>
    </xf>
    <xf numFmtId="0" fontId="3" fillId="2" borderId="1" xfId="0" applyFont="1" applyFill="1" applyBorder="1" applyAlignment="1" applyProtection="1">
      <alignment horizontal="center" vertical="center"/>
      <protection locked="0"/>
    </xf>
    <xf numFmtId="0" fontId="3" fillId="0" borderId="5" xfId="0" applyFont="1" applyBorder="1" applyAlignment="1" applyProtection="1">
      <alignment horizontal="left" vertical="top" wrapText="1"/>
      <protection locked="0"/>
    </xf>
    <xf numFmtId="0" fontId="11" fillId="0" borderId="0" xfId="0" applyFont="1" applyAlignment="1">
      <alignment horizontal="center"/>
    </xf>
    <xf numFmtId="0" fontId="11" fillId="0" borderId="0" xfId="0" applyFont="1" applyAlignment="1">
      <alignment horizontal="left" indent="2"/>
    </xf>
    <xf numFmtId="0" fontId="6" fillId="0" borderId="0" xfId="0" applyFont="1" applyAlignment="1">
      <alignment horizontal="left" indent="2"/>
    </xf>
    <xf numFmtId="0" fontId="9" fillId="0" borderId="0" xfId="0" applyFont="1" applyAlignment="1">
      <alignment horizontal="center" vertical="center"/>
    </xf>
    <xf numFmtId="0" fontId="13" fillId="0" borderId="1" xfId="0" applyFont="1" applyBorder="1" applyAlignment="1">
      <alignment horizontal="center" vertical="top"/>
    </xf>
    <xf numFmtId="0" fontId="9" fillId="0" borderId="0" xfId="0" applyFont="1" applyAlignment="1">
      <alignment horizontal="center"/>
    </xf>
    <xf numFmtId="0" fontId="11" fillId="0" borderId="1" xfId="0" applyFont="1" applyBorder="1" applyAlignment="1">
      <alignment horizontal="center" vertical="center" wrapText="1"/>
    </xf>
    <xf numFmtId="0" fontId="11" fillId="0" borderId="1" xfId="2" applyFont="1" applyBorder="1" applyAlignment="1">
      <alignment horizontal="left" vertical="center" wrapText="1"/>
    </xf>
    <xf numFmtId="0" fontId="11" fillId="0" borderId="1" xfId="0" applyFont="1" applyBorder="1" applyAlignment="1" applyProtection="1">
      <alignment horizontal="center" vertical="center" wrapText="1"/>
      <protection locked="0"/>
    </xf>
    <xf numFmtId="1" fontId="11" fillId="0" borderId="1" xfId="0" applyNumberFormat="1" applyFont="1" applyBorder="1" applyAlignment="1">
      <alignment horizontal="center" vertical="center" wrapText="1"/>
    </xf>
    <xf numFmtId="0" fontId="21" fillId="0" borderId="1" xfId="0" applyFont="1" applyBorder="1" applyAlignment="1">
      <alignment horizontal="center" vertical="center"/>
    </xf>
    <xf numFmtId="0" fontId="11" fillId="0" borderId="1" xfId="0" applyFont="1" applyBorder="1" applyAlignment="1" applyProtection="1">
      <alignment vertical="top" wrapText="1"/>
      <protection locked="0"/>
    </xf>
    <xf numFmtId="0" fontId="11" fillId="0" borderId="1" xfId="0" applyFont="1" applyBorder="1" applyAlignment="1" applyProtection="1">
      <alignment vertical="center" wrapText="1"/>
      <protection locked="0"/>
    </xf>
    <xf numFmtId="0" fontId="11" fillId="0" borderId="1" xfId="0" applyFont="1" applyBorder="1" applyAlignment="1">
      <alignment vertical="top" wrapText="1"/>
    </xf>
    <xf numFmtId="0" fontId="11" fillId="0" borderId="1" xfId="0" applyFont="1" applyBorder="1" applyAlignment="1" applyProtection="1">
      <alignment horizontal="left" wrapText="1"/>
      <protection locked="0"/>
    </xf>
    <xf numFmtId="0" fontId="11" fillId="0" borderId="1" xfId="0" applyFont="1" applyBorder="1" applyAlignment="1" applyProtection="1">
      <alignment horizontal="left" vertical="top" wrapText="1"/>
      <protection locked="0"/>
    </xf>
    <xf numFmtId="15" fontId="11" fillId="0" borderId="1" xfId="0" applyNumberFormat="1" applyFont="1" applyBorder="1" applyAlignment="1">
      <alignment horizontal="center" vertical="center" wrapText="1"/>
    </xf>
    <xf numFmtId="0" fontId="13" fillId="0" borderId="1" xfId="0" applyFont="1" applyBorder="1" applyAlignment="1" applyProtection="1">
      <alignment horizontal="center" vertical="center" wrapText="1"/>
      <protection locked="0"/>
    </xf>
    <xf numFmtId="1" fontId="13" fillId="0" borderId="1" xfId="0" applyNumberFormat="1" applyFont="1" applyBorder="1" applyAlignment="1">
      <alignment horizontal="center" vertical="center" wrapText="1"/>
    </xf>
    <xf numFmtId="0" fontId="11" fillId="0" borderId="1" xfId="0" applyFont="1" applyBorder="1" applyAlignment="1" applyProtection="1">
      <alignment horizontal="left" indent="2"/>
      <protection locked="0"/>
    </xf>
    <xf numFmtId="10" fontId="13" fillId="0" borderId="1" xfId="3" applyNumberFormat="1" applyFont="1" applyFill="1" applyBorder="1" applyAlignment="1" applyProtection="1">
      <alignment horizontal="center" vertical="center" wrapText="1"/>
    </xf>
    <xf numFmtId="0" fontId="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xf>
    <xf numFmtId="0" fontId="3" fillId="0" borderId="1" xfId="0" applyFont="1" applyBorder="1" applyAlignment="1">
      <alignment horizontal="center" vertical="center" wrapText="1"/>
    </xf>
    <xf numFmtId="1" fontId="9" fillId="2" borderId="1" xfId="0" applyNumberFormat="1" applyFont="1" applyFill="1" applyBorder="1" applyAlignment="1">
      <alignment horizontal="center" vertical="center" wrapText="1"/>
    </xf>
    <xf numFmtId="0" fontId="10" fillId="0" borderId="1" xfId="0" applyFont="1" applyBorder="1" applyAlignment="1" applyProtection="1">
      <alignment horizontal="center" vertical="center" wrapText="1"/>
      <protection locked="0"/>
    </xf>
    <xf numFmtId="10" fontId="10" fillId="0" borderId="1" xfId="3" applyNumberFormat="1" applyFont="1" applyFill="1" applyBorder="1" applyAlignment="1" applyProtection="1">
      <alignment horizontal="center" vertical="center" wrapText="1"/>
    </xf>
    <xf numFmtId="0" fontId="3" fillId="0" borderId="2" xfId="0" applyFont="1" applyBorder="1" applyAlignment="1">
      <alignment horizontal="center" vertical="top" wrapText="1"/>
    </xf>
    <xf numFmtId="0" fontId="3" fillId="2"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pplyProtection="1">
      <alignment horizontal="center" vertical="center"/>
      <protection locked="0"/>
    </xf>
    <xf numFmtId="0" fontId="7" fillId="0" borderId="1" xfId="0" applyFont="1" applyBorder="1" applyAlignment="1">
      <alignment horizontal="center" vertical="center" wrapText="1"/>
    </xf>
    <xf numFmtId="0" fontId="7" fillId="0" borderId="1" xfId="0" applyFont="1" applyBorder="1" applyAlignment="1" applyProtection="1">
      <alignment horizontal="left" vertical="top" wrapText="1"/>
      <protection locked="0"/>
    </xf>
    <xf numFmtId="0" fontId="7" fillId="0" borderId="0" xfId="0" applyFont="1" applyAlignment="1">
      <alignment horizontal="left" indent="2"/>
    </xf>
    <xf numFmtId="0" fontId="8" fillId="0" borderId="1" xfId="0" applyFont="1" applyBorder="1" applyAlignment="1">
      <alignment horizontal="center" vertical="center"/>
    </xf>
    <xf numFmtId="0" fontId="7" fillId="2" borderId="1" xfId="0" applyFont="1" applyFill="1" applyBorder="1" applyAlignment="1">
      <alignment horizontal="left" vertical="center" wrapText="1"/>
    </xf>
    <xf numFmtId="0" fontId="7" fillId="2" borderId="1" xfId="0" applyFont="1" applyFill="1" applyBorder="1" applyAlignment="1" applyProtection="1">
      <alignment horizontal="center" vertical="center"/>
      <protection locked="0"/>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pplyProtection="1">
      <alignment vertical="top"/>
      <protection locked="0"/>
    </xf>
    <xf numFmtId="0" fontId="23" fillId="0" borderId="1" xfId="0" applyFont="1" applyBorder="1" applyAlignment="1">
      <alignment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10" fontId="7" fillId="2" borderId="1" xfId="3" applyNumberFormat="1" applyFont="1" applyFill="1" applyBorder="1" applyAlignment="1" applyProtection="1">
      <alignment horizontal="center" vertical="center"/>
    </xf>
    <xf numFmtId="0" fontId="0" fillId="2" borderId="0" xfId="0" applyFill="1"/>
    <xf numFmtId="0" fontId="7" fillId="2" borderId="1" xfId="0" applyFont="1" applyFill="1" applyBorder="1" applyAlignment="1">
      <alignment horizontal="left" indent="2"/>
    </xf>
    <xf numFmtId="0" fontId="24" fillId="2" borderId="0" xfId="0" applyFont="1" applyFill="1"/>
    <xf numFmtId="0" fontId="16" fillId="2" borderId="1" xfId="0" applyFont="1" applyFill="1" applyBorder="1"/>
    <xf numFmtId="0" fontId="23" fillId="0" borderId="2" xfId="0" applyFont="1" applyBorder="1" applyAlignment="1">
      <alignment vertical="top" wrapText="1"/>
    </xf>
    <xf numFmtId="0" fontId="7" fillId="0" borderId="1" xfId="0" applyFont="1" applyBorder="1" applyAlignment="1" applyProtection="1">
      <alignment vertical="top" wrapText="1"/>
      <protection locked="0"/>
    </xf>
    <xf numFmtId="0" fontId="7" fillId="0" borderId="5" xfId="0" applyFont="1" applyBorder="1" applyAlignment="1" applyProtection="1">
      <alignment horizontal="left" vertical="center" wrapText="1"/>
      <protection locked="0"/>
    </xf>
    <xf numFmtId="0" fontId="7" fillId="0" borderId="0" xfId="0" applyFont="1" applyAlignment="1">
      <alignment horizontal="left" vertical="center"/>
    </xf>
    <xf numFmtId="0" fontId="0" fillId="2" borderId="0" xfId="0" applyFill="1" applyAlignment="1">
      <alignment vertical="center"/>
    </xf>
    <xf numFmtId="0" fontId="9" fillId="0" borderId="1" xfId="0" applyFont="1" applyBorder="1" applyAlignment="1">
      <alignment vertical="center" wrapText="1"/>
    </xf>
    <xf numFmtId="0" fontId="20" fillId="0" borderId="1" xfId="0" applyFont="1" applyBorder="1" applyAlignment="1" applyProtection="1">
      <alignment horizontal="center" vertical="center"/>
      <protection locked="0"/>
    </xf>
    <xf numFmtId="0" fontId="20" fillId="0" borderId="1" xfId="0" applyFont="1" applyBorder="1" applyAlignment="1">
      <alignment horizontal="center" vertical="center"/>
    </xf>
    <xf numFmtId="0" fontId="20" fillId="0" borderId="1" xfId="0" applyFont="1" applyBorder="1" applyAlignment="1">
      <alignment horizontal="left" vertical="center" wrapText="1"/>
    </xf>
    <xf numFmtId="0" fontId="20" fillId="0" borderId="0" xfId="0" applyFont="1" applyAlignment="1">
      <alignment horizontal="left" indent="2"/>
    </xf>
    <xf numFmtId="0" fontId="20" fillId="0" borderId="1" xfId="4" applyFont="1" applyFill="1" applyBorder="1" applyAlignment="1" applyProtection="1">
      <alignment horizontal="center" vertical="center"/>
      <protection locked="0"/>
    </xf>
    <xf numFmtId="0" fontId="22" fillId="2" borderId="1" xfId="0" applyFont="1" applyFill="1" applyBorder="1" applyAlignment="1">
      <alignment horizontal="center" vertical="center" wrapText="1"/>
    </xf>
    <xf numFmtId="0" fontId="22" fillId="2" borderId="1" xfId="0" applyFont="1" applyFill="1" applyBorder="1" applyAlignment="1" applyProtection="1">
      <alignment horizontal="center" vertical="center" wrapText="1"/>
      <protection locked="0"/>
    </xf>
    <xf numFmtId="1" fontId="22" fillId="2" borderId="1" xfId="0" applyNumberFormat="1" applyFont="1" applyFill="1" applyBorder="1" applyAlignment="1">
      <alignment horizontal="center" vertical="center" wrapText="1"/>
    </xf>
    <xf numFmtId="10" fontId="22" fillId="2" borderId="1" xfId="3" applyNumberFormat="1" applyFont="1" applyFill="1" applyBorder="1" applyAlignment="1" applyProtection="1">
      <alignment horizontal="center" vertical="center" wrapText="1"/>
    </xf>
    <xf numFmtId="0" fontId="22" fillId="2" borderId="1" xfId="0" applyFont="1" applyFill="1" applyBorder="1" applyAlignment="1">
      <alignment horizontal="left" vertical="center" wrapText="1"/>
    </xf>
    <xf numFmtId="0" fontId="18" fillId="2" borderId="0" xfId="0" applyFont="1" applyFill="1" applyAlignment="1">
      <alignment horizontal="left" vertical="top"/>
    </xf>
    <xf numFmtId="0" fontId="3" fillId="0" borderId="2" xfId="0" applyFont="1" applyBorder="1" applyAlignment="1">
      <alignment horizontal="center" vertical="center"/>
    </xf>
    <xf numFmtId="10" fontId="10" fillId="0" borderId="2" xfId="3" applyNumberFormat="1" applyFont="1" applyFill="1" applyBorder="1" applyAlignment="1" applyProtection="1">
      <alignment horizontal="center" vertical="center"/>
    </xf>
    <xf numFmtId="0" fontId="10"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29" fillId="2" borderId="1" xfId="0" applyFont="1" applyFill="1" applyBorder="1" applyAlignment="1">
      <alignment horizontal="left" vertical="center" wrapText="1"/>
    </xf>
    <xf numFmtId="0" fontId="14" fillId="2" borderId="12" xfId="0" applyFont="1" applyFill="1" applyBorder="1" applyAlignment="1">
      <alignment vertical="center"/>
    </xf>
    <xf numFmtId="0" fontId="30" fillId="2" borderId="1" xfId="0" applyFont="1" applyFill="1" applyBorder="1" applyAlignment="1">
      <alignment horizontal="left" vertical="center" wrapText="1"/>
    </xf>
    <xf numFmtId="0" fontId="29" fillId="2" borderId="1" xfId="0" applyFont="1" applyFill="1" applyBorder="1" applyAlignment="1">
      <alignment horizontal="left" vertical="top" wrapText="1"/>
    </xf>
    <xf numFmtId="0" fontId="1" fillId="2" borderId="0" xfId="0" applyFont="1" applyFill="1" applyAlignment="1">
      <alignment horizontal="left"/>
    </xf>
    <xf numFmtId="0" fontId="30" fillId="2" borderId="1" xfId="2" applyFont="1" applyFill="1" applyBorder="1" applyAlignment="1">
      <alignment horizontal="left" vertical="center" wrapText="1"/>
    </xf>
    <xf numFmtId="0" fontId="1" fillId="2" borderId="0" xfId="0" applyFont="1" applyFill="1" applyAlignment="1">
      <alignment horizontal="left" vertical="center"/>
    </xf>
    <xf numFmtId="0" fontId="10" fillId="0" borderId="2" xfId="0" applyFont="1" applyBorder="1" applyAlignment="1" applyProtection="1">
      <alignment vertical="center"/>
      <protection locked="0"/>
    </xf>
    <xf numFmtId="0" fontId="15" fillId="2" borderId="1" xfId="0" applyFont="1" applyFill="1" applyBorder="1" applyAlignment="1">
      <alignment horizontal="center" vertical="center"/>
    </xf>
    <xf numFmtId="0" fontId="10" fillId="0" borderId="6"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16" fillId="0" borderId="3" xfId="0" applyFont="1" applyBorder="1" applyAlignment="1">
      <alignment vertical="center"/>
    </xf>
    <xf numFmtId="0" fontId="3" fillId="0" borderId="3" xfId="0" applyFont="1" applyBorder="1" applyAlignment="1">
      <alignment horizontal="center" vertical="center" wrapText="1"/>
    </xf>
    <xf numFmtId="0" fontId="17" fillId="0" borderId="4" xfId="0" applyFont="1" applyBorder="1" applyAlignment="1">
      <alignment horizontal="left" vertical="center"/>
    </xf>
    <xf numFmtId="0" fontId="17" fillId="0" borderId="5" xfId="0" applyFont="1" applyBorder="1" applyAlignment="1">
      <alignment horizontal="left" vertical="center"/>
    </xf>
    <xf numFmtId="0" fontId="17" fillId="0" borderId="12" xfId="0" applyFont="1" applyBorder="1" applyAlignment="1">
      <alignment horizontal="left" vertical="center"/>
    </xf>
    <xf numFmtId="0" fontId="3" fillId="0" borderId="11" xfId="0" applyFont="1" applyBorder="1" applyAlignment="1">
      <alignment horizontal="center" vertical="center"/>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15" fillId="0" borderId="3" xfId="0" applyFont="1" applyBorder="1" applyAlignment="1">
      <alignment vertical="center"/>
    </xf>
    <xf numFmtId="0" fontId="17" fillId="0" borderId="4" xfId="0" applyFont="1" applyBorder="1" applyAlignment="1">
      <alignment horizontal="center" vertical="center"/>
    </xf>
    <xf numFmtId="0" fontId="17" fillId="0" borderId="12" xfId="0" applyFont="1" applyBorder="1" applyAlignment="1">
      <alignment horizontal="center" vertical="center"/>
    </xf>
    <xf numFmtId="0" fontId="17" fillId="0" borderId="5" xfId="0" applyFont="1" applyBorder="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xf>
    <xf numFmtId="0" fontId="12" fillId="0" borderId="4" xfId="0" applyFont="1" applyBorder="1" applyAlignment="1">
      <alignment horizontal="left" vertical="top"/>
    </xf>
    <xf numFmtId="0" fontId="12" fillId="0" borderId="5" xfId="0" applyFont="1" applyBorder="1" applyAlignment="1">
      <alignment horizontal="left" vertical="top"/>
    </xf>
    <xf numFmtId="0" fontId="1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3" xfId="0" applyFont="1" applyBorder="1" applyAlignment="1">
      <alignment horizontal="center" vertical="center" wrapText="1"/>
    </xf>
    <xf numFmtId="0" fontId="13" fillId="0" borderId="2" xfId="0" applyFont="1" applyBorder="1" applyAlignment="1">
      <alignment horizontal="center" vertical="center"/>
    </xf>
    <xf numFmtId="0" fontId="19" fillId="0" borderId="1" xfId="0" applyFont="1" applyBorder="1" applyAlignment="1">
      <alignment horizontal="center" vertical="top"/>
    </xf>
    <xf numFmtId="0" fontId="3" fillId="0" borderId="1" xfId="0" applyFont="1" applyBorder="1" applyAlignment="1">
      <alignment horizontal="center" vertical="center" wrapText="1"/>
    </xf>
    <xf numFmtId="0" fontId="9" fillId="2" borderId="1" xfId="0" applyFont="1" applyFill="1" applyBorder="1" applyAlignment="1">
      <alignment horizontal="lef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 fillId="2" borderId="1" xfId="0" applyFont="1" applyFill="1" applyBorder="1" applyAlignment="1">
      <alignment horizontal="left" vertical="top" wrapText="1"/>
    </xf>
    <xf numFmtId="0" fontId="9" fillId="2" borderId="4" xfId="0" applyFont="1" applyFill="1" applyBorder="1" applyAlignment="1">
      <alignment horizontal="justify" vertical="center" wrapText="1"/>
    </xf>
    <xf numFmtId="0" fontId="9" fillId="2" borderId="5" xfId="0" applyFont="1" applyFill="1" applyBorder="1" applyAlignment="1">
      <alignment horizontal="justify" vertical="center" wrapText="1"/>
    </xf>
    <xf numFmtId="0" fontId="1" fillId="2" borderId="1" xfId="0" applyFont="1" applyFill="1" applyBorder="1" applyAlignment="1">
      <alignment horizontal="justify" vertical="top" wrapText="1"/>
    </xf>
    <xf numFmtId="0" fontId="14" fillId="2" borderId="6" xfId="0" applyFont="1" applyFill="1" applyBorder="1" applyAlignment="1">
      <alignment horizontal="left" vertical="top"/>
    </xf>
    <xf numFmtId="0" fontId="10" fillId="2" borderId="6" xfId="0" applyFont="1" applyFill="1" applyBorder="1" applyAlignment="1">
      <alignment horizontal="left" vertical="top"/>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cellXfs>
  <cellStyles count="5">
    <cellStyle name="Hyperlink" xfId="4" builtinId="8"/>
    <cellStyle name="Normal" xfId="0" builtinId="0"/>
    <cellStyle name="Normal 2" xfId="1" xr:uid="{00000000-0005-0000-0000-000002000000}"/>
    <cellStyle name="Normal 4" xfId="2" xr:uid="{00000000-0005-0000-0000-000003000000}"/>
    <cellStyle name="Percent" xfId="3" builtinId="5"/>
  </cellStyles>
  <dxfs count="0"/>
  <tableStyles count="0" defaultTableStyle="TableStyleMedium9"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O174"/>
  <sheetViews>
    <sheetView view="pageBreakPreview" zoomScale="85" zoomScaleNormal="70" zoomScaleSheetLayoutView="85" workbookViewId="0">
      <pane ySplit="3" topLeftCell="A66" activePane="bottomLeft" state="frozen"/>
      <selection activeCell="A2" sqref="A2:O2"/>
      <selection pane="bottomLeft" activeCell="G7" sqref="G7"/>
    </sheetView>
  </sheetViews>
  <sheetFormatPr defaultRowHeight="15" x14ac:dyDescent="0.2"/>
  <cols>
    <col min="1" max="1" width="7" style="11" customWidth="1"/>
    <col min="2" max="2" width="48.5703125" style="153" customWidth="1"/>
    <col min="3" max="3" width="7.85546875" style="12" customWidth="1"/>
    <col min="4" max="4" width="7.42578125" style="12" customWidth="1"/>
    <col min="5" max="5" width="7.5703125" style="12" customWidth="1"/>
    <col min="6" max="6" width="7.7109375" style="12" customWidth="1"/>
    <col min="7" max="7" width="8.140625" style="12" customWidth="1"/>
    <col min="8" max="8" width="7.28515625" style="12" customWidth="1"/>
    <col min="9" max="9" width="8.28515625" style="12" customWidth="1"/>
    <col min="10" max="10" width="81.85546875" style="14" customWidth="1"/>
    <col min="11" max="16384" width="9.140625" style="13"/>
  </cols>
  <sheetData>
    <row r="1" spans="1:10" s="16" customFormat="1" ht="19.5" customHeight="1" x14ac:dyDescent="0.25">
      <c r="A1" s="158" t="s">
        <v>90</v>
      </c>
      <c r="B1" s="158"/>
      <c r="C1" s="158"/>
      <c r="D1" s="158"/>
      <c r="E1" s="158"/>
      <c r="F1" s="158"/>
      <c r="G1" s="158"/>
      <c r="H1" s="158"/>
      <c r="I1" s="158"/>
      <c r="J1" s="158"/>
    </row>
    <row r="2" spans="1:10" s="36" customFormat="1" ht="24" customHeight="1" x14ac:dyDescent="0.25">
      <c r="A2" s="159" t="s">
        <v>0</v>
      </c>
      <c r="B2" s="38" t="s">
        <v>14</v>
      </c>
      <c r="C2" s="161" t="s">
        <v>17</v>
      </c>
      <c r="D2" s="162"/>
      <c r="E2" s="163" t="s">
        <v>63</v>
      </c>
      <c r="F2" s="163"/>
      <c r="G2" s="163"/>
      <c r="H2" s="163"/>
      <c r="I2" s="164" t="s">
        <v>33</v>
      </c>
      <c r="J2" s="164" t="s">
        <v>34</v>
      </c>
    </row>
    <row r="3" spans="1:10" s="17" customFormat="1" ht="15.75" x14ac:dyDescent="0.25">
      <c r="A3" s="160"/>
      <c r="B3" s="147"/>
      <c r="C3" s="106" t="s">
        <v>56</v>
      </c>
      <c r="D3" s="106" t="s">
        <v>57</v>
      </c>
      <c r="E3" s="45" t="s">
        <v>35</v>
      </c>
      <c r="F3" s="45" t="s">
        <v>36</v>
      </c>
      <c r="G3" s="45" t="s">
        <v>75</v>
      </c>
      <c r="H3" s="45" t="s">
        <v>50</v>
      </c>
      <c r="I3" s="165"/>
      <c r="J3" s="166"/>
    </row>
    <row r="4" spans="1:10" s="17" customFormat="1" x14ac:dyDescent="0.25">
      <c r="A4" s="45" t="s">
        <v>1</v>
      </c>
      <c r="B4" s="67" t="s">
        <v>2</v>
      </c>
      <c r="C4" s="47" t="s">
        <v>3</v>
      </c>
      <c r="D4" s="47" t="s">
        <v>4</v>
      </c>
      <c r="E4" s="45" t="s">
        <v>5</v>
      </c>
      <c r="F4" s="45" t="s">
        <v>6</v>
      </c>
      <c r="G4" s="45" t="s">
        <v>7</v>
      </c>
      <c r="H4" s="45" t="s">
        <v>8</v>
      </c>
      <c r="I4" s="45" t="s">
        <v>9</v>
      </c>
      <c r="J4" s="47" t="s">
        <v>9</v>
      </c>
    </row>
    <row r="5" spans="1:10" s="11" customFormat="1" ht="15.75" customHeight="1" x14ac:dyDescent="0.2">
      <c r="A5" s="167" t="s">
        <v>61</v>
      </c>
      <c r="B5" s="168"/>
      <c r="C5" s="21"/>
      <c r="D5" s="21"/>
      <c r="E5" s="21"/>
      <c r="F5" s="21"/>
      <c r="G5" s="21"/>
      <c r="H5" s="21"/>
      <c r="I5" s="21"/>
      <c r="J5" s="61"/>
    </row>
    <row r="6" spans="1:10" s="16" customFormat="1" ht="30" x14ac:dyDescent="0.25">
      <c r="A6" s="46">
        <v>1</v>
      </c>
      <c r="B6" s="148" t="s">
        <v>96</v>
      </c>
      <c r="C6" s="74">
        <v>20</v>
      </c>
      <c r="D6" s="74">
        <v>10</v>
      </c>
      <c r="E6" s="74">
        <v>1</v>
      </c>
      <c r="F6" s="74">
        <v>0</v>
      </c>
      <c r="G6" s="74">
        <v>0</v>
      </c>
      <c r="H6" s="74">
        <v>1</v>
      </c>
      <c r="I6" s="74">
        <v>9</v>
      </c>
      <c r="J6" s="22" t="s">
        <v>92</v>
      </c>
    </row>
    <row r="7" spans="1:10" s="113" customFormat="1" x14ac:dyDescent="0.25">
      <c r="A7" s="108">
        <v>2</v>
      </c>
      <c r="B7" s="148" t="s">
        <v>97</v>
      </c>
      <c r="C7" s="110">
        <v>14</v>
      </c>
      <c r="D7" s="110">
        <v>9</v>
      </c>
      <c r="E7" s="110">
        <v>0</v>
      </c>
      <c r="F7" s="110">
        <v>0</v>
      </c>
      <c r="G7" s="110">
        <v>0</v>
      </c>
      <c r="H7" s="110">
        <v>0</v>
      </c>
      <c r="I7" s="108">
        <v>9</v>
      </c>
      <c r="J7" s="129"/>
    </row>
    <row r="8" spans="1:10" s="16" customFormat="1" ht="34.5" x14ac:dyDescent="0.25">
      <c r="A8" s="46">
        <v>3</v>
      </c>
      <c r="B8" s="148" t="s">
        <v>98</v>
      </c>
      <c r="C8" s="75">
        <v>17</v>
      </c>
      <c r="D8" s="75" t="s">
        <v>77</v>
      </c>
      <c r="E8" s="75">
        <v>0</v>
      </c>
      <c r="F8" s="75">
        <v>0</v>
      </c>
      <c r="G8" s="75" t="s">
        <v>83</v>
      </c>
      <c r="H8" s="75">
        <v>1</v>
      </c>
      <c r="I8" s="107">
        <v>16</v>
      </c>
      <c r="J8" s="31" t="s">
        <v>84</v>
      </c>
    </row>
    <row r="9" spans="1:10" ht="18" customHeight="1" x14ac:dyDescent="0.2">
      <c r="A9" s="9">
        <v>4</v>
      </c>
      <c r="B9" s="148" t="s">
        <v>99</v>
      </c>
      <c r="C9" s="8">
        <v>0</v>
      </c>
      <c r="D9" s="8">
        <v>0</v>
      </c>
      <c r="E9" s="8">
        <v>0</v>
      </c>
      <c r="F9" s="8">
        <v>0</v>
      </c>
      <c r="G9" s="8">
        <v>0</v>
      </c>
      <c r="H9" s="8">
        <v>0</v>
      </c>
      <c r="I9" s="9">
        <v>0</v>
      </c>
      <c r="J9" s="18"/>
    </row>
    <row r="10" spans="1:10" ht="18" customHeight="1" x14ac:dyDescent="0.2">
      <c r="A10" s="9">
        <v>5</v>
      </c>
      <c r="B10" s="148" t="s">
        <v>100</v>
      </c>
      <c r="C10" s="8">
        <v>0</v>
      </c>
      <c r="D10" s="8">
        <v>0</v>
      </c>
      <c r="E10" s="8">
        <v>0</v>
      </c>
      <c r="F10" s="8">
        <v>0</v>
      </c>
      <c r="G10" s="8">
        <v>0</v>
      </c>
      <c r="H10" s="8">
        <v>0</v>
      </c>
      <c r="I10" s="9">
        <v>0</v>
      </c>
      <c r="J10" s="18"/>
    </row>
    <row r="11" spans="1:10" ht="18" customHeight="1" x14ac:dyDescent="0.2">
      <c r="A11" s="9">
        <v>6</v>
      </c>
      <c r="B11" s="148" t="s">
        <v>101</v>
      </c>
      <c r="C11" s="8">
        <v>0</v>
      </c>
      <c r="D11" s="8">
        <v>0</v>
      </c>
      <c r="E11" s="8">
        <v>0</v>
      </c>
      <c r="F11" s="8">
        <v>0</v>
      </c>
      <c r="G11" s="8">
        <v>0</v>
      </c>
      <c r="H11" s="8">
        <v>0</v>
      </c>
      <c r="I11" s="9">
        <v>0</v>
      </c>
      <c r="J11" s="18"/>
    </row>
    <row r="12" spans="1:10" ht="18" customHeight="1" x14ac:dyDescent="0.2">
      <c r="A12" s="9">
        <v>7</v>
      </c>
      <c r="B12" s="148" t="s">
        <v>102</v>
      </c>
      <c r="C12" s="8">
        <v>0</v>
      </c>
      <c r="D12" s="8">
        <v>0</v>
      </c>
      <c r="E12" s="8">
        <v>0</v>
      </c>
      <c r="F12" s="8">
        <v>0</v>
      </c>
      <c r="G12" s="8">
        <v>0</v>
      </c>
      <c r="H12" s="8">
        <v>0</v>
      </c>
      <c r="I12" s="9">
        <v>0</v>
      </c>
      <c r="J12" s="18"/>
    </row>
    <row r="13" spans="1:10" ht="18" customHeight="1" x14ac:dyDescent="0.2">
      <c r="A13" s="9">
        <v>8</v>
      </c>
      <c r="B13" s="148" t="s">
        <v>103</v>
      </c>
      <c r="C13" s="8">
        <v>0</v>
      </c>
      <c r="D13" s="8">
        <v>0</v>
      </c>
      <c r="E13" s="8">
        <v>0</v>
      </c>
      <c r="F13" s="8">
        <v>0</v>
      </c>
      <c r="G13" s="8">
        <v>0</v>
      </c>
      <c r="H13" s="8">
        <v>0</v>
      </c>
      <c r="I13" s="9">
        <v>0</v>
      </c>
      <c r="J13" s="18"/>
    </row>
    <row r="14" spans="1:10" ht="18" customHeight="1" x14ac:dyDescent="0.2">
      <c r="A14" s="9">
        <v>9</v>
      </c>
      <c r="B14" s="148" t="s">
        <v>104</v>
      </c>
      <c r="C14" s="8">
        <v>0</v>
      </c>
      <c r="D14" s="8">
        <v>0</v>
      </c>
      <c r="E14" s="8">
        <v>0</v>
      </c>
      <c r="F14" s="8">
        <v>0</v>
      </c>
      <c r="G14" s="8">
        <v>0</v>
      </c>
      <c r="H14" s="8">
        <v>0</v>
      </c>
      <c r="I14" s="9">
        <v>0</v>
      </c>
      <c r="J14" s="18"/>
    </row>
    <row r="15" spans="1:10" ht="18" customHeight="1" x14ac:dyDescent="0.2">
      <c r="A15" s="9">
        <v>10</v>
      </c>
      <c r="B15" s="148" t="s">
        <v>105</v>
      </c>
      <c r="C15" s="8">
        <v>0</v>
      </c>
      <c r="D15" s="8">
        <v>0</v>
      </c>
      <c r="E15" s="8">
        <v>0</v>
      </c>
      <c r="F15" s="8">
        <v>0</v>
      </c>
      <c r="G15" s="8">
        <v>0</v>
      </c>
      <c r="H15" s="8">
        <v>0</v>
      </c>
      <c r="I15" s="9">
        <v>0</v>
      </c>
      <c r="J15" s="18"/>
    </row>
    <row r="16" spans="1:10" ht="18" customHeight="1" x14ac:dyDescent="0.2">
      <c r="A16" s="167" t="s">
        <v>62</v>
      </c>
      <c r="B16" s="169"/>
      <c r="C16" s="169"/>
      <c r="D16" s="169"/>
      <c r="E16" s="169"/>
      <c r="F16" s="169"/>
      <c r="G16" s="169"/>
      <c r="H16" s="169"/>
      <c r="I16" s="169"/>
      <c r="J16" s="168"/>
    </row>
    <row r="17" spans="1:10" ht="18" customHeight="1" x14ac:dyDescent="0.2">
      <c r="A17" s="9">
        <v>11</v>
      </c>
      <c r="B17" s="149" t="s">
        <v>106</v>
      </c>
      <c r="C17" s="8">
        <v>0</v>
      </c>
      <c r="D17" s="8">
        <v>0</v>
      </c>
      <c r="E17" s="8">
        <v>0</v>
      </c>
      <c r="F17" s="8">
        <v>0</v>
      </c>
      <c r="G17" s="8">
        <v>0</v>
      </c>
      <c r="H17" s="8">
        <v>0</v>
      </c>
      <c r="I17" s="9">
        <v>0</v>
      </c>
      <c r="J17" s="18"/>
    </row>
    <row r="18" spans="1:10" ht="18" customHeight="1" x14ac:dyDescent="0.2">
      <c r="A18" s="9">
        <v>12</v>
      </c>
      <c r="B18" s="149" t="s">
        <v>107</v>
      </c>
      <c r="C18" s="8">
        <v>0</v>
      </c>
      <c r="D18" s="8">
        <v>0</v>
      </c>
      <c r="E18" s="8">
        <v>0</v>
      </c>
      <c r="F18" s="8">
        <v>0</v>
      </c>
      <c r="G18" s="8">
        <v>0</v>
      </c>
      <c r="H18" s="8">
        <v>0</v>
      </c>
      <c r="I18" s="9">
        <v>0</v>
      </c>
      <c r="J18" s="18"/>
    </row>
    <row r="19" spans="1:10" ht="18" customHeight="1" x14ac:dyDescent="0.2">
      <c r="A19" s="9">
        <v>13</v>
      </c>
      <c r="B19" s="149" t="s">
        <v>108</v>
      </c>
      <c r="C19" s="8">
        <v>0</v>
      </c>
      <c r="D19" s="8">
        <v>0</v>
      </c>
      <c r="E19" s="8">
        <v>0</v>
      </c>
      <c r="F19" s="8">
        <v>0</v>
      </c>
      <c r="G19" s="8">
        <v>0</v>
      </c>
      <c r="H19" s="8">
        <v>0</v>
      </c>
      <c r="I19" s="9">
        <v>0</v>
      </c>
      <c r="J19" s="18"/>
    </row>
    <row r="20" spans="1:10" ht="18" customHeight="1" x14ac:dyDescent="0.2">
      <c r="A20" s="9">
        <v>14</v>
      </c>
      <c r="B20" s="149" t="s">
        <v>109</v>
      </c>
      <c r="C20" s="8">
        <v>0</v>
      </c>
      <c r="D20" s="8">
        <v>0</v>
      </c>
      <c r="E20" s="8">
        <v>0</v>
      </c>
      <c r="F20" s="8">
        <v>0</v>
      </c>
      <c r="G20" s="8">
        <v>0</v>
      </c>
      <c r="H20" s="8">
        <v>0</v>
      </c>
      <c r="I20" s="9">
        <v>0</v>
      </c>
      <c r="J20" s="18"/>
    </row>
    <row r="21" spans="1:10" ht="18" customHeight="1" x14ac:dyDescent="0.2">
      <c r="A21" s="9">
        <v>15</v>
      </c>
      <c r="B21" s="149" t="s">
        <v>110</v>
      </c>
      <c r="C21" s="8">
        <v>0</v>
      </c>
      <c r="D21" s="8">
        <v>0</v>
      </c>
      <c r="E21" s="8">
        <v>0</v>
      </c>
      <c r="F21" s="8">
        <v>0</v>
      </c>
      <c r="G21" s="8">
        <v>0</v>
      </c>
      <c r="H21" s="8">
        <v>0</v>
      </c>
      <c r="I21" s="9">
        <v>0</v>
      </c>
      <c r="J21" s="18"/>
    </row>
    <row r="22" spans="1:10" ht="18" customHeight="1" x14ac:dyDescent="0.2">
      <c r="A22" s="9">
        <v>16</v>
      </c>
      <c r="B22" s="149" t="s">
        <v>111</v>
      </c>
      <c r="C22" s="8">
        <v>0</v>
      </c>
      <c r="D22" s="8">
        <v>0</v>
      </c>
      <c r="E22" s="8">
        <v>0</v>
      </c>
      <c r="F22" s="8">
        <v>0</v>
      </c>
      <c r="G22" s="8">
        <v>0</v>
      </c>
      <c r="H22" s="8">
        <v>0</v>
      </c>
      <c r="I22" s="9">
        <v>0</v>
      </c>
      <c r="J22" s="18"/>
    </row>
    <row r="23" spans="1:10" ht="18" customHeight="1" x14ac:dyDescent="0.2">
      <c r="A23" s="9">
        <v>17</v>
      </c>
      <c r="B23" s="149" t="s">
        <v>112</v>
      </c>
      <c r="C23" s="8">
        <v>0</v>
      </c>
      <c r="D23" s="8">
        <v>0</v>
      </c>
      <c r="E23" s="8">
        <v>0</v>
      </c>
      <c r="F23" s="8">
        <v>0</v>
      </c>
      <c r="G23" s="8">
        <v>0</v>
      </c>
      <c r="H23" s="8">
        <v>0</v>
      </c>
      <c r="I23" s="9">
        <v>0</v>
      </c>
      <c r="J23" s="18"/>
    </row>
    <row r="24" spans="1:10" s="16" customFormat="1" ht="18" customHeight="1" x14ac:dyDescent="0.25">
      <c r="A24" s="46">
        <v>18</v>
      </c>
      <c r="B24" s="149" t="s">
        <v>113</v>
      </c>
      <c r="C24" s="74" t="s">
        <v>78</v>
      </c>
      <c r="D24" s="74">
        <v>0</v>
      </c>
      <c r="E24" s="74">
        <v>0</v>
      </c>
      <c r="F24" s="74">
        <v>0</v>
      </c>
      <c r="G24" s="74">
        <v>0</v>
      </c>
      <c r="H24" s="74">
        <v>0</v>
      </c>
      <c r="I24" s="46">
        <v>0</v>
      </c>
      <c r="J24" s="23" t="s">
        <v>79</v>
      </c>
    </row>
    <row r="25" spans="1:10" ht="18" customHeight="1" x14ac:dyDescent="0.2">
      <c r="A25" s="9">
        <v>19</v>
      </c>
      <c r="B25" s="149" t="s">
        <v>114</v>
      </c>
      <c r="C25" s="8">
        <v>0</v>
      </c>
      <c r="D25" s="8">
        <v>0</v>
      </c>
      <c r="E25" s="8">
        <v>0</v>
      </c>
      <c r="F25" s="8">
        <v>0</v>
      </c>
      <c r="G25" s="8">
        <v>0</v>
      </c>
      <c r="H25" s="8">
        <v>0</v>
      </c>
      <c r="I25" s="9">
        <v>0</v>
      </c>
      <c r="J25" s="18"/>
    </row>
    <row r="26" spans="1:10" ht="18" customHeight="1" x14ac:dyDescent="0.2">
      <c r="A26" s="9">
        <v>20</v>
      </c>
      <c r="B26" s="149" t="s">
        <v>115</v>
      </c>
      <c r="C26" s="8">
        <v>0</v>
      </c>
      <c r="D26" s="8">
        <v>0</v>
      </c>
      <c r="E26" s="8">
        <v>0</v>
      </c>
      <c r="F26" s="8">
        <v>0</v>
      </c>
      <c r="G26" s="8">
        <v>0</v>
      </c>
      <c r="H26" s="8">
        <v>0</v>
      </c>
      <c r="I26" s="9">
        <v>0</v>
      </c>
      <c r="J26" s="18"/>
    </row>
    <row r="27" spans="1:10" ht="18" customHeight="1" x14ac:dyDescent="0.2">
      <c r="A27" s="9">
        <v>21</v>
      </c>
      <c r="B27" s="149" t="s">
        <v>116</v>
      </c>
      <c r="C27" s="8">
        <v>0</v>
      </c>
      <c r="D27" s="8">
        <v>0</v>
      </c>
      <c r="E27" s="8">
        <v>0</v>
      </c>
      <c r="F27" s="8">
        <v>0</v>
      </c>
      <c r="G27" s="8">
        <v>0</v>
      </c>
      <c r="H27" s="8">
        <v>0</v>
      </c>
      <c r="I27" s="9">
        <v>0</v>
      </c>
      <c r="J27" s="18"/>
    </row>
    <row r="28" spans="1:10" s="16" customFormat="1" ht="18" customHeight="1" x14ac:dyDescent="0.25">
      <c r="A28" s="46">
        <v>22</v>
      </c>
      <c r="B28" s="149" t="s">
        <v>117</v>
      </c>
      <c r="C28" s="74">
        <v>3</v>
      </c>
      <c r="D28" s="74">
        <v>0</v>
      </c>
      <c r="E28" s="74">
        <v>0</v>
      </c>
      <c r="F28" s="74">
        <v>0</v>
      </c>
      <c r="G28" s="74">
        <v>0</v>
      </c>
      <c r="H28" s="74">
        <v>0</v>
      </c>
      <c r="I28" s="46">
        <v>0</v>
      </c>
      <c r="J28" s="23"/>
    </row>
    <row r="29" spans="1:10" ht="18" customHeight="1" x14ac:dyDescent="0.2">
      <c r="A29" s="9">
        <v>23</v>
      </c>
      <c r="B29" s="149" t="s">
        <v>118</v>
      </c>
      <c r="C29" s="8">
        <v>0</v>
      </c>
      <c r="D29" s="8">
        <v>0</v>
      </c>
      <c r="E29" s="8">
        <v>0</v>
      </c>
      <c r="F29" s="8">
        <v>0</v>
      </c>
      <c r="G29" s="8">
        <v>0</v>
      </c>
      <c r="H29" s="8">
        <v>0</v>
      </c>
      <c r="I29" s="9">
        <v>0</v>
      </c>
      <c r="J29" s="18"/>
    </row>
    <row r="30" spans="1:10" ht="18" customHeight="1" x14ac:dyDescent="0.2">
      <c r="A30" s="9">
        <v>24</v>
      </c>
      <c r="B30" s="149" t="s">
        <v>119</v>
      </c>
      <c r="C30" s="8">
        <v>0</v>
      </c>
      <c r="D30" s="8">
        <v>0</v>
      </c>
      <c r="E30" s="8">
        <v>0</v>
      </c>
      <c r="F30" s="8">
        <v>0</v>
      </c>
      <c r="G30" s="8">
        <v>0</v>
      </c>
      <c r="H30" s="8">
        <v>0</v>
      </c>
      <c r="I30" s="9">
        <v>0</v>
      </c>
      <c r="J30" s="18"/>
    </row>
    <row r="31" spans="1:10" ht="18" customHeight="1" x14ac:dyDescent="0.2">
      <c r="A31" s="9">
        <v>25</v>
      </c>
      <c r="B31" s="149" t="s">
        <v>120</v>
      </c>
      <c r="C31" s="8">
        <v>0</v>
      </c>
      <c r="D31" s="8">
        <v>0</v>
      </c>
      <c r="E31" s="8">
        <v>0</v>
      </c>
      <c r="F31" s="8">
        <v>0</v>
      </c>
      <c r="G31" s="8">
        <v>0</v>
      </c>
      <c r="H31" s="8">
        <v>0</v>
      </c>
      <c r="I31" s="9">
        <v>0</v>
      </c>
      <c r="J31" s="18"/>
    </row>
    <row r="32" spans="1:10" ht="18" customHeight="1" x14ac:dyDescent="0.2">
      <c r="A32" s="9">
        <v>26</v>
      </c>
      <c r="B32" s="149" t="s">
        <v>121</v>
      </c>
      <c r="C32" s="8">
        <v>0</v>
      </c>
      <c r="D32" s="8">
        <v>0</v>
      </c>
      <c r="E32" s="8">
        <v>0</v>
      </c>
      <c r="F32" s="8">
        <v>0</v>
      </c>
      <c r="G32" s="8">
        <v>0</v>
      </c>
      <c r="H32" s="8">
        <v>0</v>
      </c>
      <c r="I32" s="9">
        <v>0</v>
      </c>
      <c r="J32" s="18"/>
    </row>
    <row r="33" spans="1:10" ht="18" customHeight="1" x14ac:dyDescent="0.2">
      <c r="A33" s="9">
        <v>27</v>
      </c>
      <c r="B33" s="149" t="s">
        <v>122</v>
      </c>
      <c r="C33" s="8">
        <v>0</v>
      </c>
      <c r="D33" s="8">
        <v>0</v>
      </c>
      <c r="E33" s="8">
        <v>0</v>
      </c>
      <c r="F33" s="8">
        <v>0</v>
      </c>
      <c r="G33" s="8">
        <v>0</v>
      </c>
      <c r="H33" s="8">
        <v>0</v>
      </c>
      <c r="I33" s="9">
        <v>0</v>
      </c>
      <c r="J33" s="18"/>
    </row>
    <row r="34" spans="1:10" ht="18" customHeight="1" x14ac:dyDescent="0.2">
      <c r="A34" s="9">
        <v>28</v>
      </c>
      <c r="B34" s="149" t="s">
        <v>123</v>
      </c>
      <c r="C34" s="8">
        <v>0</v>
      </c>
      <c r="D34" s="8">
        <v>0</v>
      </c>
      <c r="E34" s="8">
        <v>0</v>
      </c>
      <c r="F34" s="8">
        <v>0</v>
      </c>
      <c r="G34" s="8">
        <v>0</v>
      </c>
      <c r="H34" s="8">
        <v>0</v>
      </c>
      <c r="I34" s="9">
        <v>0</v>
      </c>
      <c r="J34" s="18"/>
    </row>
    <row r="35" spans="1:10" ht="18" customHeight="1" x14ac:dyDescent="0.2">
      <c r="A35" s="9">
        <v>29</v>
      </c>
      <c r="B35" s="149" t="s">
        <v>124</v>
      </c>
      <c r="C35" s="8">
        <v>0</v>
      </c>
      <c r="D35" s="8">
        <v>0</v>
      </c>
      <c r="E35" s="8">
        <v>0</v>
      </c>
      <c r="F35" s="8">
        <v>0</v>
      </c>
      <c r="G35" s="8">
        <v>0</v>
      </c>
      <c r="H35" s="8">
        <v>0</v>
      </c>
      <c r="I35" s="9">
        <v>0</v>
      </c>
      <c r="J35" s="18"/>
    </row>
    <row r="36" spans="1:10" ht="18" customHeight="1" x14ac:dyDescent="0.2">
      <c r="A36" s="9">
        <v>30</v>
      </c>
      <c r="B36" s="149" t="s">
        <v>125</v>
      </c>
      <c r="C36" s="8">
        <v>0</v>
      </c>
      <c r="D36" s="8">
        <v>0</v>
      </c>
      <c r="E36" s="8">
        <v>0</v>
      </c>
      <c r="F36" s="8">
        <v>0</v>
      </c>
      <c r="G36" s="8">
        <v>0</v>
      </c>
      <c r="H36" s="8">
        <v>0</v>
      </c>
      <c r="I36" s="9">
        <v>0</v>
      </c>
      <c r="J36" s="18"/>
    </row>
    <row r="37" spans="1:10" ht="18" customHeight="1" x14ac:dyDescent="0.2">
      <c r="A37" s="9">
        <v>31</v>
      </c>
      <c r="B37" s="149" t="s">
        <v>126</v>
      </c>
      <c r="C37" s="8">
        <v>0</v>
      </c>
      <c r="D37" s="8">
        <v>0</v>
      </c>
      <c r="E37" s="8">
        <v>0</v>
      </c>
      <c r="F37" s="8">
        <v>0</v>
      </c>
      <c r="G37" s="8">
        <v>0</v>
      </c>
      <c r="H37" s="8">
        <v>0</v>
      </c>
      <c r="I37" s="9">
        <v>0</v>
      </c>
      <c r="J37" s="18"/>
    </row>
    <row r="38" spans="1:10" ht="18" customHeight="1" x14ac:dyDescent="0.2">
      <c r="A38" s="9">
        <v>32</v>
      </c>
      <c r="B38" s="149" t="s">
        <v>127</v>
      </c>
      <c r="C38" s="8">
        <v>0</v>
      </c>
      <c r="D38" s="8">
        <v>0</v>
      </c>
      <c r="E38" s="8">
        <v>0</v>
      </c>
      <c r="F38" s="8">
        <v>0</v>
      </c>
      <c r="G38" s="8">
        <v>0</v>
      </c>
      <c r="H38" s="8">
        <v>0</v>
      </c>
      <c r="I38" s="9">
        <v>0</v>
      </c>
      <c r="J38" s="18"/>
    </row>
    <row r="39" spans="1:10" ht="18" customHeight="1" x14ac:dyDescent="0.2">
      <c r="A39" s="9">
        <v>33</v>
      </c>
      <c r="B39" s="149" t="s">
        <v>128</v>
      </c>
      <c r="C39" s="8">
        <v>0</v>
      </c>
      <c r="D39" s="8">
        <v>0</v>
      </c>
      <c r="E39" s="8">
        <v>0</v>
      </c>
      <c r="F39" s="8">
        <v>0</v>
      </c>
      <c r="G39" s="8">
        <v>0</v>
      </c>
      <c r="H39" s="8">
        <v>0</v>
      </c>
      <c r="I39" s="9">
        <v>0</v>
      </c>
      <c r="J39" s="18"/>
    </row>
    <row r="40" spans="1:10" ht="18" customHeight="1" x14ac:dyDescent="0.2">
      <c r="A40" s="9">
        <v>34</v>
      </c>
      <c r="B40" s="149" t="s">
        <v>129</v>
      </c>
      <c r="C40" s="8">
        <v>0</v>
      </c>
      <c r="D40" s="8">
        <v>0</v>
      </c>
      <c r="E40" s="8">
        <v>0</v>
      </c>
      <c r="F40" s="8">
        <v>0</v>
      </c>
      <c r="G40" s="8">
        <v>0</v>
      </c>
      <c r="H40" s="8">
        <v>0</v>
      </c>
      <c r="I40" s="9">
        <v>0</v>
      </c>
      <c r="J40" s="18"/>
    </row>
    <row r="41" spans="1:10" ht="18" customHeight="1" x14ac:dyDescent="0.2">
      <c r="A41" s="9">
        <v>35</v>
      </c>
      <c r="B41" s="149" t="s">
        <v>130</v>
      </c>
      <c r="C41" s="8">
        <v>0</v>
      </c>
      <c r="D41" s="8">
        <v>0</v>
      </c>
      <c r="E41" s="8">
        <v>0</v>
      </c>
      <c r="F41" s="8">
        <v>0</v>
      </c>
      <c r="G41" s="8">
        <v>0</v>
      </c>
      <c r="H41" s="8">
        <v>0</v>
      </c>
      <c r="I41" s="9">
        <v>0</v>
      </c>
      <c r="J41" s="18"/>
    </row>
    <row r="42" spans="1:10" s="16" customFormat="1" ht="18" customHeight="1" x14ac:dyDescent="0.25">
      <c r="A42" s="46">
        <v>36</v>
      </c>
      <c r="B42" s="149" t="s">
        <v>131</v>
      </c>
      <c r="C42" s="74">
        <v>3</v>
      </c>
      <c r="D42" s="74">
        <v>0</v>
      </c>
      <c r="E42" s="74">
        <v>0</v>
      </c>
      <c r="F42" s="74">
        <v>0</v>
      </c>
      <c r="G42" s="74">
        <v>0</v>
      </c>
      <c r="H42" s="74">
        <v>0</v>
      </c>
      <c r="I42" s="46">
        <v>0</v>
      </c>
      <c r="J42" s="23"/>
    </row>
    <row r="43" spans="1:10" s="137" customFormat="1" ht="189.75" customHeight="1" x14ac:dyDescent="0.25">
      <c r="A43" s="135">
        <v>37</v>
      </c>
      <c r="B43" s="149" t="s">
        <v>132</v>
      </c>
      <c r="C43" s="134">
        <v>52</v>
      </c>
      <c r="D43" s="134">
        <v>57</v>
      </c>
      <c r="E43" s="138" t="s">
        <v>91</v>
      </c>
      <c r="F43" s="134">
        <v>0</v>
      </c>
      <c r="G43" s="134">
        <v>0</v>
      </c>
      <c r="H43" s="134">
        <v>2</v>
      </c>
      <c r="I43" s="135">
        <v>55</v>
      </c>
      <c r="J43" s="136" t="s">
        <v>186</v>
      </c>
    </row>
    <row r="44" spans="1:10" ht="18" customHeight="1" x14ac:dyDescent="0.2">
      <c r="A44" s="9">
        <v>38</v>
      </c>
      <c r="B44" s="149" t="s">
        <v>133</v>
      </c>
      <c r="C44" s="8">
        <v>0</v>
      </c>
      <c r="D44" s="8">
        <v>0</v>
      </c>
      <c r="E44" s="8">
        <v>0</v>
      </c>
      <c r="F44" s="8">
        <v>0</v>
      </c>
      <c r="G44" s="8">
        <v>0</v>
      </c>
      <c r="H44" s="8">
        <v>0</v>
      </c>
      <c r="I44" s="9">
        <v>0</v>
      </c>
      <c r="J44" s="18"/>
    </row>
    <row r="45" spans="1:10" ht="18" customHeight="1" x14ac:dyDescent="0.2">
      <c r="A45" s="9">
        <v>39</v>
      </c>
      <c r="B45" s="149" t="s">
        <v>134</v>
      </c>
      <c r="C45" s="8">
        <v>0</v>
      </c>
      <c r="D45" s="8">
        <v>0</v>
      </c>
      <c r="E45" s="8">
        <v>0</v>
      </c>
      <c r="F45" s="8">
        <v>0</v>
      </c>
      <c r="G45" s="8">
        <v>0</v>
      </c>
      <c r="H45" s="8">
        <v>0</v>
      </c>
      <c r="I45" s="9">
        <v>0</v>
      </c>
      <c r="J45" s="18"/>
    </row>
    <row r="46" spans="1:10" ht="18" customHeight="1" x14ac:dyDescent="0.2">
      <c r="A46" s="9">
        <v>40</v>
      </c>
      <c r="B46" s="149" t="s">
        <v>135</v>
      </c>
      <c r="C46" s="8">
        <v>0</v>
      </c>
      <c r="D46" s="8">
        <v>0</v>
      </c>
      <c r="E46" s="8">
        <v>0</v>
      </c>
      <c r="F46" s="8">
        <v>0</v>
      </c>
      <c r="G46" s="8">
        <v>0</v>
      </c>
      <c r="H46" s="8">
        <v>0</v>
      </c>
      <c r="I46" s="9">
        <v>0</v>
      </c>
      <c r="J46" s="18"/>
    </row>
    <row r="47" spans="1:10" ht="18" customHeight="1" x14ac:dyDescent="0.2">
      <c r="A47" s="9">
        <v>41</v>
      </c>
      <c r="B47" s="149" t="s">
        <v>136</v>
      </c>
      <c r="C47" s="8">
        <v>0</v>
      </c>
      <c r="D47" s="8">
        <v>0</v>
      </c>
      <c r="E47" s="8">
        <v>0</v>
      </c>
      <c r="F47" s="8">
        <v>0</v>
      </c>
      <c r="G47" s="8">
        <v>0</v>
      </c>
      <c r="H47" s="8">
        <v>0</v>
      </c>
      <c r="I47" s="9">
        <v>0</v>
      </c>
      <c r="J47" s="18"/>
    </row>
    <row r="48" spans="1:10" ht="18" customHeight="1" x14ac:dyDescent="0.2">
      <c r="A48" s="9">
        <v>42</v>
      </c>
      <c r="B48" s="149" t="s">
        <v>137</v>
      </c>
      <c r="C48" s="8">
        <v>0</v>
      </c>
      <c r="D48" s="8">
        <v>0</v>
      </c>
      <c r="E48" s="8">
        <v>0</v>
      </c>
      <c r="F48" s="8">
        <v>0</v>
      </c>
      <c r="G48" s="8">
        <v>0</v>
      </c>
      <c r="H48" s="8">
        <v>0</v>
      </c>
      <c r="I48" s="9">
        <v>0</v>
      </c>
      <c r="J48" s="18"/>
    </row>
    <row r="49" spans="1:10" ht="18.75" customHeight="1" x14ac:dyDescent="0.2">
      <c r="A49" s="9">
        <v>43</v>
      </c>
      <c r="B49" s="149" t="s">
        <v>138</v>
      </c>
      <c r="C49" s="8">
        <v>0</v>
      </c>
      <c r="D49" s="8">
        <v>0</v>
      </c>
      <c r="E49" s="8">
        <v>0</v>
      </c>
      <c r="F49" s="8">
        <v>0</v>
      </c>
      <c r="G49" s="8">
        <v>0</v>
      </c>
      <c r="H49" s="8">
        <v>0</v>
      </c>
      <c r="I49" s="9">
        <v>0</v>
      </c>
      <c r="J49" s="19"/>
    </row>
    <row r="50" spans="1:10" ht="20.25" customHeight="1" x14ac:dyDescent="0.2">
      <c r="A50" s="9">
        <v>44</v>
      </c>
      <c r="B50" s="149" t="s">
        <v>139</v>
      </c>
      <c r="C50" s="8">
        <v>0</v>
      </c>
      <c r="D50" s="8">
        <v>0</v>
      </c>
      <c r="E50" s="8">
        <v>0</v>
      </c>
      <c r="F50" s="8">
        <v>0</v>
      </c>
      <c r="G50" s="8">
        <v>0</v>
      </c>
      <c r="H50" s="8">
        <v>0</v>
      </c>
      <c r="I50" s="9">
        <v>0</v>
      </c>
      <c r="J50" s="19"/>
    </row>
    <row r="51" spans="1:10" ht="15.75" x14ac:dyDescent="0.2">
      <c r="A51" s="9">
        <v>45</v>
      </c>
      <c r="B51" s="149" t="s">
        <v>140</v>
      </c>
      <c r="C51" s="8">
        <v>0</v>
      </c>
      <c r="D51" s="8">
        <v>0</v>
      </c>
      <c r="E51" s="8">
        <v>0</v>
      </c>
      <c r="F51" s="8">
        <v>0</v>
      </c>
      <c r="G51" s="8">
        <v>0</v>
      </c>
      <c r="H51" s="8">
        <v>0</v>
      </c>
      <c r="I51" s="9">
        <v>0</v>
      </c>
      <c r="J51" s="41"/>
    </row>
    <row r="52" spans="1:10" ht="20.25" customHeight="1" x14ac:dyDescent="0.2">
      <c r="A52" s="9">
        <v>46</v>
      </c>
      <c r="B52" s="149" t="s">
        <v>141</v>
      </c>
      <c r="C52" s="8">
        <v>0</v>
      </c>
      <c r="D52" s="8">
        <v>0</v>
      </c>
      <c r="E52" s="8">
        <v>0</v>
      </c>
      <c r="F52" s="8">
        <v>0</v>
      </c>
      <c r="G52" s="8">
        <v>0</v>
      </c>
      <c r="H52" s="8">
        <v>0</v>
      </c>
      <c r="I52" s="9">
        <v>0</v>
      </c>
      <c r="J52" s="18"/>
    </row>
    <row r="53" spans="1:10" ht="18" customHeight="1" x14ac:dyDescent="0.2">
      <c r="A53" s="9">
        <v>47</v>
      </c>
      <c r="B53" s="149" t="s">
        <v>142</v>
      </c>
      <c r="C53" s="8">
        <v>0</v>
      </c>
      <c r="D53" s="8">
        <v>0</v>
      </c>
      <c r="E53" s="8">
        <v>0</v>
      </c>
      <c r="F53" s="8">
        <v>0</v>
      </c>
      <c r="G53" s="8">
        <v>0</v>
      </c>
      <c r="H53" s="8">
        <v>0</v>
      </c>
      <c r="I53" s="9">
        <v>0</v>
      </c>
      <c r="J53" s="18"/>
    </row>
    <row r="54" spans="1:10" ht="18" customHeight="1" x14ac:dyDescent="0.2">
      <c r="A54" s="9">
        <v>48</v>
      </c>
      <c r="B54" s="149" t="s">
        <v>143</v>
      </c>
      <c r="C54" s="8">
        <v>0</v>
      </c>
      <c r="D54" s="8">
        <v>0</v>
      </c>
      <c r="E54" s="8">
        <v>0</v>
      </c>
      <c r="F54" s="8">
        <v>0</v>
      </c>
      <c r="G54" s="8">
        <v>0</v>
      </c>
      <c r="H54" s="8">
        <v>0</v>
      </c>
      <c r="I54" s="9">
        <v>0</v>
      </c>
      <c r="J54" s="18"/>
    </row>
    <row r="55" spans="1:10" ht="18" customHeight="1" x14ac:dyDescent="0.2">
      <c r="A55" s="9">
        <v>49</v>
      </c>
      <c r="B55" s="149" t="s">
        <v>144</v>
      </c>
      <c r="C55" s="8">
        <v>0</v>
      </c>
      <c r="D55" s="8">
        <v>0</v>
      </c>
      <c r="E55" s="8">
        <v>0</v>
      </c>
      <c r="F55" s="8">
        <v>0</v>
      </c>
      <c r="G55" s="8">
        <v>0</v>
      </c>
      <c r="H55" s="8">
        <v>0</v>
      </c>
      <c r="I55" s="9">
        <v>0</v>
      </c>
      <c r="J55" s="18"/>
    </row>
    <row r="56" spans="1:10" ht="18" customHeight="1" x14ac:dyDescent="0.2">
      <c r="A56" s="9">
        <v>50</v>
      </c>
      <c r="B56" s="149" t="s">
        <v>145</v>
      </c>
      <c r="C56" s="8">
        <v>0</v>
      </c>
      <c r="D56" s="8">
        <v>0</v>
      </c>
      <c r="E56" s="8">
        <v>0</v>
      </c>
      <c r="F56" s="8">
        <v>0</v>
      </c>
      <c r="G56" s="8">
        <v>0</v>
      </c>
      <c r="H56" s="8">
        <v>0</v>
      </c>
      <c r="I56" s="9">
        <v>0</v>
      </c>
      <c r="J56" s="13"/>
    </row>
    <row r="57" spans="1:10" ht="18" customHeight="1" x14ac:dyDescent="0.2">
      <c r="A57" s="9">
        <v>51</v>
      </c>
      <c r="B57" s="149" t="s">
        <v>146</v>
      </c>
      <c r="C57" s="8">
        <v>0</v>
      </c>
      <c r="D57" s="8">
        <v>0</v>
      </c>
      <c r="E57" s="8">
        <v>0</v>
      </c>
      <c r="F57" s="8">
        <v>0</v>
      </c>
      <c r="G57" s="8">
        <v>0</v>
      </c>
      <c r="H57" s="8">
        <v>0</v>
      </c>
      <c r="I57" s="9">
        <v>0</v>
      </c>
      <c r="J57" s="42"/>
    </row>
    <row r="58" spans="1:10" ht="18" customHeight="1" x14ac:dyDescent="0.2">
      <c r="A58" s="9">
        <v>52</v>
      </c>
      <c r="B58" s="149" t="s">
        <v>147</v>
      </c>
      <c r="C58" s="8">
        <v>0</v>
      </c>
      <c r="D58" s="8">
        <v>0</v>
      </c>
      <c r="E58" s="8">
        <v>0</v>
      </c>
      <c r="F58" s="8">
        <v>0</v>
      </c>
      <c r="G58" s="8">
        <v>0</v>
      </c>
      <c r="H58" s="8">
        <v>0</v>
      </c>
      <c r="I58" s="9">
        <v>0</v>
      </c>
      <c r="J58" s="42"/>
    </row>
    <row r="59" spans="1:10" ht="18" customHeight="1" x14ac:dyDescent="0.2">
      <c r="A59" s="9">
        <v>53</v>
      </c>
      <c r="B59" s="149" t="s">
        <v>148</v>
      </c>
      <c r="C59" s="8">
        <v>0</v>
      </c>
      <c r="D59" s="8">
        <v>0</v>
      </c>
      <c r="E59" s="8">
        <v>0</v>
      </c>
      <c r="F59" s="8">
        <v>0</v>
      </c>
      <c r="G59" s="8">
        <v>0</v>
      </c>
      <c r="H59" s="8">
        <v>0</v>
      </c>
      <c r="I59" s="9">
        <v>0</v>
      </c>
      <c r="J59" s="42"/>
    </row>
    <row r="60" spans="1:10" ht="18" customHeight="1" x14ac:dyDescent="0.2">
      <c r="A60" s="9">
        <v>54</v>
      </c>
      <c r="B60" s="149" t="s">
        <v>149</v>
      </c>
      <c r="C60" s="8">
        <v>0</v>
      </c>
      <c r="D60" s="8">
        <v>0</v>
      </c>
      <c r="E60" s="8">
        <v>0</v>
      </c>
      <c r="F60" s="8">
        <v>0</v>
      </c>
      <c r="G60" s="8">
        <v>0</v>
      </c>
      <c r="H60" s="8">
        <v>0</v>
      </c>
      <c r="I60" s="9">
        <v>0</v>
      </c>
      <c r="J60" s="42"/>
    </row>
    <row r="61" spans="1:10" ht="18" customHeight="1" x14ac:dyDescent="0.2">
      <c r="A61" s="9">
        <v>55</v>
      </c>
      <c r="B61" s="150"/>
      <c r="C61" s="8">
        <v>0</v>
      </c>
      <c r="D61" s="8">
        <v>0</v>
      </c>
      <c r="E61" s="8">
        <v>0</v>
      </c>
      <c r="F61" s="8">
        <v>0</v>
      </c>
      <c r="G61" s="8">
        <v>0</v>
      </c>
      <c r="H61" s="8">
        <v>0</v>
      </c>
      <c r="I61" s="9">
        <v>0</v>
      </c>
      <c r="J61" s="42"/>
    </row>
    <row r="62" spans="1:10" ht="18" customHeight="1" x14ac:dyDescent="0.2">
      <c r="A62" s="9">
        <v>56</v>
      </c>
      <c r="B62" s="151" t="s">
        <v>150</v>
      </c>
      <c r="C62" s="8">
        <v>0</v>
      </c>
      <c r="D62" s="8">
        <v>0</v>
      </c>
      <c r="E62" s="8">
        <v>0</v>
      </c>
      <c r="F62" s="8">
        <v>0</v>
      </c>
      <c r="G62" s="8">
        <v>0</v>
      </c>
      <c r="H62" s="8">
        <v>0</v>
      </c>
      <c r="I62" s="9">
        <v>0</v>
      </c>
      <c r="J62" s="42"/>
    </row>
    <row r="63" spans="1:10" ht="18" customHeight="1" x14ac:dyDescent="0.2">
      <c r="A63" s="167" t="s">
        <v>64</v>
      </c>
      <c r="B63" s="169"/>
      <c r="C63" s="169"/>
      <c r="D63" s="169"/>
      <c r="E63" s="169"/>
      <c r="F63" s="169"/>
      <c r="G63" s="169"/>
      <c r="H63" s="169"/>
      <c r="I63" s="169"/>
      <c r="J63" s="168"/>
    </row>
    <row r="64" spans="1:10" ht="18" customHeight="1" x14ac:dyDescent="0.2">
      <c r="A64" s="9">
        <v>57</v>
      </c>
      <c r="B64" s="151" t="s">
        <v>151</v>
      </c>
      <c r="C64" s="8">
        <v>0</v>
      </c>
      <c r="D64" s="8">
        <v>0</v>
      </c>
      <c r="E64" s="8">
        <v>0</v>
      </c>
      <c r="F64" s="8">
        <v>0</v>
      </c>
      <c r="G64" s="8">
        <v>0</v>
      </c>
      <c r="H64" s="8">
        <v>0</v>
      </c>
      <c r="I64" s="9">
        <v>0</v>
      </c>
      <c r="J64" s="42"/>
    </row>
    <row r="65" spans="1:10" s="16" customFormat="1" ht="18" customHeight="1" x14ac:dyDescent="0.25">
      <c r="A65" s="46">
        <v>58</v>
      </c>
      <c r="B65" s="151" t="s">
        <v>152</v>
      </c>
      <c r="C65" s="74">
        <v>0</v>
      </c>
      <c r="D65" s="74" t="s">
        <v>80</v>
      </c>
      <c r="E65" s="74">
        <v>0</v>
      </c>
      <c r="F65" s="74">
        <v>0</v>
      </c>
      <c r="G65" s="74">
        <v>0</v>
      </c>
      <c r="H65" s="74">
        <v>0</v>
      </c>
      <c r="I65" s="46" t="s">
        <v>80</v>
      </c>
      <c r="J65" s="76" t="s">
        <v>82</v>
      </c>
    </row>
    <row r="66" spans="1:10" ht="18" customHeight="1" x14ac:dyDescent="0.2">
      <c r="A66" s="9">
        <v>59</v>
      </c>
      <c r="B66" s="151" t="s">
        <v>153</v>
      </c>
      <c r="C66" s="8">
        <v>0</v>
      </c>
      <c r="D66" s="8">
        <v>0</v>
      </c>
      <c r="E66" s="8">
        <v>0</v>
      </c>
      <c r="F66" s="8">
        <v>0</v>
      </c>
      <c r="G66" s="8">
        <v>0</v>
      </c>
      <c r="H66" s="8">
        <v>0</v>
      </c>
      <c r="I66" s="9">
        <v>0</v>
      </c>
      <c r="J66" s="42"/>
    </row>
    <row r="67" spans="1:10" ht="18" customHeight="1" x14ac:dyDescent="0.2">
      <c r="A67" s="9">
        <v>60</v>
      </c>
      <c r="B67" s="151" t="s">
        <v>154</v>
      </c>
      <c r="C67" s="8">
        <v>0</v>
      </c>
      <c r="D67" s="8">
        <v>0</v>
      </c>
      <c r="E67" s="8">
        <v>0</v>
      </c>
      <c r="F67" s="8">
        <v>0</v>
      </c>
      <c r="G67" s="8">
        <v>0</v>
      </c>
      <c r="H67" s="8">
        <v>0</v>
      </c>
      <c r="I67" s="9">
        <v>0</v>
      </c>
      <c r="J67" s="42"/>
    </row>
    <row r="68" spans="1:10" s="16" customFormat="1" ht="18" customHeight="1" x14ac:dyDescent="0.25">
      <c r="A68" s="46">
        <v>61</v>
      </c>
      <c r="B68" s="151" t="s">
        <v>155</v>
      </c>
      <c r="C68" s="74" t="s">
        <v>80</v>
      </c>
      <c r="D68" s="74">
        <v>0</v>
      </c>
      <c r="E68" s="74">
        <v>0</v>
      </c>
      <c r="F68" s="74">
        <v>0</v>
      </c>
      <c r="G68" s="74">
        <v>0</v>
      </c>
      <c r="H68" s="74">
        <v>0</v>
      </c>
      <c r="I68" s="46">
        <v>0</v>
      </c>
      <c r="J68" s="76" t="s">
        <v>81</v>
      </c>
    </row>
    <row r="69" spans="1:10" ht="18" customHeight="1" x14ac:dyDescent="0.2">
      <c r="A69" s="9">
        <v>62</v>
      </c>
      <c r="B69" s="150"/>
      <c r="C69" s="8">
        <v>0</v>
      </c>
      <c r="D69" s="8">
        <v>0</v>
      </c>
      <c r="E69" s="8">
        <v>0</v>
      </c>
      <c r="F69" s="8">
        <v>0</v>
      </c>
      <c r="G69" s="8">
        <v>0</v>
      </c>
      <c r="H69" s="8">
        <v>0</v>
      </c>
      <c r="I69" s="9">
        <v>0</v>
      </c>
      <c r="J69" s="42"/>
    </row>
    <row r="70" spans="1:10" ht="18" customHeight="1" x14ac:dyDescent="0.2">
      <c r="A70" s="9">
        <v>63</v>
      </c>
      <c r="B70" s="151" t="s">
        <v>156</v>
      </c>
      <c r="C70" s="8">
        <v>0</v>
      </c>
      <c r="D70" s="8">
        <v>0</v>
      </c>
      <c r="E70" s="8">
        <v>0</v>
      </c>
      <c r="F70" s="8">
        <v>0</v>
      </c>
      <c r="G70" s="8">
        <v>0</v>
      </c>
      <c r="H70" s="8">
        <v>0</v>
      </c>
      <c r="I70" s="9">
        <v>0</v>
      </c>
      <c r="J70" s="42"/>
    </row>
    <row r="71" spans="1:10" ht="18" customHeight="1" x14ac:dyDescent="0.2">
      <c r="A71" s="167" t="s">
        <v>65</v>
      </c>
      <c r="B71" s="169"/>
      <c r="C71" s="169"/>
      <c r="D71" s="169"/>
      <c r="E71" s="169"/>
      <c r="F71" s="169"/>
      <c r="G71" s="169"/>
      <c r="H71" s="169"/>
      <c r="I71" s="169"/>
      <c r="J71" s="168"/>
    </row>
    <row r="72" spans="1:10" s="16" customFormat="1" ht="18" customHeight="1" x14ac:dyDescent="0.25">
      <c r="A72" s="46">
        <v>64</v>
      </c>
      <c r="B72" s="151" t="s">
        <v>157</v>
      </c>
      <c r="C72" s="74">
        <v>3</v>
      </c>
      <c r="D72" s="74">
        <v>1</v>
      </c>
      <c r="E72" s="74">
        <v>0</v>
      </c>
      <c r="F72" s="74">
        <v>0</v>
      </c>
      <c r="G72" s="74">
        <v>0</v>
      </c>
      <c r="H72" s="74">
        <v>0</v>
      </c>
      <c r="I72" s="46">
        <v>1</v>
      </c>
      <c r="J72" s="76"/>
    </row>
    <row r="73" spans="1:10" s="16" customFormat="1" ht="18" customHeight="1" x14ac:dyDescent="0.25">
      <c r="A73" s="46">
        <v>65</v>
      </c>
      <c r="B73" s="6" t="s">
        <v>76</v>
      </c>
      <c r="C73" s="74">
        <v>1</v>
      </c>
      <c r="D73" s="74">
        <v>1</v>
      </c>
      <c r="E73" s="74">
        <v>0</v>
      </c>
      <c r="F73" s="74">
        <v>0</v>
      </c>
      <c r="G73" s="74">
        <v>0</v>
      </c>
      <c r="H73" s="74">
        <v>0</v>
      </c>
      <c r="I73" s="46">
        <v>1</v>
      </c>
      <c r="J73" s="76"/>
    </row>
    <row r="74" spans="1:10" ht="18" customHeight="1" x14ac:dyDescent="0.2">
      <c r="A74" s="9">
        <v>66</v>
      </c>
      <c r="B74" s="152" t="s">
        <v>158</v>
      </c>
      <c r="C74" s="8">
        <v>0</v>
      </c>
      <c r="D74" s="8">
        <v>0</v>
      </c>
      <c r="E74" s="8">
        <v>0</v>
      </c>
      <c r="F74" s="8">
        <v>0</v>
      </c>
      <c r="G74" s="8">
        <v>0</v>
      </c>
      <c r="H74" s="8">
        <v>0</v>
      </c>
      <c r="I74" s="9">
        <v>0</v>
      </c>
      <c r="J74" s="42"/>
    </row>
    <row r="75" spans="1:10" ht="18" customHeight="1" x14ac:dyDescent="0.2">
      <c r="A75" s="167" t="s">
        <v>66</v>
      </c>
      <c r="B75" s="169"/>
      <c r="C75" s="169"/>
      <c r="D75" s="169"/>
      <c r="E75" s="169"/>
      <c r="F75" s="169"/>
      <c r="G75" s="169"/>
      <c r="H75" s="169"/>
      <c r="I75" s="169"/>
      <c r="J75" s="168"/>
    </row>
    <row r="76" spans="1:10" ht="18" customHeight="1" x14ac:dyDescent="0.2">
      <c r="A76" s="9">
        <v>67</v>
      </c>
      <c r="B76" s="150"/>
      <c r="C76" s="8">
        <v>0</v>
      </c>
      <c r="D76" s="8">
        <v>0</v>
      </c>
      <c r="E76" s="8">
        <v>0</v>
      </c>
      <c r="F76" s="8">
        <v>0</v>
      </c>
      <c r="G76" s="8">
        <v>0</v>
      </c>
      <c r="H76" s="8">
        <v>0</v>
      </c>
      <c r="I76" s="9">
        <v>0</v>
      </c>
      <c r="J76" s="42"/>
    </row>
    <row r="77" spans="1:10" s="16" customFormat="1" ht="18" customHeight="1" x14ac:dyDescent="0.25">
      <c r="A77" s="46">
        <v>68</v>
      </c>
      <c r="B77" s="151" t="s">
        <v>159</v>
      </c>
      <c r="C77" s="75">
        <v>5</v>
      </c>
      <c r="D77" s="75">
        <v>4</v>
      </c>
      <c r="E77" s="75">
        <v>0</v>
      </c>
      <c r="F77" s="75">
        <v>0</v>
      </c>
      <c r="G77" s="75">
        <v>0</v>
      </c>
      <c r="H77" s="75">
        <v>0</v>
      </c>
      <c r="I77" s="107">
        <v>4</v>
      </c>
      <c r="J77" s="76"/>
    </row>
    <row r="78" spans="1:10" ht="18" customHeight="1" x14ac:dyDescent="0.2">
      <c r="A78" s="167" t="s">
        <v>67</v>
      </c>
      <c r="B78" s="169"/>
      <c r="C78" s="169"/>
      <c r="D78" s="169"/>
      <c r="E78" s="169"/>
      <c r="F78" s="169"/>
      <c r="G78" s="169"/>
      <c r="H78" s="169"/>
      <c r="I78" s="169"/>
      <c r="J78" s="168"/>
    </row>
    <row r="79" spans="1:10" ht="18" customHeight="1" x14ac:dyDescent="0.2">
      <c r="A79" s="9">
        <v>69</v>
      </c>
      <c r="B79" s="151" t="s">
        <v>160</v>
      </c>
      <c r="C79" s="159">
        <v>6</v>
      </c>
      <c r="D79" s="8">
        <v>0</v>
      </c>
      <c r="E79" s="8">
        <v>0</v>
      </c>
      <c r="F79" s="8">
        <v>0</v>
      </c>
      <c r="G79" s="8">
        <v>0</v>
      </c>
      <c r="H79" s="8">
        <v>0</v>
      </c>
      <c r="I79" s="9">
        <v>0</v>
      </c>
      <c r="J79" s="42"/>
    </row>
    <row r="80" spans="1:10" s="16" customFormat="1" ht="18" customHeight="1" x14ac:dyDescent="0.25">
      <c r="A80" s="46">
        <v>70</v>
      </c>
      <c r="B80" s="151" t="s">
        <v>161</v>
      </c>
      <c r="C80" s="170"/>
      <c r="D80" s="48">
        <v>1</v>
      </c>
      <c r="E80" s="48">
        <v>0</v>
      </c>
      <c r="F80" s="48">
        <v>0</v>
      </c>
      <c r="G80" s="74">
        <v>0</v>
      </c>
      <c r="H80" s="48">
        <v>0</v>
      </c>
      <c r="I80" s="48">
        <v>1</v>
      </c>
      <c r="J80" s="76"/>
    </row>
    <row r="81" spans="1:10" s="131" customFormat="1" ht="32.25" customHeight="1" x14ac:dyDescent="0.25">
      <c r="A81" s="108">
        <v>71</v>
      </c>
      <c r="B81" s="151" t="s">
        <v>162</v>
      </c>
      <c r="C81" s="160"/>
      <c r="D81" s="108">
        <v>5</v>
      </c>
      <c r="E81" s="108">
        <v>0</v>
      </c>
      <c r="F81" s="108">
        <v>0</v>
      </c>
      <c r="G81" s="110">
        <v>0</v>
      </c>
      <c r="H81" s="108">
        <v>0</v>
      </c>
      <c r="I81" s="108">
        <v>5</v>
      </c>
      <c r="J81" s="130"/>
    </row>
    <row r="82" spans="1:10" ht="18" customHeight="1" x14ac:dyDescent="0.2">
      <c r="A82" s="9">
        <v>72</v>
      </c>
      <c r="B82" s="151" t="s">
        <v>163</v>
      </c>
      <c r="C82" s="8">
        <v>0</v>
      </c>
      <c r="D82" s="8">
        <v>0</v>
      </c>
      <c r="E82" s="8">
        <v>0</v>
      </c>
      <c r="F82" s="8">
        <v>0</v>
      </c>
      <c r="G82" s="8">
        <v>0</v>
      </c>
      <c r="H82" s="8">
        <v>0</v>
      </c>
      <c r="I82" s="9">
        <v>0</v>
      </c>
      <c r="J82" s="42"/>
    </row>
    <row r="83" spans="1:10" s="16" customFormat="1" ht="18" customHeight="1" x14ac:dyDescent="0.25">
      <c r="A83" s="46">
        <v>73</v>
      </c>
      <c r="B83" s="151" t="s">
        <v>164</v>
      </c>
      <c r="C83" s="74">
        <v>0</v>
      </c>
      <c r="D83" s="74">
        <v>1</v>
      </c>
      <c r="E83" s="74">
        <v>0</v>
      </c>
      <c r="F83" s="74">
        <v>0</v>
      </c>
      <c r="G83" s="74">
        <v>0</v>
      </c>
      <c r="H83" s="74">
        <v>0</v>
      </c>
      <c r="I83" s="46">
        <v>1</v>
      </c>
      <c r="J83" s="76"/>
    </row>
    <row r="84" spans="1:10" s="16" customFormat="1" ht="18" customHeight="1" x14ac:dyDescent="0.25">
      <c r="A84" s="9">
        <v>74</v>
      </c>
      <c r="B84" s="151" t="s">
        <v>165</v>
      </c>
      <c r="C84" s="74">
        <v>0</v>
      </c>
      <c r="D84" s="74">
        <v>2</v>
      </c>
      <c r="E84" s="74">
        <v>0</v>
      </c>
      <c r="F84" s="74">
        <v>0</v>
      </c>
      <c r="G84" s="74">
        <v>0</v>
      </c>
      <c r="H84" s="74">
        <v>0</v>
      </c>
      <c r="I84" s="46">
        <v>2</v>
      </c>
      <c r="J84" s="76"/>
    </row>
    <row r="85" spans="1:10" ht="18" customHeight="1" x14ac:dyDescent="0.2">
      <c r="A85" s="46">
        <v>75</v>
      </c>
      <c r="B85" s="151" t="s">
        <v>166</v>
      </c>
      <c r="C85" s="8">
        <v>0</v>
      </c>
      <c r="D85" s="8">
        <v>0</v>
      </c>
      <c r="E85" s="8">
        <v>0</v>
      </c>
      <c r="F85" s="8">
        <v>0</v>
      </c>
      <c r="G85" s="8">
        <v>0</v>
      </c>
      <c r="H85" s="8">
        <v>0</v>
      </c>
      <c r="I85" s="9">
        <v>0</v>
      </c>
      <c r="J85" s="42"/>
    </row>
    <row r="86" spans="1:10" ht="18" customHeight="1" x14ac:dyDescent="0.2">
      <c r="A86" s="9">
        <v>76</v>
      </c>
      <c r="B86" s="151" t="s">
        <v>167</v>
      </c>
      <c r="C86" s="8">
        <v>0</v>
      </c>
      <c r="D86" s="8">
        <v>0</v>
      </c>
      <c r="E86" s="8">
        <v>0</v>
      </c>
      <c r="F86" s="8">
        <v>0</v>
      </c>
      <c r="G86" s="8">
        <v>0</v>
      </c>
      <c r="H86" s="8">
        <v>0</v>
      </c>
      <c r="I86" s="9">
        <v>0</v>
      </c>
      <c r="J86" s="42"/>
    </row>
    <row r="87" spans="1:10" ht="18" customHeight="1" x14ac:dyDescent="0.2">
      <c r="A87" s="46">
        <v>77</v>
      </c>
      <c r="B87" s="151" t="s">
        <v>168</v>
      </c>
      <c r="C87" s="8">
        <v>0</v>
      </c>
      <c r="D87" s="8">
        <v>0</v>
      </c>
      <c r="E87" s="8">
        <v>0</v>
      </c>
      <c r="F87" s="8">
        <v>0</v>
      </c>
      <c r="G87" s="8">
        <v>0</v>
      </c>
      <c r="H87" s="8">
        <v>0</v>
      </c>
      <c r="I87" s="9">
        <v>0</v>
      </c>
      <c r="J87" s="42"/>
    </row>
    <row r="88" spans="1:10" ht="18" customHeight="1" x14ac:dyDescent="0.2">
      <c r="A88" s="9">
        <v>78</v>
      </c>
      <c r="B88" s="151" t="s">
        <v>169</v>
      </c>
      <c r="C88" s="8">
        <v>0</v>
      </c>
      <c r="D88" s="8">
        <v>0</v>
      </c>
      <c r="E88" s="8">
        <v>0</v>
      </c>
      <c r="F88" s="8">
        <v>0</v>
      </c>
      <c r="G88" s="8">
        <v>0</v>
      </c>
      <c r="H88" s="8">
        <v>0</v>
      </c>
      <c r="I88" s="9">
        <v>0</v>
      </c>
      <c r="J88" s="42"/>
    </row>
    <row r="89" spans="1:10" ht="18" customHeight="1" x14ac:dyDescent="0.2">
      <c r="A89" s="9">
        <v>79</v>
      </c>
      <c r="B89" s="151" t="s">
        <v>170</v>
      </c>
      <c r="C89" s="8">
        <v>0</v>
      </c>
      <c r="D89" s="8">
        <v>0</v>
      </c>
      <c r="E89" s="8">
        <v>0</v>
      </c>
      <c r="F89" s="8">
        <v>0</v>
      </c>
      <c r="G89" s="8">
        <v>0</v>
      </c>
      <c r="H89" s="8">
        <v>0</v>
      </c>
      <c r="I89" s="9">
        <v>0</v>
      </c>
      <c r="J89" s="42"/>
    </row>
    <row r="90" spans="1:10" s="16" customFormat="1" ht="18" customHeight="1" x14ac:dyDescent="0.25">
      <c r="A90" s="46">
        <v>80</v>
      </c>
      <c r="B90" s="151" t="s">
        <v>171</v>
      </c>
      <c r="C90" s="74">
        <v>0</v>
      </c>
      <c r="D90" s="74">
        <v>2</v>
      </c>
      <c r="E90" s="74">
        <v>0</v>
      </c>
      <c r="F90" s="74">
        <v>0</v>
      </c>
      <c r="G90" s="74">
        <v>0</v>
      </c>
      <c r="H90" s="74">
        <v>2</v>
      </c>
      <c r="I90" s="46">
        <v>2</v>
      </c>
      <c r="J90" s="76"/>
    </row>
    <row r="91" spans="1:10" ht="18" customHeight="1" x14ac:dyDescent="0.2">
      <c r="A91" s="46">
        <v>81</v>
      </c>
      <c r="B91" s="151" t="s">
        <v>172</v>
      </c>
      <c r="C91" s="8">
        <v>0</v>
      </c>
      <c r="D91" s="8">
        <v>0</v>
      </c>
      <c r="E91" s="8">
        <v>0</v>
      </c>
      <c r="F91" s="8">
        <v>0</v>
      </c>
      <c r="G91" s="8">
        <v>0</v>
      </c>
      <c r="H91" s="8">
        <v>0</v>
      </c>
      <c r="I91" s="9">
        <v>0</v>
      </c>
      <c r="J91" s="42"/>
    </row>
    <row r="92" spans="1:10" ht="18" customHeight="1" x14ac:dyDescent="0.2">
      <c r="A92" s="9">
        <v>82</v>
      </c>
      <c r="B92" s="151" t="s">
        <v>173</v>
      </c>
      <c r="C92" s="8">
        <v>0</v>
      </c>
      <c r="D92" s="8">
        <v>0</v>
      </c>
      <c r="E92" s="8">
        <v>0</v>
      </c>
      <c r="F92" s="8">
        <v>0</v>
      </c>
      <c r="G92" s="8">
        <v>0</v>
      </c>
      <c r="H92" s="8">
        <v>0</v>
      </c>
      <c r="I92" s="9">
        <v>0</v>
      </c>
      <c r="J92" s="42"/>
    </row>
    <row r="93" spans="1:10" ht="18" customHeight="1" x14ac:dyDescent="0.2">
      <c r="A93" s="46">
        <v>83</v>
      </c>
      <c r="B93" s="151" t="s">
        <v>174</v>
      </c>
      <c r="C93" s="8">
        <v>0</v>
      </c>
      <c r="D93" s="8">
        <v>0</v>
      </c>
      <c r="E93" s="8">
        <v>0</v>
      </c>
      <c r="F93" s="8">
        <v>0</v>
      </c>
      <c r="G93" s="8">
        <v>0</v>
      </c>
      <c r="H93" s="8">
        <v>0</v>
      </c>
      <c r="I93" s="9">
        <v>0</v>
      </c>
      <c r="J93" s="42"/>
    </row>
    <row r="94" spans="1:10" ht="18" customHeight="1" x14ac:dyDescent="0.2">
      <c r="A94" s="9">
        <v>84</v>
      </c>
      <c r="B94" s="151" t="s">
        <v>175</v>
      </c>
      <c r="C94" s="8">
        <v>0</v>
      </c>
      <c r="D94" s="8">
        <v>0</v>
      </c>
      <c r="E94" s="8">
        <v>0</v>
      </c>
      <c r="F94" s="8">
        <v>0</v>
      </c>
      <c r="G94" s="8">
        <v>0</v>
      </c>
      <c r="H94" s="8">
        <v>0</v>
      </c>
      <c r="I94" s="9">
        <v>0</v>
      </c>
      <c r="J94" s="42"/>
    </row>
    <row r="95" spans="1:10" ht="18" customHeight="1" x14ac:dyDescent="0.2">
      <c r="A95" s="46">
        <v>85</v>
      </c>
      <c r="C95" s="8">
        <v>0</v>
      </c>
      <c r="D95" s="8">
        <v>0</v>
      </c>
      <c r="E95" s="8">
        <v>0</v>
      </c>
      <c r="F95" s="8">
        <v>0</v>
      </c>
      <c r="G95" s="8">
        <v>0</v>
      </c>
      <c r="H95" s="8">
        <v>0</v>
      </c>
      <c r="I95" s="9">
        <v>0</v>
      </c>
      <c r="J95" s="42"/>
    </row>
    <row r="96" spans="1:10" ht="18" customHeight="1" x14ac:dyDescent="0.2">
      <c r="A96" s="9">
        <v>86</v>
      </c>
      <c r="B96" s="151" t="s">
        <v>176</v>
      </c>
      <c r="C96" s="8">
        <v>0</v>
      </c>
      <c r="D96" s="8">
        <v>0</v>
      </c>
      <c r="E96" s="8">
        <v>0</v>
      </c>
      <c r="F96" s="8">
        <v>0</v>
      </c>
      <c r="G96" s="8">
        <v>0</v>
      </c>
      <c r="H96" s="8">
        <v>0</v>
      </c>
      <c r="I96" s="9">
        <v>0</v>
      </c>
      <c r="J96" s="42"/>
    </row>
    <row r="97" spans="1:10" ht="18" customHeight="1" x14ac:dyDescent="0.2">
      <c r="A97" s="167" t="s">
        <v>68</v>
      </c>
      <c r="B97" s="169"/>
      <c r="C97" s="169"/>
      <c r="D97" s="169"/>
      <c r="E97" s="169"/>
      <c r="F97" s="169"/>
      <c r="G97" s="169"/>
      <c r="H97" s="169"/>
      <c r="I97" s="169"/>
      <c r="J97" s="168"/>
    </row>
    <row r="98" spans="1:10" ht="18" customHeight="1" x14ac:dyDescent="0.2">
      <c r="A98" s="9">
        <v>87</v>
      </c>
      <c r="B98" s="150"/>
      <c r="C98" s="8">
        <v>0</v>
      </c>
      <c r="D98" s="8">
        <v>0</v>
      </c>
      <c r="E98" s="8">
        <v>0</v>
      </c>
      <c r="F98" s="8">
        <v>0</v>
      </c>
      <c r="G98" s="8">
        <v>0</v>
      </c>
      <c r="H98" s="8">
        <v>0</v>
      </c>
      <c r="I98" s="9">
        <v>0</v>
      </c>
      <c r="J98" s="42"/>
    </row>
    <row r="99" spans="1:10" ht="18" customHeight="1" x14ac:dyDescent="0.2">
      <c r="A99" s="9">
        <v>88</v>
      </c>
      <c r="B99" s="151" t="s">
        <v>177</v>
      </c>
      <c r="C99" s="8">
        <v>0</v>
      </c>
      <c r="D99" s="8">
        <v>0</v>
      </c>
      <c r="E99" s="8">
        <v>0</v>
      </c>
      <c r="F99" s="8">
        <v>0</v>
      </c>
      <c r="G99" s="8">
        <v>0</v>
      </c>
      <c r="H99" s="8">
        <v>0</v>
      </c>
      <c r="I99" s="9">
        <v>0</v>
      </c>
      <c r="J99" s="42"/>
    </row>
    <row r="100" spans="1:10" ht="18" customHeight="1" x14ac:dyDescent="0.2">
      <c r="A100" s="167" t="s">
        <v>69</v>
      </c>
      <c r="B100" s="169"/>
      <c r="C100" s="169"/>
      <c r="D100" s="169"/>
      <c r="E100" s="169"/>
      <c r="F100" s="169"/>
      <c r="G100" s="169"/>
      <c r="H100" s="169"/>
      <c r="I100" s="168"/>
      <c r="J100" s="42"/>
    </row>
    <row r="101" spans="1:10" ht="18" customHeight="1" x14ac:dyDescent="0.2">
      <c r="A101" s="9">
        <v>89</v>
      </c>
      <c r="B101" s="151" t="s">
        <v>178</v>
      </c>
      <c r="C101" s="8">
        <v>0</v>
      </c>
      <c r="D101" s="8">
        <v>0</v>
      </c>
      <c r="E101" s="8">
        <v>0</v>
      </c>
      <c r="F101" s="8">
        <v>0</v>
      </c>
      <c r="G101" s="8">
        <v>0</v>
      </c>
      <c r="H101" s="8">
        <v>0</v>
      </c>
      <c r="I101" s="9">
        <v>0</v>
      </c>
      <c r="J101" s="42"/>
    </row>
    <row r="102" spans="1:10" ht="18" customHeight="1" x14ac:dyDescent="0.2">
      <c r="A102" s="9">
        <v>90</v>
      </c>
      <c r="B102" s="151" t="s">
        <v>179</v>
      </c>
      <c r="C102" s="8">
        <v>0</v>
      </c>
      <c r="D102" s="8">
        <v>0</v>
      </c>
      <c r="E102" s="8">
        <v>0</v>
      </c>
      <c r="F102" s="8">
        <v>0</v>
      </c>
      <c r="G102" s="8">
        <v>0</v>
      </c>
      <c r="H102" s="8">
        <v>0</v>
      </c>
      <c r="I102" s="9">
        <v>0</v>
      </c>
      <c r="J102" s="42"/>
    </row>
    <row r="103" spans="1:10" ht="18" customHeight="1" x14ac:dyDescent="0.2">
      <c r="A103" s="9">
        <v>91</v>
      </c>
      <c r="B103" s="151" t="s">
        <v>180</v>
      </c>
      <c r="C103" s="8">
        <v>0</v>
      </c>
      <c r="D103" s="8">
        <v>0</v>
      </c>
      <c r="E103" s="8">
        <v>0</v>
      </c>
      <c r="F103" s="8">
        <v>0</v>
      </c>
      <c r="G103" s="8">
        <v>0</v>
      </c>
      <c r="H103" s="8">
        <v>0</v>
      </c>
      <c r="I103" s="9">
        <v>0</v>
      </c>
      <c r="J103" s="42"/>
    </row>
    <row r="104" spans="1:10" ht="18" customHeight="1" x14ac:dyDescent="0.2">
      <c r="A104" s="9">
        <v>92</v>
      </c>
      <c r="B104" s="151" t="s">
        <v>181</v>
      </c>
      <c r="C104" s="8">
        <v>0</v>
      </c>
      <c r="D104" s="8">
        <v>0</v>
      </c>
      <c r="E104" s="8">
        <v>0</v>
      </c>
      <c r="F104" s="8">
        <v>0</v>
      </c>
      <c r="G104" s="8">
        <v>0</v>
      </c>
      <c r="H104" s="8">
        <v>0</v>
      </c>
      <c r="I104" s="9">
        <v>0</v>
      </c>
      <c r="J104" s="42"/>
    </row>
    <row r="105" spans="1:10" ht="18" customHeight="1" x14ac:dyDescent="0.2">
      <c r="A105" s="9">
        <v>93</v>
      </c>
      <c r="B105" s="151" t="s">
        <v>182</v>
      </c>
      <c r="C105" s="8">
        <v>0</v>
      </c>
      <c r="D105" s="8">
        <v>0</v>
      </c>
      <c r="E105" s="8">
        <v>0</v>
      </c>
      <c r="F105" s="8">
        <v>0</v>
      </c>
      <c r="G105" s="8">
        <v>0</v>
      </c>
      <c r="H105" s="8">
        <v>0</v>
      </c>
      <c r="I105" s="9">
        <v>0</v>
      </c>
      <c r="J105" s="42"/>
    </row>
    <row r="106" spans="1:10" ht="18" customHeight="1" x14ac:dyDescent="0.2">
      <c r="A106" s="9">
        <v>94</v>
      </c>
      <c r="B106" s="151" t="s">
        <v>183</v>
      </c>
      <c r="C106" s="8">
        <v>0</v>
      </c>
      <c r="D106" s="8">
        <v>0</v>
      </c>
      <c r="E106" s="8">
        <v>0</v>
      </c>
      <c r="F106" s="8">
        <v>0</v>
      </c>
      <c r="G106" s="8">
        <v>0</v>
      </c>
      <c r="H106" s="8">
        <v>0</v>
      </c>
      <c r="I106" s="9">
        <v>0</v>
      </c>
      <c r="J106" s="42"/>
    </row>
    <row r="107" spans="1:10" ht="18" customHeight="1" x14ac:dyDescent="0.2">
      <c r="A107" s="9">
        <v>95</v>
      </c>
      <c r="B107" s="151" t="s">
        <v>184</v>
      </c>
      <c r="C107" s="8">
        <v>0</v>
      </c>
      <c r="D107" s="8">
        <v>0</v>
      </c>
      <c r="E107" s="8">
        <v>0</v>
      </c>
      <c r="F107" s="8">
        <v>0</v>
      </c>
      <c r="G107" s="8">
        <v>0</v>
      </c>
      <c r="H107" s="8">
        <v>0</v>
      </c>
      <c r="I107" s="9">
        <v>0</v>
      </c>
      <c r="J107" s="42"/>
    </row>
    <row r="108" spans="1:10" s="16" customFormat="1" ht="18" customHeight="1" x14ac:dyDescent="0.25">
      <c r="A108" s="46">
        <v>96</v>
      </c>
      <c r="B108" s="151" t="s">
        <v>185</v>
      </c>
      <c r="C108" s="74">
        <v>1</v>
      </c>
      <c r="D108" s="74">
        <v>0</v>
      </c>
      <c r="E108" s="74">
        <v>0</v>
      </c>
      <c r="F108" s="74">
        <v>0</v>
      </c>
      <c r="G108" s="74">
        <v>0</v>
      </c>
      <c r="H108" s="74">
        <v>0</v>
      </c>
      <c r="I108" s="46">
        <v>0</v>
      </c>
      <c r="J108" s="76"/>
    </row>
    <row r="174" spans="1:15" s="12" customFormat="1" x14ac:dyDescent="0.2">
      <c r="A174" s="11"/>
      <c r="B174" s="153"/>
      <c r="H174" s="12">
        <v>0</v>
      </c>
      <c r="J174" s="14"/>
      <c r="K174" s="13"/>
      <c r="L174" s="13"/>
      <c r="M174" s="13"/>
      <c r="N174" s="13"/>
      <c r="O174" s="13"/>
    </row>
  </sheetData>
  <mergeCells count="15">
    <mergeCell ref="A78:J78"/>
    <mergeCell ref="A97:J97"/>
    <mergeCell ref="A100:I100"/>
    <mergeCell ref="C79:C81"/>
    <mergeCell ref="A5:B5"/>
    <mergeCell ref="A16:J16"/>
    <mergeCell ref="A63:J63"/>
    <mergeCell ref="A71:J71"/>
    <mergeCell ref="A75:J75"/>
    <mergeCell ref="A1:J1"/>
    <mergeCell ref="A2:A3"/>
    <mergeCell ref="C2:D2"/>
    <mergeCell ref="E2:H2"/>
    <mergeCell ref="I2:I3"/>
    <mergeCell ref="J2:J3"/>
  </mergeCells>
  <dataValidations count="1">
    <dataValidation type="whole" allowBlank="1" showInputMessage="1" showErrorMessage="1" sqref="C65307:H65360" xr:uid="{00000000-0002-0000-0200-000000000000}">
      <formula1>0</formula1>
      <formula2>50000</formula2>
    </dataValidation>
  </dataValidations>
  <hyperlinks>
    <hyperlink ref="E43" r:id="rId1" xr:uid="{00000000-0004-0000-0200-000000000000}"/>
  </hyperlinks>
  <printOptions horizontalCentered="1"/>
  <pageMargins left="0.5" right="0.5" top="0.25" bottom="0" header="0.31496062992126" footer="0.31496062992126"/>
  <pageSetup paperSize="9" scale="71" fitToHeight="0" orientation="landscape" r:id="rId2"/>
  <rowBreaks count="2" manualBreakCount="2">
    <brk id="36" max="9" man="1"/>
    <brk id="66"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2"/>
  <sheetViews>
    <sheetView tabSelected="1" view="pageBreakPreview" zoomScale="80" zoomScaleNormal="100" zoomScaleSheetLayoutView="80" workbookViewId="0">
      <selection activeCell="B40" sqref="B40"/>
    </sheetView>
  </sheetViews>
  <sheetFormatPr defaultRowHeight="15" x14ac:dyDescent="0.2"/>
  <cols>
    <col min="1" max="1" width="7" style="11" customWidth="1"/>
    <col min="2" max="2" width="53" style="155" customWidth="1"/>
    <col min="3" max="3" width="7.85546875" style="12" customWidth="1"/>
    <col min="4" max="4" width="7.42578125" style="12" customWidth="1"/>
    <col min="5" max="5" width="6.7109375" style="12" customWidth="1"/>
    <col min="6" max="6" width="7.5703125" style="12" customWidth="1"/>
    <col min="7" max="7" width="8.85546875" style="12" customWidth="1"/>
    <col min="8" max="8" width="7.140625" style="12" customWidth="1"/>
    <col min="9" max="9" width="7.28515625" style="12" customWidth="1"/>
    <col min="10" max="10" width="6.42578125" style="12" customWidth="1"/>
    <col min="11" max="11" width="9.85546875" style="12" customWidth="1"/>
    <col min="12" max="12" width="7.5703125" style="12" customWidth="1"/>
    <col min="13" max="13" width="8.140625" style="12" customWidth="1"/>
    <col min="14" max="14" width="9.7109375" style="13" customWidth="1"/>
    <col min="15" max="15" width="34.28515625" style="14" customWidth="1"/>
    <col min="16" max="16384" width="9.140625" style="13"/>
  </cols>
  <sheetData>
    <row r="1" spans="1:15" ht="19.5" customHeight="1" x14ac:dyDescent="0.2">
      <c r="A1" s="158" t="s">
        <v>93</v>
      </c>
      <c r="B1" s="158"/>
      <c r="C1" s="158"/>
      <c r="D1" s="158"/>
      <c r="E1" s="158"/>
      <c r="F1" s="158"/>
      <c r="G1" s="158"/>
      <c r="H1" s="158"/>
      <c r="I1" s="158"/>
      <c r="J1" s="158"/>
      <c r="K1" s="158"/>
      <c r="L1" s="158"/>
      <c r="M1" s="158"/>
      <c r="N1" s="158"/>
      <c r="O1" s="158"/>
    </row>
    <row r="2" spans="1:15" s="36" customFormat="1" ht="18" customHeight="1" x14ac:dyDescent="0.25">
      <c r="A2" s="159" t="s">
        <v>0</v>
      </c>
      <c r="B2" s="147" t="s">
        <v>14</v>
      </c>
      <c r="C2" s="161" t="s">
        <v>17</v>
      </c>
      <c r="D2" s="162"/>
      <c r="E2" s="163" t="s">
        <v>31</v>
      </c>
      <c r="F2" s="163"/>
      <c r="G2" s="163"/>
      <c r="H2" s="163"/>
      <c r="I2" s="163"/>
      <c r="J2" s="163"/>
      <c r="K2" s="163"/>
      <c r="L2" s="164" t="s">
        <v>59</v>
      </c>
      <c r="M2" s="164" t="s">
        <v>60</v>
      </c>
      <c r="N2" s="164" t="s">
        <v>20</v>
      </c>
      <c r="O2" s="164" t="s">
        <v>34</v>
      </c>
    </row>
    <row r="3" spans="1:15" s="17" customFormat="1" ht="16.5" customHeight="1" x14ac:dyDescent="0.25">
      <c r="A3" s="160"/>
      <c r="B3" s="147"/>
      <c r="C3" s="98" t="s">
        <v>56</v>
      </c>
      <c r="D3" s="98" t="s">
        <v>57</v>
      </c>
      <c r="E3" s="46" t="s">
        <v>15</v>
      </c>
      <c r="F3" s="46" t="s">
        <v>35</v>
      </c>
      <c r="G3" s="46" t="s">
        <v>27</v>
      </c>
      <c r="H3" s="46" t="s">
        <v>58</v>
      </c>
      <c r="I3" s="46" t="s">
        <v>37</v>
      </c>
      <c r="J3" s="46" t="s">
        <v>38</v>
      </c>
      <c r="K3" s="102" t="s">
        <v>71</v>
      </c>
      <c r="L3" s="173"/>
      <c r="M3" s="166"/>
      <c r="N3" s="166"/>
      <c r="O3" s="166"/>
    </row>
    <row r="4" spans="1:15" s="17" customFormat="1" x14ac:dyDescent="0.25">
      <c r="A4" s="45" t="s">
        <v>1</v>
      </c>
      <c r="B4" s="67" t="s">
        <v>2</v>
      </c>
      <c r="C4" s="47" t="s">
        <v>3</v>
      </c>
      <c r="D4" s="47" t="s">
        <v>4</v>
      </c>
      <c r="E4" s="45" t="s">
        <v>5</v>
      </c>
      <c r="F4" s="45" t="s">
        <v>6</v>
      </c>
      <c r="G4" s="45" t="s">
        <v>7</v>
      </c>
      <c r="H4" s="45" t="s">
        <v>8</v>
      </c>
      <c r="I4" s="45" t="s">
        <v>9</v>
      </c>
      <c r="J4" s="45" t="s">
        <v>10</v>
      </c>
      <c r="K4" s="47" t="s">
        <v>11</v>
      </c>
      <c r="L4" s="49" t="s">
        <v>12</v>
      </c>
      <c r="M4" s="102" t="s">
        <v>13</v>
      </c>
      <c r="N4" s="102" t="s">
        <v>29</v>
      </c>
      <c r="O4" s="102" t="s">
        <v>30</v>
      </c>
    </row>
    <row r="5" spans="1:15" s="17" customFormat="1" ht="18" customHeight="1" x14ac:dyDescent="0.25">
      <c r="A5" s="174" t="s">
        <v>70</v>
      </c>
      <c r="B5" s="175"/>
      <c r="C5" s="175"/>
      <c r="D5" s="175"/>
      <c r="E5" s="175"/>
      <c r="F5" s="175"/>
      <c r="G5" s="175"/>
      <c r="H5" s="175"/>
      <c r="I5" s="175"/>
      <c r="J5" s="175"/>
      <c r="K5" s="175"/>
      <c r="L5" s="175"/>
      <c r="M5" s="175"/>
      <c r="N5" s="175"/>
      <c r="O5" s="176"/>
    </row>
    <row r="6" spans="1:15" ht="18" customHeight="1" x14ac:dyDescent="0.2">
      <c r="A6" s="9">
        <v>11</v>
      </c>
      <c r="B6" s="154" t="s">
        <v>187</v>
      </c>
      <c r="C6" s="171">
        <v>3</v>
      </c>
      <c r="D6" s="8">
        <v>0</v>
      </c>
      <c r="E6" s="8">
        <v>0</v>
      </c>
      <c r="F6" s="8">
        <v>0</v>
      </c>
      <c r="G6" s="8">
        <v>0</v>
      </c>
      <c r="H6" s="8">
        <v>0</v>
      </c>
      <c r="I6" s="8">
        <v>0</v>
      </c>
      <c r="J6" s="8">
        <v>0</v>
      </c>
      <c r="K6" s="8">
        <v>0</v>
      </c>
      <c r="L6" s="8">
        <v>0</v>
      </c>
      <c r="M6" s="8">
        <v>0</v>
      </c>
      <c r="N6" s="10">
        <f t="shared" ref="N6:N7" si="0">D6-L6</f>
        <v>0</v>
      </c>
      <c r="O6" s="18"/>
    </row>
    <row r="7" spans="1:15" s="113" customFormat="1" ht="18" customHeight="1" x14ac:dyDescent="0.25">
      <c r="A7" s="108">
        <v>12</v>
      </c>
      <c r="B7" s="154" t="s">
        <v>188</v>
      </c>
      <c r="C7" s="172"/>
      <c r="D7" s="110">
        <v>1</v>
      </c>
      <c r="E7" s="110">
        <v>0</v>
      </c>
      <c r="F7" s="110">
        <v>0</v>
      </c>
      <c r="G7" s="110">
        <v>0</v>
      </c>
      <c r="H7" s="110">
        <v>0</v>
      </c>
      <c r="I7" s="110">
        <v>0</v>
      </c>
      <c r="J7" s="110">
        <v>0</v>
      </c>
      <c r="K7" s="110">
        <v>0</v>
      </c>
      <c r="L7" s="110">
        <v>0</v>
      </c>
      <c r="M7" s="110">
        <v>0</v>
      </c>
      <c r="N7" s="111">
        <f t="shared" si="0"/>
        <v>1</v>
      </c>
      <c r="O7" s="112"/>
    </row>
    <row r="8" spans="1:15" s="113" customFormat="1" ht="30" x14ac:dyDescent="0.25">
      <c r="A8" s="114">
        <v>28</v>
      </c>
      <c r="B8" s="154" t="s">
        <v>189</v>
      </c>
      <c r="C8" s="110">
        <v>0</v>
      </c>
      <c r="D8" s="110">
        <v>2</v>
      </c>
      <c r="E8" s="110">
        <v>0</v>
      </c>
      <c r="F8" s="110">
        <v>1</v>
      </c>
      <c r="G8" s="110">
        <v>0</v>
      </c>
      <c r="H8" s="110">
        <v>0</v>
      </c>
      <c r="I8" s="110">
        <v>0</v>
      </c>
      <c r="J8" s="110">
        <v>0</v>
      </c>
      <c r="K8" s="110">
        <v>0</v>
      </c>
      <c r="L8" s="110" t="s">
        <v>80</v>
      </c>
      <c r="M8" s="110">
        <v>0</v>
      </c>
      <c r="N8" s="111">
        <v>1</v>
      </c>
      <c r="O8" s="112" t="s">
        <v>89</v>
      </c>
    </row>
    <row r="9" spans="1:15" s="113" customFormat="1" ht="18" customHeight="1" x14ac:dyDescent="0.25">
      <c r="A9" s="108">
        <v>64</v>
      </c>
      <c r="B9" s="154" t="s">
        <v>190</v>
      </c>
      <c r="C9" s="116">
        <v>18</v>
      </c>
      <c r="D9" s="116">
        <v>20</v>
      </c>
      <c r="E9" s="116">
        <v>0</v>
      </c>
      <c r="F9" s="116">
        <v>0</v>
      </c>
      <c r="G9" s="116">
        <v>0</v>
      </c>
      <c r="H9" s="116">
        <v>0</v>
      </c>
      <c r="I9" s="116">
        <v>0</v>
      </c>
      <c r="J9" s="116">
        <v>0</v>
      </c>
      <c r="K9" s="116">
        <v>0</v>
      </c>
      <c r="L9" s="117">
        <v>0</v>
      </c>
      <c r="M9" s="116">
        <v>0</v>
      </c>
      <c r="N9" s="118">
        <f>D9-L9</f>
        <v>20</v>
      </c>
      <c r="O9" s="112" t="s">
        <v>74</v>
      </c>
    </row>
    <row r="10" spans="1:15" s="113" customFormat="1" ht="18" customHeight="1" x14ac:dyDescent="0.25">
      <c r="A10" s="114">
        <v>65</v>
      </c>
      <c r="B10" s="154" t="s">
        <v>191</v>
      </c>
      <c r="C10" s="110">
        <v>0</v>
      </c>
      <c r="D10" s="110">
        <v>2</v>
      </c>
      <c r="E10" s="110">
        <v>0</v>
      </c>
      <c r="F10" s="110">
        <v>0</v>
      </c>
      <c r="G10" s="110">
        <v>0</v>
      </c>
      <c r="H10" s="110">
        <v>0</v>
      </c>
      <c r="I10" s="110">
        <v>0</v>
      </c>
      <c r="J10" s="110">
        <v>0</v>
      </c>
      <c r="K10" s="110">
        <v>0</v>
      </c>
      <c r="L10" s="108">
        <v>0</v>
      </c>
      <c r="M10" s="110">
        <v>0</v>
      </c>
      <c r="N10" s="111">
        <v>2</v>
      </c>
      <c r="O10" s="112"/>
    </row>
    <row r="11" spans="1:15" s="113" customFormat="1" ht="18" customHeight="1" x14ac:dyDescent="0.25">
      <c r="A11" s="108">
        <v>66</v>
      </c>
      <c r="B11" s="154" t="s">
        <v>192</v>
      </c>
      <c r="C11" s="110">
        <v>25</v>
      </c>
      <c r="D11" s="110">
        <v>27</v>
      </c>
      <c r="E11" s="110">
        <v>0</v>
      </c>
      <c r="F11" s="110">
        <v>0</v>
      </c>
      <c r="G11" s="110">
        <v>0</v>
      </c>
      <c r="H11" s="110">
        <v>0</v>
      </c>
      <c r="I11" s="110">
        <v>0</v>
      </c>
      <c r="J11" s="110">
        <v>0</v>
      </c>
      <c r="K11" s="110">
        <v>0</v>
      </c>
      <c r="L11" s="108">
        <v>0</v>
      </c>
      <c r="M11" s="110">
        <v>0</v>
      </c>
      <c r="N11" s="111">
        <v>27</v>
      </c>
      <c r="O11" s="109" t="s">
        <v>72</v>
      </c>
    </row>
    <row r="12" spans="1:15" ht="30" x14ac:dyDescent="0.2">
      <c r="A12" s="46">
        <v>69</v>
      </c>
      <c r="B12" s="154" t="s">
        <v>193</v>
      </c>
      <c r="C12" s="74">
        <v>3</v>
      </c>
      <c r="D12" s="74" t="s">
        <v>85</v>
      </c>
      <c r="E12" s="74">
        <v>0</v>
      </c>
      <c r="F12" s="74">
        <v>0</v>
      </c>
      <c r="G12" s="74">
        <v>0</v>
      </c>
      <c r="H12" s="74">
        <v>0</v>
      </c>
      <c r="I12" s="74">
        <v>0</v>
      </c>
      <c r="J12" s="74">
        <v>0</v>
      </c>
      <c r="K12" s="74">
        <v>0</v>
      </c>
      <c r="L12" s="46">
        <v>0</v>
      </c>
      <c r="M12" s="74">
        <v>0</v>
      </c>
      <c r="N12" s="102">
        <v>0</v>
      </c>
      <c r="O12" s="109" t="s">
        <v>86</v>
      </c>
    </row>
    <row r="13" spans="1:15" s="113" customFormat="1" ht="18" customHeight="1" x14ac:dyDescent="0.25">
      <c r="A13" s="108">
        <v>72</v>
      </c>
      <c r="B13" s="154" t="s">
        <v>194</v>
      </c>
      <c r="C13" s="110">
        <v>3</v>
      </c>
      <c r="D13" s="110">
        <v>3</v>
      </c>
      <c r="E13" s="110">
        <v>0</v>
      </c>
      <c r="F13" s="110">
        <v>0</v>
      </c>
      <c r="G13" s="110">
        <v>0</v>
      </c>
      <c r="H13" s="110">
        <v>0</v>
      </c>
      <c r="I13" s="110">
        <v>0</v>
      </c>
      <c r="J13" s="110">
        <v>0</v>
      </c>
      <c r="K13" s="110">
        <v>0</v>
      </c>
      <c r="L13" s="108">
        <v>0</v>
      </c>
      <c r="M13" s="110">
        <v>0</v>
      </c>
      <c r="N13" s="111">
        <f>D13-L13</f>
        <v>3</v>
      </c>
      <c r="O13" s="109" t="s">
        <v>52</v>
      </c>
    </row>
    <row r="14" spans="1:15" s="113" customFormat="1" ht="18" customHeight="1" x14ac:dyDescent="0.25">
      <c r="A14" s="108">
        <v>74</v>
      </c>
      <c r="B14" s="154" t="s">
        <v>195</v>
      </c>
      <c r="C14" s="110">
        <v>2</v>
      </c>
      <c r="D14" s="110">
        <v>1</v>
      </c>
      <c r="E14" s="110">
        <v>0</v>
      </c>
      <c r="F14" s="110">
        <v>0</v>
      </c>
      <c r="G14" s="110">
        <v>0</v>
      </c>
      <c r="H14" s="110">
        <v>0</v>
      </c>
      <c r="I14" s="110">
        <v>0</v>
      </c>
      <c r="J14" s="110">
        <v>0</v>
      </c>
      <c r="K14" s="110">
        <v>0</v>
      </c>
      <c r="L14" s="108">
        <v>0</v>
      </c>
      <c r="M14" s="110">
        <v>0</v>
      </c>
      <c r="N14" s="111">
        <f t="shared" ref="N14" si="1">D14-L14</f>
        <v>1</v>
      </c>
      <c r="O14" s="119" t="s">
        <v>53</v>
      </c>
    </row>
    <row r="15" spans="1:15" ht="30" x14ac:dyDescent="0.2">
      <c r="A15" s="108">
        <v>77</v>
      </c>
      <c r="B15" s="154" t="s">
        <v>196</v>
      </c>
      <c r="C15" s="74">
        <v>0</v>
      </c>
      <c r="D15" s="74" t="s">
        <v>80</v>
      </c>
      <c r="E15" s="74">
        <v>0</v>
      </c>
      <c r="F15" s="74">
        <v>0</v>
      </c>
      <c r="G15" s="74">
        <v>0</v>
      </c>
      <c r="H15" s="74">
        <v>0</v>
      </c>
      <c r="I15" s="74">
        <v>0</v>
      </c>
      <c r="J15" s="74">
        <v>0</v>
      </c>
      <c r="K15" s="74">
        <v>0</v>
      </c>
      <c r="L15" s="46">
        <v>0</v>
      </c>
      <c r="M15" s="74">
        <v>0</v>
      </c>
      <c r="N15" s="102">
        <v>1</v>
      </c>
      <c r="O15" s="23" t="s">
        <v>87</v>
      </c>
    </row>
    <row r="16" spans="1:15" s="16" customFormat="1" ht="18" customHeight="1" x14ac:dyDescent="0.25">
      <c r="A16" s="108">
        <v>82</v>
      </c>
      <c r="B16" s="154" t="s">
        <v>197</v>
      </c>
      <c r="C16" s="74">
        <v>1</v>
      </c>
      <c r="D16" s="74">
        <v>1</v>
      </c>
      <c r="E16" s="74">
        <v>0</v>
      </c>
      <c r="F16" s="74">
        <v>0</v>
      </c>
      <c r="G16" s="74">
        <v>0</v>
      </c>
      <c r="H16" s="74">
        <v>0</v>
      </c>
      <c r="I16" s="74">
        <v>0</v>
      </c>
      <c r="J16" s="74">
        <v>0</v>
      </c>
      <c r="K16" s="74">
        <v>0</v>
      </c>
      <c r="L16" s="46">
        <v>0</v>
      </c>
      <c r="M16" s="74">
        <v>0</v>
      </c>
      <c r="N16" s="102">
        <v>1</v>
      </c>
      <c r="O16" s="23"/>
    </row>
    <row r="17" spans="1:15" s="16" customFormat="1" ht="18" customHeight="1" x14ac:dyDescent="0.25">
      <c r="A17" s="108">
        <v>87</v>
      </c>
      <c r="B17" s="154" t="s">
        <v>198</v>
      </c>
      <c r="C17" s="74">
        <v>2</v>
      </c>
      <c r="D17" s="74">
        <v>2</v>
      </c>
      <c r="E17" s="74">
        <v>0</v>
      </c>
      <c r="F17" s="74">
        <v>0</v>
      </c>
      <c r="G17" s="74">
        <v>0</v>
      </c>
      <c r="H17" s="74">
        <v>0</v>
      </c>
      <c r="I17" s="74">
        <v>0</v>
      </c>
      <c r="J17" s="74">
        <v>0</v>
      </c>
      <c r="K17" s="74">
        <v>0</v>
      </c>
      <c r="L17" s="46">
        <v>0</v>
      </c>
      <c r="M17" s="74">
        <v>0</v>
      </c>
      <c r="N17" s="102">
        <v>2</v>
      </c>
      <c r="O17" s="23"/>
    </row>
    <row r="18" spans="1:15" s="16" customFormat="1" ht="18" customHeight="1" x14ac:dyDescent="0.25">
      <c r="A18" s="108">
        <v>90</v>
      </c>
      <c r="B18" s="154" t="s">
        <v>199</v>
      </c>
      <c r="C18" s="74">
        <v>7</v>
      </c>
      <c r="D18" s="74">
        <v>8</v>
      </c>
      <c r="E18" s="74">
        <v>0</v>
      </c>
      <c r="F18" s="74">
        <v>0</v>
      </c>
      <c r="G18" s="74">
        <v>0</v>
      </c>
      <c r="H18" s="74">
        <v>0</v>
      </c>
      <c r="I18" s="74">
        <v>0</v>
      </c>
      <c r="J18" s="74">
        <v>0</v>
      </c>
      <c r="K18" s="74">
        <v>0</v>
      </c>
      <c r="L18" s="46">
        <v>0</v>
      </c>
      <c r="M18" s="74">
        <v>0</v>
      </c>
      <c r="N18" s="102">
        <v>8</v>
      </c>
      <c r="O18" s="6" t="s">
        <v>73</v>
      </c>
    </row>
    <row r="19" spans="1:15" s="113" customFormat="1" ht="18" customHeight="1" x14ac:dyDescent="0.25">
      <c r="A19" s="108">
        <v>91</v>
      </c>
      <c r="B19" s="154" t="s">
        <v>200</v>
      </c>
      <c r="C19" s="110">
        <v>1</v>
      </c>
      <c r="D19" s="110">
        <v>1</v>
      </c>
      <c r="E19" s="110">
        <v>0</v>
      </c>
      <c r="F19" s="110">
        <v>0</v>
      </c>
      <c r="G19" s="110">
        <v>0</v>
      </c>
      <c r="H19" s="110">
        <v>0</v>
      </c>
      <c r="I19" s="110">
        <v>0</v>
      </c>
      <c r="J19" s="110">
        <v>0</v>
      </c>
      <c r="K19" s="110">
        <v>0</v>
      </c>
      <c r="L19" s="108">
        <v>0</v>
      </c>
      <c r="M19" s="110">
        <v>0</v>
      </c>
      <c r="N19" s="111">
        <v>1</v>
      </c>
      <c r="O19" s="109"/>
    </row>
    <row r="20" spans="1:15" s="16" customFormat="1" ht="18.75" customHeight="1" x14ac:dyDescent="0.25">
      <c r="A20" s="108">
        <v>99</v>
      </c>
      <c r="B20" s="154" t="s">
        <v>201</v>
      </c>
      <c r="C20" s="74">
        <v>1</v>
      </c>
      <c r="D20" s="74">
        <v>1</v>
      </c>
      <c r="E20" s="74">
        <v>0</v>
      </c>
      <c r="F20" s="74">
        <v>0</v>
      </c>
      <c r="G20" s="74">
        <v>0</v>
      </c>
      <c r="H20" s="74">
        <v>0</v>
      </c>
      <c r="I20" s="74">
        <v>0</v>
      </c>
      <c r="J20" s="74">
        <v>0</v>
      </c>
      <c r="K20" s="74">
        <v>0</v>
      </c>
      <c r="L20" s="46">
        <v>0</v>
      </c>
      <c r="M20" s="74">
        <v>0</v>
      </c>
      <c r="N20" s="102">
        <v>1</v>
      </c>
      <c r="O20" s="15"/>
    </row>
    <row r="21" spans="1:15" s="16" customFormat="1" ht="18" customHeight="1" x14ac:dyDescent="0.25">
      <c r="A21" s="108">
        <v>108</v>
      </c>
      <c r="B21" s="154" t="s">
        <v>202</v>
      </c>
      <c r="C21" s="74">
        <v>0</v>
      </c>
      <c r="D21" s="74">
        <v>2</v>
      </c>
      <c r="E21" s="74">
        <v>0</v>
      </c>
      <c r="F21" s="74">
        <v>0</v>
      </c>
      <c r="G21" s="74">
        <v>0</v>
      </c>
      <c r="H21" s="74">
        <v>0</v>
      </c>
      <c r="I21" s="74">
        <v>0</v>
      </c>
      <c r="J21" s="74">
        <v>0</v>
      </c>
      <c r="K21" s="74">
        <v>0</v>
      </c>
      <c r="L21" s="46">
        <v>0</v>
      </c>
      <c r="M21" s="74">
        <v>0</v>
      </c>
      <c r="N21" s="102">
        <v>2</v>
      </c>
      <c r="O21" s="23"/>
    </row>
    <row r="22" spans="1:15" s="113" customFormat="1" ht="30" x14ac:dyDescent="0.25">
      <c r="A22" s="108">
        <v>118</v>
      </c>
      <c r="B22" s="154" t="s">
        <v>203</v>
      </c>
      <c r="C22" s="110">
        <v>4</v>
      </c>
      <c r="D22" s="110">
        <v>1</v>
      </c>
      <c r="E22" s="110">
        <v>0</v>
      </c>
      <c r="F22" s="110">
        <v>0</v>
      </c>
      <c r="G22" s="110">
        <v>0</v>
      </c>
      <c r="H22" s="110">
        <v>0</v>
      </c>
      <c r="I22" s="110">
        <v>0</v>
      </c>
      <c r="J22" s="110">
        <v>0</v>
      </c>
      <c r="K22" s="110">
        <v>0</v>
      </c>
      <c r="L22" s="108" t="s">
        <v>80</v>
      </c>
      <c r="M22" s="110">
        <v>0</v>
      </c>
      <c r="N22" s="111">
        <v>1</v>
      </c>
      <c r="O22" s="129" t="s">
        <v>88</v>
      </c>
    </row>
    <row r="23" spans="1:15" s="113" customFormat="1" ht="18" customHeight="1" x14ac:dyDescent="0.25">
      <c r="A23" s="108">
        <v>119</v>
      </c>
      <c r="B23" s="154" t="s">
        <v>204</v>
      </c>
      <c r="C23" s="110">
        <v>0</v>
      </c>
      <c r="D23" s="110">
        <v>2</v>
      </c>
      <c r="E23" s="110">
        <v>0</v>
      </c>
      <c r="F23" s="110">
        <v>0</v>
      </c>
      <c r="G23" s="110">
        <v>0</v>
      </c>
      <c r="H23" s="110">
        <v>0</v>
      </c>
      <c r="I23" s="110">
        <v>0</v>
      </c>
      <c r="J23" s="110">
        <v>0</v>
      </c>
      <c r="K23" s="110">
        <v>0</v>
      </c>
      <c r="L23" s="108">
        <v>0</v>
      </c>
      <c r="M23" s="110">
        <v>0</v>
      </c>
      <c r="N23" s="111">
        <v>2</v>
      </c>
      <c r="O23" s="119"/>
    </row>
    <row r="26" spans="1:15" x14ac:dyDescent="0.2">
      <c r="I26" s="12">
        <v>0</v>
      </c>
    </row>
    <row r="42" spans="1:20" s="12" customFormat="1" x14ac:dyDescent="0.2">
      <c r="A42" s="11"/>
      <c r="B42" s="155"/>
      <c r="N42" s="13"/>
      <c r="O42" s="14"/>
      <c r="P42" s="13"/>
      <c r="Q42" s="13"/>
      <c r="R42" s="13"/>
      <c r="S42" s="13"/>
      <c r="T42" s="13"/>
    </row>
  </sheetData>
  <mergeCells count="10">
    <mergeCell ref="A1:O1"/>
    <mergeCell ref="A2:A3"/>
    <mergeCell ref="C2:D2"/>
    <mergeCell ref="E2:K2"/>
    <mergeCell ref="C6:C7"/>
    <mergeCell ref="L2:L3"/>
    <mergeCell ref="M2:M3"/>
    <mergeCell ref="N2:N3"/>
    <mergeCell ref="O2:O3"/>
    <mergeCell ref="A5:O5"/>
  </mergeCells>
  <phoneticPr fontId="26" type="noConversion"/>
  <dataValidations count="2">
    <dataValidation type="whole" allowBlank="1" showInputMessage="1" showErrorMessage="1" sqref="C65159:K65212" xr:uid="{00000000-0002-0000-0400-000000000000}">
      <formula1>0</formula1>
      <formula2>50000</formula2>
    </dataValidation>
    <dataValidation type="whole" allowBlank="1" showInputMessage="1" showErrorMessage="1" errorTitle="Value Between 0 to 200000" sqref="N65159:N65212" xr:uid="{00000000-0002-0000-0400-000001000000}">
      <formula1>0</formula1>
      <formula2>200000</formula2>
    </dataValidation>
  </dataValidations>
  <pageMargins left="0.7" right="0.2" top="0.25" bottom="0.25" header="0.3" footer="0.3"/>
  <pageSetup paperSize="9" scale="60" orientation="landscape" r:id="rId1"/>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37"/>
  <sheetViews>
    <sheetView view="pageBreakPreview" topLeftCell="A16" zoomScale="55" zoomScaleNormal="70" zoomScaleSheetLayoutView="55" workbookViewId="0">
      <selection activeCell="R25" sqref="R25"/>
    </sheetView>
  </sheetViews>
  <sheetFormatPr defaultRowHeight="15" x14ac:dyDescent="0.2"/>
  <cols>
    <col min="1" max="1" width="7.28515625" style="77" customWidth="1"/>
    <col min="2" max="2" width="22.7109375" style="78" customWidth="1"/>
    <col min="3" max="3" width="8" style="27" customWidth="1"/>
    <col min="4" max="4" width="8.28515625" style="27" customWidth="1"/>
    <col min="5" max="5" width="6.42578125" style="27" customWidth="1"/>
    <col min="6" max="6" width="7" style="27" customWidth="1"/>
    <col min="7" max="7" width="10.28515625" style="27" customWidth="1"/>
    <col min="8" max="8" width="5.5703125" style="27" bestFit="1" customWidth="1"/>
    <col min="9" max="9" width="5.28515625" style="27" customWidth="1"/>
    <col min="10" max="10" width="4.85546875" style="27" customWidth="1"/>
    <col min="11" max="11" width="5" style="27" customWidth="1"/>
    <col min="12" max="12" width="6.85546875" style="27" customWidth="1"/>
    <col min="13" max="13" width="11" style="27" customWidth="1"/>
    <col min="14" max="14" width="9.42578125" style="27" customWidth="1"/>
    <col min="15" max="15" width="6.140625" style="78" bestFit="1" customWidth="1"/>
    <col min="16" max="17" width="11.7109375" style="78" customWidth="1"/>
    <col min="18" max="18" width="13.42578125" style="78" customWidth="1"/>
    <col min="19" max="19" width="12.85546875" style="78" customWidth="1"/>
    <col min="20" max="20" width="114.5703125" style="78" customWidth="1"/>
    <col min="21" max="16384" width="9.140625" style="79"/>
  </cols>
  <sheetData>
    <row r="1" spans="1:20" ht="27.95" customHeight="1" x14ac:dyDescent="0.2">
      <c r="A1" s="182" t="s">
        <v>94</v>
      </c>
      <c r="B1" s="182"/>
      <c r="C1" s="182"/>
      <c r="D1" s="182"/>
      <c r="E1" s="182"/>
      <c r="F1" s="182"/>
      <c r="G1" s="182"/>
      <c r="H1" s="182"/>
      <c r="I1" s="182"/>
      <c r="J1" s="182"/>
      <c r="K1" s="182"/>
      <c r="L1" s="182"/>
      <c r="M1" s="182"/>
      <c r="N1" s="182"/>
      <c r="O1" s="182"/>
      <c r="P1" s="182"/>
      <c r="Q1" s="182"/>
      <c r="R1" s="182"/>
      <c r="S1" s="182"/>
      <c r="T1" s="182"/>
    </row>
    <row r="2" spans="1:20" s="80" customFormat="1" ht="27.95" customHeight="1" x14ac:dyDescent="0.25">
      <c r="A2" s="183" t="s">
        <v>0</v>
      </c>
      <c r="B2" s="177" t="s">
        <v>14</v>
      </c>
      <c r="C2" s="184" t="s">
        <v>17</v>
      </c>
      <c r="D2" s="185"/>
      <c r="E2" s="183" t="s">
        <v>31</v>
      </c>
      <c r="F2" s="183"/>
      <c r="G2" s="183"/>
      <c r="H2" s="183"/>
      <c r="I2" s="183"/>
      <c r="J2" s="183"/>
      <c r="K2" s="183"/>
      <c r="L2" s="183"/>
      <c r="M2" s="178" t="s">
        <v>18</v>
      </c>
      <c r="N2" s="178" t="s">
        <v>32</v>
      </c>
      <c r="O2" s="187" t="s">
        <v>33</v>
      </c>
      <c r="P2" s="177" t="s">
        <v>21</v>
      </c>
      <c r="Q2" s="177" t="s">
        <v>22</v>
      </c>
      <c r="R2" s="177" t="s">
        <v>23</v>
      </c>
      <c r="S2" s="177" t="s">
        <v>24</v>
      </c>
      <c r="T2" s="178" t="s">
        <v>34</v>
      </c>
    </row>
    <row r="3" spans="1:20" s="80" customFormat="1" ht="60" customHeight="1" x14ac:dyDescent="0.25">
      <c r="A3" s="183"/>
      <c r="B3" s="177"/>
      <c r="C3" s="100" t="s">
        <v>25</v>
      </c>
      <c r="D3" s="100" t="s">
        <v>26</v>
      </c>
      <c r="E3" s="101" t="s">
        <v>15</v>
      </c>
      <c r="F3" s="101" t="s">
        <v>35</v>
      </c>
      <c r="G3" s="101" t="s">
        <v>27</v>
      </c>
      <c r="H3" s="101" t="s">
        <v>36</v>
      </c>
      <c r="I3" s="101" t="s">
        <v>37</v>
      </c>
      <c r="J3" s="101" t="s">
        <v>38</v>
      </c>
      <c r="K3" s="101" t="s">
        <v>39</v>
      </c>
      <c r="L3" s="101" t="s">
        <v>28</v>
      </c>
      <c r="M3" s="186"/>
      <c r="N3" s="186"/>
      <c r="O3" s="179"/>
      <c r="P3" s="177"/>
      <c r="Q3" s="177"/>
      <c r="R3" s="177"/>
      <c r="S3" s="177"/>
      <c r="T3" s="179"/>
    </row>
    <row r="4" spans="1:20" s="80" customFormat="1" ht="27.95" customHeight="1" x14ac:dyDescent="0.25">
      <c r="A4" s="101" t="s">
        <v>1</v>
      </c>
      <c r="B4" s="99" t="s">
        <v>2</v>
      </c>
      <c r="C4" s="101" t="s">
        <v>3</v>
      </c>
      <c r="D4" s="101" t="s">
        <v>4</v>
      </c>
      <c r="E4" s="101" t="s">
        <v>5</v>
      </c>
      <c r="F4" s="101" t="s">
        <v>6</v>
      </c>
      <c r="G4" s="101" t="s">
        <v>7</v>
      </c>
      <c r="H4" s="101" t="s">
        <v>8</v>
      </c>
      <c r="I4" s="101" t="s">
        <v>9</v>
      </c>
      <c r="J4" s="101" t="s">
        <v>10</v>
      </c>
      <c r="K4" s="101" t="s">
        <v>11</v>
      </c>
      <c r="L4" s="101" t="s">
        <v>12</v>
      </c>
      <c r="M4" s="101" t="s">
        <v>13</v>
      </c>
      <c r="N4" s="101" t="s">
        <v>29</v>
      </c>
      <c r="O4" s="101" t="s">
        <v>30</v>
      </c>
      <c r="P4" s="101" t="s">
        <v>40</v>
      </c>
      <c r="Q4" s="101" t="s">
        <v>41</v>
      </c>
      <c r="R4" s="101" t="s">
        <v>42</v>
      </c>
      <c r="S4" s="101" t="s">
        <v>43</v>
      </c>
      <c r="T4" s="101" t="s">
        <v>44</v>
      </c>
    </row>
    <row r="5" spans="1:20" s="82" customFormat="1" ht="19.5" customHeight="1" x14ac:dyDescent="0.25">
      <c r="A5" s="180" t="s">
        <v>47</v>
      </c>
      <c r="B5" s="181"/>
      <c r="C5" s="81"/>
      <c r="D5" s="81"/>
      <c r="E5" s="81"/>
      <c r="F5" s="81"/>
      <c r="G5" s="81"/>
      <c r="H5" s="81"/>
      <c r="I5" s="81"/>
      <c r="J5" s="81"/>
      <c r="K5" s="81"/>
      <c r="L5" s="81"/>
      <c r="M5" s="81"/>
      <c r="N5" s="81"/>
      <c r="O5" s="81"/>
      <c r="P5" s="81"/>
      <c r="Q5" s="81"/>
      <c r="R5" s="81"/>
      <c r="S5" s="81"/>
      <c r="T5" s="81"/>
    </row>
    <row r="6" spans="1:20" ht="27.95" customHeight="1" x14ac:dyDescent="0.2">
      <c r="A6" s="83">
        <v>1</v>
      </c>
      <c r="B6" s="84" t="s">
        <v>205</v>
      </c>
      <c r="C6" s="85">
        <v>0</v>
      </c>
      <c r="D6" s="85">
        <v>0</v>
      </c>
      <c r="E6" s="85">
        <v>0</v>
      </c>
      <c r="F6" s="85">
        <v>0</v>
      </c>
      <c r="G6" s="85">
        <v>0</v>
      </c>
      <c r="H6" s="85">
        <v>0</v>
      </c>
      <c r="I6" s="85">
        <v>0</v>
      </c>
      <c r="J6" s="85">
        <v>0</v>
      </c>
      <c r="K6" s="85">
        <v>0</v>
      </c>
      <c r="L6" s="85">
        <v>0</v>
      </c>
      <c r="M6" s="83">
        <v>0</v>
      </c>
      <c r="N6" s="85">
        <v>0</v>
      </c>
      <c r="O6" s="86">
        <f>D6-M6</f>
        <v>0</v>
      </c>
      <c r="P6" s="87" t="s">
        <v>54</v>
      </c>
      <c r="Q6" s="87" t="s">
        <v>54</v>
      </c>
      <c r="R6" s="87" t="s">
        <v>54</v>
      </c>
      <c r="S6" s="87" t="s">
        <v>54</v>
      </c>
      <c r="T6" s="88"/>
    </row>
    <row r="7" spans="1:20" ht="27.95" customHeight="1" x14ac:dyDescent="0.2">
      <c r="A7" s="83">
        <v>2</v>
      </c>
      <c r="B7" s="84" t="s">
        <v>206</v>
      </c>
      <c r="C7" s="85">
        <v>0</v>
      </c>
      <c r="D7" s="85">
        <v>0</v>
      </c>
      <c r="E7" s="85">
        <v>0</v>
      </c>
      <c r="F7" s="85">
        <v>0</v>
      </c>
      <c r="G7" s="85">
        <v>0</v>
      </c>
      <c r="H7" s="85">
        <v>0</v>
      </c>
      <c r="I7" s="85">
        <v>0</v>
      </c>
      <c r="J7" s="85">
        <v>0</v>
      </c>
      <c r="K7" s="85">
        <v>0</v>
      </c>
      <c r="L7" s="85">
        <v>0</v>
      </c>
      <c r="M7" s="83">
        <v>0</v>
      </c>
      <c r="N7" s="85">
        <v>0</v>
      </c>
      <c r="O7" s="86">
        <f t="shared" ref="O7:O21" si="0">D7-M7</f>
        <v>0</v>
      </c>
      <c r="P7" s="87" t="s">
        <v>54</v>
      </c>
      <c r="Q7" s="87" t="s">
        <v>54</v>
      </c>
      <c r="R7" s="87" t="s">
        <v>54</v>
      </c>
      <c r="S7" s="87" t="s">
        <v>54</v>
      </c>
      <c r="T7" s="89"/>
    </row>
    <row r="8" spans="1:20" ht="27.95" customHeight="1" x14ac:dyDescent="0.2">
      <c r="A8" s="83">
        <v>3</v>
      </c>
      <c r="B8" s="84" t="s">
        <v>207</v>
      </c>
      <c r="C8" s="85">
        <v>0</v>
      </c>
      <c r="D8" s="85">
        <v>0</v>
      </c>
      <c r="E8" s="85">
        <v>0</v>
      </c>
      <c r="F8" s="85">
        <v>0</v>
      </c>
      <c r="G8" s="85">
        <v>0</v>
      </c>
      <c r="H8" s="85">
        <v>0</v>
      </c>
      <c r="I8" s="85">
        <v>0</v>
      </c>
      <c r="J8" s="85">
        <v>0</v>
      </c>
      <c r="K8" s="85">
        <v>0</v>
      </c>
      <c r="L8" s="85">
        <v>0</v>
      </c>
      <c r="M8" s="83">
        <v>0</v>
      </c>
      <c r="N8" s="85">
        <v>0</v>
      </c>
      <c r="O8" s="86">
        <f t="shared" si="0"/>
        <v>0</v>
      </c>
      <c r="P8" s="87" t="s">
        <v>54</v>
      </c>
      <c r="Q8" s="87" t="s">
        <v>54</v>
      </c>
      <c r="R8" s="87" t="s">
        <v>54</v>
      </c>
      <c r="S8" s="87" t="s">
        <v>54</v>
      </c>
      <c r="T8" s="90"/>
    </row>
    <row r="9" spans="1:20" ht="27.95" customHeight="1" x14ac:dyDescent="0.2">
      <c r="A9" s="83">
        <v>4</v>
      </c>
      <c r="B9" s="84" t="s">
        <v>208</v>
      </c>
      <c r="C9" s="85">
        <v>0</v>
      </c>
      <c r="D9" s="85">
        <v>0</v>
      </c>
      <c r="E9" s="85">
        <v>0</v>
      </c>
      <c r="F9" s="85">
        <v>0</v>
      </c>
      <c r="G9" s="85">
        <v>0</v>
      </c>
      <c r="H9" s="85">
        <v>0</v>
      </c>
      <c r="I9" s="85">
        <v>0</v>
      </c>
      <c r="J9" s="85">
        <v>0</v>
      </c>
      <c r="K9" s="85">
        <v>0</v>
      </c>
      <c r="L9" s="85">
        <v>0</v>
      </c>
      <c r="M9" s="83">
        <v>0</v>
      </c>
      <c r="N9" s="85">
        <v>0</v>
      </c>
      <c r="O9" s="86">
        <f t="shared" si="0"/>
        <v>0</v>
      </c>
      <c r="P9" s="87" t="s">
        <v>54</v>
      </c>
      <c r="Q9" s="87" t="s">
        <v>54</v>
      </c>
      <c r="R9" s="87" t="s">
        <v>54</v>
      </c>
      <c r="S9" s="87" t="s">
        <v>54</v>
      </c>
      <c r="T9" s="91"/>
    </row>
    <row r="10" spans="1:20" ht="27.95" customHeight="1" x14ac:dyDescent="0.2">
      <c r="A10" s="83">
        <v>5</v>
      </c>
      <c r="B10" s="84" t="s">
        <v>209</v>
      </c>
      <c r="C10" s="85">
        <v>0</v>
      </c>
      <c r="D10" s="85">
        <v>0</v>
      </c>
      <c r="E10" s="85">
        <v>0</v>
      </c>
      <c r="F10" s="85">
        <v>0</v>
      </c>
      <c r="G10" s="85">
        <v>0</v>
      </c>
      <c r="H10" s="85">
        <v>0</v>
      </c>
      <c r="I10" s="85">
        <v>0</v>
      </c>
      <c r="J10" s="85">
        <v>0</v>
      </c>
      <c r="K10" s="85">
        <v>0</v>
      </c>
      <c r="L10" s="85">
        <v>0</v>
      </c>
      <c r="M10" s="83">
        <v>0</v>
      </c>
      <c r="N10" s="85">
        <v>0</v>
      </c>
      <c r="O10" s="86">
        <f t="shared" si="0"/>
        <v>0</v>
      </c>
      <c r="P10" s="87" t="s">
        <v>54</v>
      </c>
      <c r="Q10" s="87" t="s">
        <v>54</v>
      </c>
      <c r="R10" s="87" t="s">
        <v>54</v>
      </c>
      <c r="S10" s="87" t="s">
        <v>54</v>
      </c>
      <c r="T10" s="91"/>
    </row>
    <row r="11" spans="1:20" ht="27.95" customHeight="1" x14ac:dyDescent="0.2">
      <c r="A11" s="83">
        <v>6</v>
      </c>
      <c r="B11" s="84" t="s">
        <v>210</v>
      </c>
      <c r="C11" s="85">
        <v>0</v>
      </c>
      <c r="D11" s="85">
        <v>0</v>
      </c>
      <c r="E11" s="85">
        <v>0</v>
      </c>
      <c r="F11" s="85">
        <v>0</v>
      </c>
      <c r="G11" s="85">
        <v>0</v>
      </c>
      <c r="H11" s="85">
        <v>0</v>
      </c>
      <c r="I11" s="85">
        <v>0</v>
      </c>
      <c r="J11" s="85">
        <v>0</v>
      </c>
      <c r="K11" s="85">
        <v>0</v>
      </c>
      <c r="L11" s="85">
        <v>0</v>
      </c>
      <c r="M11" s="83">
        <v>0</v>
      </c>
      <c r="N11" s="85">
        <v>0</v>
      </c>
      <c r="O11" s="86">
        <f t="shared" si="0"/>
        <v>0</v>
      </c>
      <c r="P11" s="87" t="s">
        <v>54</v>
      </c>
      <c r="Q11" s="87" t="s">
        <v>54</v>
      </c>
      <c r="R11" s="87" t="s">
        <v>54</v>
      </c>
      <c r="S11" s="87" t="s">
        <v>54</v>
      </c>
      <c r="T11" s="91"/>
    </row>
    <row r="12" spans="1:20" ht="27.95" customHeight="1" x14ac:dyDescent="0.2">
      <c r="A12" s="83">
        <v>7</v>
      </c>
      <c r="B12" s="84" t="s">
        <v>211</v>
      </c>
      <c r="C12" s="85">
        <v>0</v>
      </c>
      <c r="D12" s="85">
        <v>0</v>
      </c>
      <c r="E12" s="85">
        <v>0</v>
      </c>
      <c r="F12" s="85">
        <v>0</v>
      </c>
      <c r="G12" s="85">
        <v>0</v>
      </c>
      <c r="H12" s="85">
        <v>0</v>
      </c>
      <c r="I12" s="85">
        <v>0</v>
      </c>
      <c r="J12" s="85">
        <v>0</v>
      </c>
      <c r="K12" s="85">
        <v>0</v>
      </c>
      <c r="L12" s="85">
        <v>0</v>
      </c>
      <c r="M12" s="83">
        <v>0</v>
      </c>
      <c r="N12" s="85">
        <v>0</v>
      </c>
      <c r="O12" s="86">
        <f t="shared" si="0"/>
        <v>0</v>
      </c>
      <c r="P12" s="87" t="s">
        <v>54</v>
      </c>
      <c r="Q12" s="87" t="s">
        <v>54</v>
      </c>
      <c r="R12" s="87" t="s">
        <v>54</v>
      </c>
      <c r="S12" s="87" t="s">
        <v>54</v>
      </c>
      <c r="T12" s="91"/>
    </row>
    <row r="13" spans="1:20" ht="27.95" customHeight="1" x14ac:dyDescent="0.2">
      <c r="A13" s="83">
        <v>8</v>
      </c>
      <c r="B13" s="84" t="s">
        <v>212</v>
      </c>
      <c r="C13" s="85">
        <v>0</v>
      </c>
      <c r="D13" s="85">
        <v>0</v>
      </c>
      <c r="E13" s="85">
        <v>0</v>
      </c>
      <c r="F13" s="85">
        <v>0</v>
      </c>
      <c r="G13" s="85">
        <v>0</v>
      </c>
      <c r="H13" s="85">
        <v>0</v>
      </c>
      <c r="I13" s="85">
        <v>0</v>
      </c>
      <c r="J13" s="85">
        <v>0</v>
      </c>
      <c r="K13" s="85">
        <v>0</v>
      </c>
      <c r="L13" s="85">
        <v>0</v>
      </c>
      <c r="M13" s="83">
        <v>0</v>
      </c>
      <c r="N13" s="85">
        <v>0</v>
      </c>
      <c r="O13" s="86">
        <f t="shared" si="0"/>
        <v>0</v>
      </c>
      <c r="P13" s="87" t="s">
        <v>54</v>
      </c>
      <c r="Q13" s="87" t="s">
        <v>54</v>
      </c>
      <c r="R13" s="87" t="s">
        <v>54</v>
      </c>
      <c r="S13" s="87" t="s">
        <v>54</v>
      </c>
      <c r="T13" s="91"/>
    </row>
    <row r="14" spans="1:20" ht="27.95" customHeight="1" x14ac:dyDescent="0.2">
      <c r="A14" s="83">
        <v>9</v>
      </c>
      <c r="B14" s="84" t="s">
        <v>213</v>
      </c>
      <c r="C14" s="85">
        <v>0</v>
      </c>
      <c r="D14" s="85">
        <v>0</v>
      </c>
      <c r="E14" s="85">
        <v>0</v>
      </c>
      <c r="F14" s="85">
        <v>0</v>
      </c>
      <c r="G14" s="85">
        <v>0</v>
      </c>
      <c r="H14" s="85">
        <v>0</v>
      </c>
      <c r="I14" s="85">
        <v>0</v>
      </c>
      <c r="J14" s="85">
        <v>0</v>
      </c>
      <c r="K14" s="85">
        <v>0</v>
      </c>
      <c r="L14" s="85">
        <v>0</v>
      </c>
      <c r="M14" s="83">
        <v>0</v>
      </c>
      <c r="N14" s="85">
        <v>0</v>
      </c>
      <c r="O14" s="86">
        <f t="shared" si="0"/>
        <v>0</v>
      </c>
      <c r="P14" s="87" t="s">
        <v>54</v>
      </c>
      <c r="Q14" s="87" t="s">
        <v>54</v>
      </c>
      <c r="R14" s="87" t="s">
        <v>54</v>
      </c>
      <c r="S14" s="87" t="s">
        <v>54</v>
      </c>
      <c r="T14" s="92"/>
    </row>
    <row r="15" spans="1:20" ht="27.95" customHeight="1" x14ac:dyDescent="0.2">
      <c r="A15" s="83">
        <v>10</v>
      </c>
      <c r="B15" s="84" t="s">
        <v>214</v>
      </c>
      <c r="C15" s="85">
        <v>0</v>
      </c>
      <c r="D15" s="85">
        <v>0</v>
      </c>
      <c r="E15" s="85">
        <v>0</v>
      </c>
      <c r="F15" s="85">
        <v>0</v>
      </c>
      <c r="G15" s="85">
        <v>0</v>
      </c>
      <c r="H15" s="85">
        <v>0</v>
      </c>
      <c r="I15" s="85">
        <v>0</v>
      </c>
      <c r="J15" s="85">
        <v>0</v>
      </c>
      <c r="K15" s="85">
        <v>0</v>
      </c>
      <c r="L15" s="85">
        <v>0</v>
      </c>
      <c r="M15" s="83">
        <v>0</v>
      </c>
      <c r="N15" s="85">
        <v>0</v>
      </c>
      <c r="O15" s="86">
        <f t="shared" si="0"/>
        <v>0</v>
      </c>
      <c r="P15" s="87" t="s">
        <v>54</v>
      </c>
      <c r="Q15" s="87" t="s">
        <v>54</v>
      </c>
      <c r="R15" s="87" t="s">
        <v>54</v>
      </c>
      <c r="S15" s="87" t="s">
        <v>54</v>
      </c>
      <c r="T15" s="91"/>
    </row>
    <row r="16" spans="1:20" ht="27.95" customHeight="1" x14ac:dyDescent="0.2">
      <c r="A16" s="83">
        <v>11</v>
      </c>
      <c r="B16" s="84" t="s">
        <v>215</v>
      </c>
      <c r="C16" s="85">
        <v>0</v>
      </c>
      <c r="D16" s="85">
        <v>0</v>
      </c>
      <c r="E16" s="85">
        <v>0</v>
      </c>
      <c r="F16" s="85">
        <v>0</v>
      </c>
      <c r="G16" s="85">
        <v>0</v>
      </c>
      <c r="H16" s="85">
        <v>0</v>
      </c>
      <c r="I16" s="85">
        <v>0</v>
      </c>
      <c r="J16" s="85">
        <v>0</v>
      </c>
      <c r="K16" s="85">
        <v>0</v>
      </c>
      <c r="L16" s="85">
        <v>0</v>
      </c>
      <c r="M16" s="83">
        <v>0</v>
      </c>
      <c r="N16" s="85">
        <v>0</v>
      </c>
      <c r="O16" s="86">
        <f t="shared" si="0"/>
        <v>0</v>
      </c>
      <c r="P16" s="87" t="s">
        <v>54</v>
      </c>
      <c r="Q16" s="87"/>
      <c r="R16" s="87" t="s">
        <v>54</v>
      </c>
      <c r="S16" s="87" t="s">
        <v>54</v>
      </c>
      <c r="T16" s="91"/>
    </row>
    <row r="17" spans="1:20" ht="27.95" customHeight="1" x14ac:dyDescent="0.2">
      <c r="A17" s="83">
        <v>12</v>
      </c>
      <c r="B17" s="84" t="s">
        <v>216</v>
      </c>
      <c r="C17" s="85">
        <v>0</v>
      </c>
      <c r="D17" s="85">
        <v>0</v>
      </c>
      <c r="E17" s="85">
        <v>0</v>
      </c>
      <c r="F17" s="85">
        <v>0</v>
      </c>
      <c r="G17" s="85">
        <v>0</v>
      </c>
      <c r="H17" s="85">
        <v>0</v>
      </c>
      <c r="I17" s="85">
        <v>0</v>
      </c>
      <c r="J17" s="85">
        <v>0</v>
      </c>
      <c r="K17" s="85">
        <v>0</v>
      </c>
      <c r="L17" s="85">
        <v>0</v>
      </c>
      <c r="M17" s="83">
        <v>0</v>
      </c>
      <c r="N17" s="85">
        <v>0</v>
      </c>
      <c r="O17" s="86">
        <f t="shared" si="0"/>
        <v>0</v>
      </c>
      <c r="P17" s="87" t="s">
        <v>54</v>
      </c>
      <c r="Q17" s="87" t="s">
        <v>54</v>
      </c>
      <c r="R17" s="87" t="s">
        <v>54</v>
      </c>
      <c r="S17" s="87" t="s">
        <v>54</v>
      </c>
      <c r="T17" s="93"/>
    </row>
    <row r="18" spans="1:20" ht="27.95" customHeight="1" x14ac:dyDescent="0.2">
      <c r="A18" s="83">
        <v>13</v>
      </c>
      <c r="B18" s="84" t="s">
        <v>217</v>
      </c>
      <c r="C18" s="85">
        <v>0</v>
      </c>
      <c r="D18" s="85">
        <v>0</v>
      </c>
      <c r="E18" s="85">
        <v>0</v>
      </c>
      <c r="F18" s="85">
        <v>0</v>
      </c>
      <c r="G18" s="85">
        <v>0</v>
      </c>
      <c r="H18" s="85">
        <v>0</v>
      </c>
      <c r="I18" s="85">
        <v>0</v>
      </c>
      <c r="J18" s="85">
        <v>0</v>
      </c>
      <c r="K18" s="85">
        <v>0</v>
      </c>
      <c r="L18" s="85">
        <v>0</v>
      </c>
      <c r="M18" s="83">
        <v>0</v>
      </c>
      <c r="N18" s="85">
        <v>0</v>
      </c>
      <c r="O18" s="86">
        <f t="shared" si="0"/>
        <v>0</v>
      </c>
      <c r="P18" s="87" t="s">
        <v>54</v>
      </c>
      <c r="Q18" s="87" t="s">
        <v>54</v>
      </c>
      <c r="R18" s="87" t="s">
        <v>54</v>
      </c>
      <c r="S18" s="87" t="s">
        <v>54</v>
      </c>
      <c r="T18" s="93"/>
    </row>
    <row r="19" spans="1:20" ht="33" customHeight="1" x14ac:dyDescent="0.2">
      <c r="A19" s="83">
        <v>14</v>
      </c>
      <c r="B19" s="84" t="s">
        <v>218</v>
      </c>
      <c r="C19" s="85">
        <v>0</v>
      </c>
      <c r="D19" s="85">
        <v>0</v>
      </c>
      <c r="E19" s="85">
        <v>0</v>
      </c>
      <c r="F19" s="85">
        <v>0</v>
      </c>
      <c r="G19" s="85">
        <v>0</v>
      </c>
      <c r="H19" s="85">
        <v>0</v>
      </c>
      <c r="I19" s="85">
        <v>0</v>
      </c>
      <c r="J19" s="85">
        <v>0</v>
      </c>
      <c r="K19" s="85">
        <v>0</v>
      </c>
      <c r="L19" s="85">
        <v>0</v>
      </c>
      <c r="M19" s="83">
        <v>0</v>
      </c>
      <c r="N19" s="85">
        <v>0</v>
      </c>
      <c r="O19" s="86">
        <f t="shared" si="0"/>
        <v>0</v>
      </c>
      <c r="P19" s="87" t="s">
        <v>54</v>
      </c>
      <c r="Q19" s="87" t="s">
        <v>54</v>
      </c>
      <c r="R19" s="87" t="s">
        <v>54</v>
      </c>
      <c r="S19" s="87" t="s">
        <v>54</v>
      </c>
      <c r="T19" s="93"/>
    </row>
    <row r="20" spans="1:20" ht="33.75" customHeight="1" x14ac:dyDescent="0.2">
      <c r="A20" s="83">
        <v>15</v>
      </c>
      <c r="B20" s="84" t="s">
        <v>219</v>
      </c>
      <c r="C20" s="85">
        <v>0</v>
      </c>
      <c r="D20" s="85">
        <v>0</v>
      </c>
      <c r="E20" s="85">
        <v>0</v>
      </c>
      <c r="F20" s="85">
        <v>0</v>
      </c>
      <c r="G20" s="85">
        <v>0</v>
      </c>
      <c r="H20" s="85">
        <v>0</v>
      </c>
      <c r="I20" s="85">
        <v>0</v>
      </c>
      <c r="J20" s="85">
        <v>0</v>
      </c>
      <c r="K20" s="85">
        <v>0</v>
      </c>
      <c r="L20" s="85">
        <v>0</v>
      </c>
      <c r="M20" s="83">
        <v>0</v>
      </c>
      <c r="N20" s="85">
        <v>0</v>
      </c>
      <c r="O20" s="86">
        <f t="shared" si="0"/>
        <v>0</v>
      </c>
      <c r="P20" s="87" t="s">
        <v>54</v>
      </c>
      <c r="Q20" s="87" t="s">
        <v>54</v>
      </c>
      <c r="R20" s="87" t="s">
        <v>54</v>
      </c>
      <c r="S20" s="87" t="s">
        <v>54</v>
      </c>
      <c r="T20" s="93"/>
    </row>
    <row r="21" spans="1:20" ht="27.95" customHeight="1" x14ac:dyDescent="0.2">
      <c r="A21" s="83">
        <v>16</v>
      </c>
      <c r="B21" s="84" t="s">
        <v>220</v>
      </c>
      <c r="C21" s="85">
        <v>0</v>
      </c>
      <c r="D21" s="85">
        <v>0</v>
      </c>
      <c r="E21" s="85">
        <v>0</v>
      </c>
      <c r="F21" s="85">
        <v>0</v>
      </c>
      <c r="G21" s="85">
        <v>0</v>
      </c>
      <c r="H21" s="85">
        <v>0</v>
      </c>
      <c r="I21" s="85">
        <v>0</v>
      </c>
      <c r="J21" s="85">
        <v>0</v>
      </c>
      <c r="K21" s="85">
        <v>0</v>
      </c>
      <c r="L21" s="85">
        <v>0</v>
      </c>
      <c r="M21" s="83">
        <v>0</v>
      </c>
      <c r="N21" s="85">
        <v>0</v>
      </c>
      <c r="O21" s="86">
        <f t="shared" si="0"/>
        <v>0</v>
      </c>
      <c r="P21" s="87" t="s">
        <v>54</v>
      </c>
      <c r="Q21" s="87" t="s">
        <v>54</v>
      </c>
      <c r="R21" s="87" t="s">
        <v>54</v>
      </c>
      <c r="S21" s="87" t="s">
        <v>54</v>
      </c>
      <c r="T21" s="91"/>
    </row>
    <row r="22" spans="1:20" ht="39" customHeight="1" x14ac:dyDescent="0.2">
      <c r="A22" s="83">
        <v>17</v>
      </c>
      <c r="B22" s="84" t="s">
        <v>221</v>
      </c>
      <c r="C22" s="85">
        <v>0</v>
      </c>
      <c r="D22" s="85">
        <v>0</v>
      </c>
      <c r="E22" s="85">
        <v>0</v>
      </c>
      <c r="F22" s="85">
        <v>0</v>
      </c>
      <c r="G22" s="85">
        <v>0</v>
      </c>
      <c r="H22" s="85">
        <v>0</v>
      </c>
      <c r="I22" s="85">
        <v>0</v>
      </c>
      <c r="J22" s="85">
        <v>0</v>
      </c>
      <c r="K22" s="85">
        <v>0</v>
      </c>
      <c r="L22" s="85">
        <v>0</v>
      </c>
      <c r="M22" s="83">
        <v>0</v>
      </c>
      <c r="N22" s="85">
        <v>0</v>
      </c>
      <c r="O22" s="86">
        <v>0</v>
      </c>
      <c r="P22" s="87" t="s">
        <v>54</v>
      </c>
      <c r="Q22" s="87" t="s">
        <v>54</v>
      </c>
      <c r="R22" s="87" t="s">
        <v>54</v>
      </c>
      <c r="S22" s="87" t="s">
        <v>54</v>
      </c>
      <c r="T22" s="96"/>
    </row>
    <row r="23" spans="1:20" s="144" customFormat="1" ht="159" customHeight="1" x14ac:dyDescent="0.25">
      <c r="A23" s="139">
        <v>18</v>
      </c>
      <c r="B23" s="84" t="s">
        <v>222</v>
      </c>
      <c r="C23" s="140">
        <v>18</v>
      </c>
      <c r="D23" s="140">
        <v>19</v>
      </c>
      <c r="E23" s="140">
        <v>0</v>
      </c>
      <c r="F23" s="140">
        <v>0</v>
      </c>
      <c r="G23" s="140">
        <v>0</v>
      </c>
      <c r="H23" s="140">
        <v>0</v>
      </c>
      <c r="I23" s="140">
        <v>0</v>
      </c>
      <c r="J23" s="140">
        <v>0</v>
      </c>
      <c r="K23" s="140">
        <v>0</v>
      </c>
      <c r="L23" s="140">
        <v>0</v>
      </c>
      <c r="M23" s="140">
        <v>0</v>
      </c>
      <c r="N23" s="140">
        <v>5</v>
      </c>
      <c r="O23" s="141">
        <v>14</v>
      </c>
      <c r="P23" s="142">
        <v>0.16</v>
      </c>
      <c r="Q23" s="142">
        <f t="shared" ref="Q23:Q26" si="1">N23/D23</f>
        <v>0.26315789473684209</v>
      </c>
      <c r="R23" s="142">
        <f t="shared" ref="R23:R26" si="2">O23/D23</f>
        <v>0.73684210526315785</v>
      </c>
      <c r="S23" s="142">
        <f t="shared" ref="S23:S26" si="3">D23/C23</f>
        <v>1.0555555555555556</v>
      </c>
      <c r="T23" s="143" t="s">
        <v>226</v>
      </c>
    </row>
    <row r="24" spans="1:20" ht="15.75" x14ac:dyDescent="0.2">
      <c r="A24" s="99">
        <v>19</v>
      </c>
      <c r="B24" s="84" t="s">
        <v>223</v>
      </c>
      <c r="C24" s="94">
        <v>7</v>
      </c>
      <c r="D24" s="94">
        <v>8</v>
      </c>
      <c r="E24" s="94">
        <v>0</v>
      </c>
      <c r="F24" s="94">
        <v>0</v>
      </c>
      <c r="G24" s="94">
        <v>0</v>
      </c>
      <c r="H24" s="94">
        <v>0</v>
      </c>
      <c r="I24" s="94">
        <v>0</v>
      </c>
      <c r="J24" s="94">
        <v>0</v>
      </c>
      <c r="K24" s="94">
        <v>0</v>
      </c>
      <c r="L24" s="94">
        <v>0</v>
      </c>
      <c r="M24" s="99">
        <v>0</v>
      </c>
      <c r="N24" s="94">
        <v>8</v>
      </c>
      <c r="O24" s="95">
        <v>8</v>
      </c>
      <c r="P24" s="97">
        <f>M24/D24</f>
        <v>0</v>
      </c>
      <c r="Q24" s="97">
        <f t="shared" si="1"/>
        <v>1</v>
      </c>
      <c r="R24" s="97">
        <f t="shared" si="2"/>
        <v>1</v>
      </c>
      <c r="S24" s="97">
        <f t="shared" si="3"/>
        <v>1.1428571428571428</v>
      </c>
      <c r="T24" s="133" t="s">
        <v>227</v>
      </c>
    </row>
    <row r="25" spans="1:20" s="37" customFormat="1" ht="409.6" customHeight="1" x14ac:dyDescent="0.2">
      <c r="A25" s="38">
        <v>20</v>
      </c>
      <c r="B25" s="84" t="s">
        <v>224</v>
      </c>
      <c r="C25" s="104">
        <v>18</v>
      </c>
      <c r="D25" s="104">
        <v>20</v>
      </c>
      <c r="E25" s="104">
        <v>0</v>
      </c>
      <c r="F25" s="104">
        <v>0</v>
      </c>
      <c r="G25" s="104">
        <v>0</v>
      </c>
      <c r="H25" s="104">
        <v>0</v>
      </c>
      <c r="I25" s="104">
        <v>0</v>
      </c>
      <c r="J25" s="104">
        <v>1</v>
      </c>
      <c r="K25" s="104">
        <v>0</v>
      </c>
      <c r="L25" s="104">
        <v>0</v>
      </c>
      <c r="M25" s="38">
        <v>1</v>
      </c>
      <c r="N25" s="104">
        <v>0</v>
      </c>
      <c r="O25" s="26">
        <v>19</v>
      </c>
      <c r="P25" s="105">
        <f>M25/D25</f>
        <v>0.05</v>
      </c>
      <c r="Q25" s="105">
        <f t="shared" si="1"/>
        <v>0</v>
      </c>
      <c r="R25" s="105">
        <f t="shared" si="2"/>
        <v>0.95</v>
      </c>
      <c r="S25" s="105">
        <f t="shared" si="3"/>
        <v>1.1111111111111112</v>
      </c>
      <c r="T25" s="128" t="s">
        <v>228</v>
      </c>
    </row>
    <row r="26" spans="1:20" ht="99.75" customHeight="1" x14ac:dyDescent="0.2">
      <c r="A26" s="99">
        <v>21</v>
      </c>
      <c r="B26" s="84" t="s">
        <v>225</v>
      </c>
      <c r="C26" s="94">
        <v>9</v>
      </c>
      <c r="D26" s="94">
        <v>10</v>
      </c>
      <c r="E26" s="94">
        <v>0</v>
      </c>
      <c r="F26" s="94">
        <v>0</v>
      </c>
      <c r="G26" s="94">
        <v>0</v>
      </c>
      <c r="H26" s="94">
        <v>0</v>
      </c>
      <c r="I26" s="94">
        <v>0</v>
      </c>
      <c r="J26" s="94">
        <v>0</v>
      </c>
      <c r="K26" s="94">
        <v>0</v>
      </c>
      <c r="L26" s="94">
        <v>0</v>
      </c>
      <c r="M26" s="94">
        <v>0</v>
      </c>
      <c r="N26" s="94">
        <v>0</v>
      </c>
      <c r="O26" s="95">
        <f>D26-M26-N26</f>
        <v>10</v>
      </c>
      <c r="P26" s="97">
        <f>M26/D26</f>
        <v>0</v>
      </c>
      <c r="Q26" s="97">
        <f t="shared" si="1"/>
        <v>0</v>
      </c>
      <c r="R26" s="97">
        <f t="shared" si="2"/>
        <v>1</v>
      </c>
      <c r="S26" s="97">
        <f t="shared" si="3"/>
        <v>1.1111111111111112</v>
      </c>
      <c r="T26" s="120"/>
    </row>
    <row r="27" spans="1:20" ht="27.95" customHeight="1" x14ac:dyDescent="0.2">
      <c r="T27" s="78" t="s">
        <v>55</v>
      </c>
    </row>
    <row r="28" spans="1:20" ht="27.95" customHeight="1" x14ac:dyDescent="0.2"/>
    <row r="29" spans="1:20" ht="27.95" customHeight="1" x14ac:dyDescent="0.2"/>
    <row r="30" spans="1:20" ht="27.95" customHeight="1" x14ac:dyDescent="0.2"/>
    <row r="31" spans="1:20" ht="27.95" customHeight="1" x14ac:dyDescent="0.2"/>
    <row r="32" spans="1:20" ht="27.95" customHeight="1" x14ac:dyDescent="0.2"/>
    <row r="33" ht="27.95" customHeight="1" x14ac:dyDescent="0.2"/>
    <row r="34" ht="27.95" customHeight="1" x14ac:dyDescent="0.2"/>
    <row r="35" ht="27.95" customHeight="1" x14ac:dyDescent="0.2"/>
    <row r="36" ht="27.95" customHeight="1" x14ac:dyDescent="0.2"/>
    <row r="37" ht="27.95" customHeight="1" x14ac:dyDescent="0.2"/>
  </sheetData>
  <protectedRanges>
    <protectedRange sqref="T8" name="Range1"/>
  </protectedRanges>
  <mergeCells count="14">
    <mergeCell ref="R2:R3"/>
    <mergeCell ref="S2:S3"/>
    <mergeCell ref="T2:T3"/>
    <mergeCell ref="A5:B5"/>
    <mergeCell ref="A1:T1"/>
    <mergeCell ref="A2:A3"/>
    <mergeCell ref="B2:B3"/>
    <mergeCell ref="C2:D2"/>
    <mergeCell ref="E2:L2"/>
    <mergeCell ref="M2:M3"/>
    <mergeCell ref="N2:N3"/>
    <mergeCell ref="O2:O3"/>
    <mergeCell ref="P2:P3"/>
    <mergeCell ref="Q2:Q3"/>
  </mergeCells>
  <phoneticPr fontId="26" type="noConversion"/>
  <dataValidations count="2">
    <dataValidation type="whole" allowBlank="1" showInputMessage="1" showErrorMessage="1" sqref="M23 C6:L26 M26" xr:uid="{00000000-0002-0000-0700-000000000000}">
      <formula1>0</formula1>
      <formula2>50000</formula2>
    </dataValidation>
    <dataValidation type="whole" allowBlank="1" showInputMessage="1" showErrorMessage="1" errorTitle="Value Between 0 to 200000" sqref="O6:O26" xr:uid="{00000000-0002-0000-0700-000001000000}">
      <formula1>0</formula1>
      <formula2>200000</formula2>
    </dataValidation>
  </dataValidations>
  <pageMargins left="0.45" right="0.2" top="0.25" bottom="0.25" header="0.3" footer="0.3"/>
  <pageSetup paperSize="9" scale="48" fitToHeight="0" orientation="landscape" r:id="rId1"/>
  <rowBreaks count="2" manualBreakCount="2">
    <brk id="24" max="19" man="1"/>
    <brk id="26" max="1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Q27"/>
  <sheetViews>
    <sheetView view="pageBreakPreview" zoomScale="75" zoomScaleSheetLayoutView="75" workbookViewId="0">
      <selection sqref="A1:XFD1"/>
    </sheetView>
  </sheetViews>
  <sheetFormatPr defaultRowHeight="14.25" x14ac:dyDescent="0.2"/>
  <cols>
    <col min="1" max="1" width="7.42578125" style="11" customWidth="1"/>
    <col min="2" max="2" width="38" style="51" customWidth="1"/>
    <col min="3" max="3" width="8.5703125" style="12" customWidth="1"/>
    <col min="4" max="4" width="7.85546875" style="12" customWidth="1"/>
    <col min="5" max="6" width="4.85546875" style="12" customWidth="1"/>
    <col min="7" max="7" width="4.85546875" style="12" bestFit="1" customWidth="1"/>
    <col min="8" max="8" width="7.5703125" style="12" customWidth="1"/>
    <col min="9" max="9" width="5.7109375" style="12" customWidth="1"/>
    <col min="10" max="10" width="8.85546875" style="12" customWidth="1"/>
    <col min="11" max="11" width="6.42578125" style="12" bestFit="1" customWidth="1"/>
    <col min="12" max="12" width="10" style="13" customWidth="1"/>
    <col min="13" max="13" width="8.7109375" style="13" customWidth="1"/>
    <col min="14" max="14" width="10.85546875" style="13" customWidth="1"/>
    <col min="15" max="15" width="11.85546875" style="13" customWidth="1"/>
    <col min="16" max="16" width="12.85546875" style="13" customWidth="1"/>
    <col min="17" max="17" width="26.28515625" style="13" customWidth="1"/>
    <col min="18" max="16384" width="9.140625" style="13"/>
  </cols>
  <sheetData>
    <row r="1" spans="1:17" ht="27" customHeight="1" x14ac:dyDescent="0.2">
      <c r="A1" s="188" t="s">
        <v>95</v>
      </c>
      <c r="B1" s="188"/>
      <c r="C1" s="188"/>
      <c r="D1" s="188"/>
      <c r="E1" s="188"/>
      <c r="F1" s="188"/>
      <c r="G1" s="188"/>
      <c r="H1" s="188"/>
      <c r="I1" s="188"/>
      <c r="J1" s="188"/>
      <c r="K1" s="188"/>
      <c r="L1" s="188"/>
      <c r="M1" s="188"/>
      <c r="N1" s="188"/>
      <c r="O1" s="188"/>
      <c r="P1" s="188"/>
      <c r="Q1" s="188"/>
    </row>
    <row r="2" spans="1:17" s="50" customFormat="1" ht="15" x14ac:dyDescent="0.25">
      <c r="A2" s="159" t="s">
        <v>0</v>
      </c>
      <c r="B2" s="164" t="s">
        <v>16</v>
      </c>
      <c r="C2" s="161" t="s">
        <v>17</v>
      </c>
      <c r="D2" s="162"/>
      <c r="E2" s="163" t="s">
        <v>31</v>
      </c>
      <c r="F2" s="163"/>
      <c r="G2" s="163"/>
      <c r="H2" s="163"/>
      <c r="I2" s="163"/>
      <c r="J2" s="164" t="s">
        <v>18</v>
      </c>
      <c r="K2" s="164" t="s">
        <v>19</v>
      </c>
      <c r="L2" s="164" t="s">
        <v>20</v>
      </c>
      <c r="M2" s="189" t="s">
        <v>21</v>
      </c>
      <c r="N2" s="189" t="s">
        <v>22</v>
      </c>
      <c r="O2" s="189" t="s">
        <v>23</v>
      </c>
      <c r="P2" s="189" t="s">
        <v>24</v>
      </c>
      <c r="Q2" s="189" t="s">
        <v>34</v>
      </c>
    </row>
    <row r="3" spans="1:17" s="50" customFormat="1" ht="129" x14ac:dyDescent="0.25">
      <c r="A3" s="160"/>
      <c r="B3" s="166"/>
      <c r="C3" s="98" t="s">
        <v>25</v>
      </c>
      <c r="D3" s="98" t="s">
        <v>26</v>
      </c>
      <c r="E3" s="52" t="s">
        <v>45</v>
      </c>
      <c r="F3" s="52" t="s">
        <v>35</v>
      </c>
      <c r="G3" s="52" t="s">
        <v>27</v>
      </c>
      <c r="H3" s="53" t="s">
        <v>46</v>
      </c>
      <c r="I3" s="52" t="s">
        <v>28</v>
      </c>
      <c r="J3" s="166"/>
      <c r="K3" s="166"/>
      <c r="L3" s="166"/>
      <c r="M3" s="189"/>
      <c r="N3" s="189"/>
      <c r="O3" s="189"/>
      <c r="P3" s="189"/>
      <c r="Q3" s="163"/>
    </row>
    <row r="4" spans="1:17" s="44" customFormat="1" ht="15" x14ac:dyDescent="0.25">
      <c r="A4" s="45" t="s">
        <v>1</v>
      </c>
      <c r="B4" s="47" t="s">
        <v>2</v>
      </c>
      <c r="C4" s="45" t="s">
        <v>3</v>
      </c>
      <c r="D4" s="45" t="s">
        <v>4</v>
      </c>
      <c r="E4" s="45" t="s">
        <v>5</v>
      </c>
      <c r="F4" s="45" t="s">
        <v>6</v>
      </c>
      <c r="G4" s="45" t="s">
        <v>7</v>
      </c>
      <c r="H4" s="45" t="s">
        <v>8</v>
      </c>
      <c r="I4" s="45" t="s">
        <v>9</v>
      </c>
      <c r="J4" s="45" t="s">
        <v>10</v>
      </c>
      <c r="K4" s="45" t="s">
        <v>11</v>
      </c>
      <c r="L4" s="45" t="s">
        <v>12</v>
      </c>
      <c r="M4" s="45" t="s">
        <v>13</v>
      </c>
      <c r="N4" s="45" t="s">
        <v>29</v>
      </c>
      <c r="O4" s="45" t="s">
        <v>30</v>
      </c>
      <c r="P4" s="45" t="s">
        <v>40</v>
      </c>
      <c r="Q4" s="45" t="s">
        <v>41</v>
      </c>
    </row>
    <row r="5" spans="1:17" s="44" customFormat="1" ht="21" customHeight="1" x14ac:dyDescent="0.25">
      <c r="A5" s="167" t="s">
        <v>47</v>
      </c>
      <c r="B5" s="168"/>
      <c r="C5" s="45"/>
      <c r="D5" s="45"/>
      <c r="E5" s="45"/>
      <c r="F5" s="45"/>
      <c r="G5" s="45"/>
      <c r="H5" s="45"/>
      <c r="I5" s="45"/>
      <c r="J5" s="45"/>
      <c r="K5" s="45"/>
      <c r="L5" s="45"/>
      <c r="M5" s="45"/>
      <c r="N5" s="45"/>
      <c r="O5" s="45"/>
      <c r="P5" s="45"/>
      <c r="Q5" s="45"/>
    </row>
    <row r="6" spans="1:17" ht="18" customHeight="1" x14ac:dyDescent="0.2">
      <c r="A6" s="9">
        <v>1</v>
      </c>
      <c r="B6" s="35" t="s">
        <v>229</v>
      </c>
      <c r="C6" s="40">
        <v>0</v>
      </c>
      <c r="D6" s="40">
        <v>0</v>
      </c>
      <c r="E6" s="40">
        <v>0</v>
      </c>
      <c r="F6" s="40">
        <v>0</v>
      </c>
      <c r="G6" s="40">
        <v>0</v>
      </c>
      <c r="H6" s="40">
        <v>0</v>
      </c>
      <c r="I6" s="40">
        <v>0</v>
      </c>
      <c r="J6" s="39">
        <v>0</v>
      </c>
      <c r="K6" s="40">
        <v>0</v>
      </c>
      <c r="L6" s="54">
        <f>D6-J6</f>
        <v>0</v>
      </c>
      <c r="M6" s="9" t="s">
        <v>54</v>
      </c>
      <c r="N6" s="9" t="s">
        <v>54</v>
      </c>
      <c r="O6" s="9" t="s">
        <v>54</v>
      </c>
      <c r="P6" s="9" t="s">
        <v>54</v>
      </c>
      <c r="Q6" s="55"/>
    </row>
    <row r="7" spans="1:17" ht="18" customHeight="1" x14ac:dyDescent="0.2">
      <c r="A7" s="9">
        <v>2</v>
      </c>
      <c r="B7" s="35" t="s">
        <v>230</v>
      </c>
      <c r="C7" s="40">
        <v>0</v>
      </c>
      <c r="D7" s="40">
        <v>0</v>
      </c>
      <c r="E7" s="40">
        <v>0</v>
      </c>
      <c r="F7" s="40">
        <v>0</v>
      </c>
      <c r="G7" s="40">
        <v>0</v>
      </c>
      <c r="H7" s="40">
        <v>0</v>
      </c>
      <c r="I7" s="40">
        <v>0</v>
      </c>
      <c r="J7" s="39">
        <v>0</v>
      </c>
      <c r="K7" s="40">
        <v>0</v>
      </c>
      <c r="L7" s="54">
        <f t="shared" ref="L7:L27" si="0">D7-J7</f>
        <v>0</v>
      </c>
      <c r="M7" s="9" t="s">
        <v>54</v>
      </c>
      <c r="N7" s="9" t="s">
        <v>54</v>
      </c>
      <c r="O7" s="9" t="s">
        <v>54</v>
      </c>
      <c r="P7" s="9" t="s">
        <v>54</v>
      </c>
      <c r="Q7" s="55"/>
    </row>
    <row r="8" spans="1:17" ht="18" customHeight="1" x14ac:dyDescent="0.2">
      <c r="A8" s="9">
        <v>3</v>
      </c>
      <c r="B8" s="35" t="s">
        <v>231</v>
      </c>
      <c r="C8" s="40">
        <v>0</v>
      </c>
      <c r="D8" s="40">
        <v>0</v>
      </c>
      <c r="E8" s="40">
        <v>0</v>
      </c>
      <c r="F8" s="40">
        <v>0</v>
      </c>
      <c r="G8" s="40">
        <v>0</v>
      </c>
      <c r="H8" s="40">
        <v>0</v>
      </c>
      <c r="I8" s="40">
        <v>0</v>
      </c>
      <c r="J8" s="39">
        <v>0</v>
      </c>
      <c r="K8" s="40">
        <v>0</v>
      </c>
      <c r="L8" s="54">
        <f t="shared" si="0"/>
        <v>0</v>
      </c>
      <c r="M8" s="9" t="s">
        <v>54</v>
      </c>
      <c r="N8" s="9" t="s">
        <v>54</v>
      </c>
      <c r="O8" s="9" t="s">
        <v>54</v>
      </c>
      <c r="P8" s="9" t="s">
        <v>54</v>
      </c>
      <c r="Q8" s="55"/>
    </row>
    <row r="9" spans="1:17" ht="18" customHeight="1" x14ac:dyDescent="0.2">
      <c r="A9" s="9">
        <v>4</v>
      </c>
      <c r="B9" s="35" t="s">
        <v>232</v>
      </c>
      <c r="C9" s="40">
        <v>0</v>
      </c>
      <c r="D9" s="40">
        <v>0</v>
      </c>
      <c r="E9" s="40">
        <v>0</v>
      </c>
      <c r="F9" s="40">
        <v>0</v>
      </c>
      <c r="G9" s="40">
        <v>0</v>
      </c>
      <c r="H9" s="40">
        <v>0</v>
      </c>
      <c r="I9" s="40">
        <v>0</v>
      </c>
      <c r="J9" s="39">
        <v>0</v>
      </c>
      <c r="K9" s="40">
        <v>0</v>
      </c>
      <c r="L9" s="54">
        <f t="shared" si="0"/>
        <v>0</v>
      </c>
      <c r="M9" s="9" t="s">
        <v>54</v>
      </c>
      <c r="N9" s="9" t="s">
        <v>54</v>
      </c>
      <c r="O9" s="9" t="s">
        <v>54</v>
      </c>
      <c r="P9" s="9" t="s">
        <v>54</v>
      </c>
      <c r="Q9" s="55"/>
    </row>
    <row r="10" spans="1:17" ht="18" customHeight="1" x14ac:dyDescent="0.2">
      <c r="A10" s="9">
        <v>5</v>
      </c>
      <c r="B10" s="35" t="s">
        <v>233</v>
      </c>
      <c r="C10" s="40">
        <v>0</v>
      </c>
      <c r="D10" s="40">
        <v>0</v>
      </c>
      <c r="E10" s="40">
        <v>0</v>
      </c>
      <c r="F10" s="40">
        <v>0</v>
      </c>
      <c r="G10" s="40">
        <v>0</v>
      </c>
      <c r="H10" s="40">
        <v>0</v>
      </c>
      <c r="I10" s="40">
        <v>0</v>
      </c>
      <c r="J10" s="39">
        <v>0</v>
      </c>
      <c r="K10" s="40">
        <v>0</v>
      </c>
      <c r="L10" s="54">
        <f t="shared" si="0"/>
        <v>0</v>
      </c>
      <c r="M10" s="9" t="s">
        <v>54</v>
      </c>
      <c r="N10" s="9" t="s">
        <v>54</v>
      </c>
      <c r="O10" s="9" t="s">
        <v>54</v>
      </c>
      <c r="P10" s="9" t="s">
        <v>54</v>
      </c>
      <c r="Q10" s="55"/>
    </row>
    <row r="11" spans="1:17" ht="18" customHeight="1" x14ac:dyDescent="0.2">
      <c r="A11" s="145">
        <v>6</v>
      </c>
      <c r="B11" s="24" t="s">
        <v>234</v>
      </c>
      <c r="C11" s="40">
        <v>3</v>
      </c>
      <c r="D11" s="156">
        <v>3</v>
      </c>
      <c r="E11" s="25">
        <v>0</v>
      </c>
      <c r="F11" s="25">
        <v>0</v>
      </c>
      <c r="G11" s="25">
        <v>0</v>
      </c>
      <c r="H11" s="25">
        <v>0</v>
      </c>
      <c r="I11" s="25">
        <v>0</v>
      </c>
      <c r="J11" s="43">
        <v>0</v>
      </c>
      <c r="K11" s="25">
        <v>0</v>
      </c>
      <c r="L11" s="26">
        <v>3</v>
      </c>
      <c r="M11" s="146" t="e">
        <f>#REF!/D11</f>
        <v>#REF!</v>
      </c>
      <c r="N11" s="146" t="e">
        <f>#REF!/D11</f>
        <v>#REF!</v>
      </c>
      <c r="O11" s="146">
        <v>1</v>
      </c>
      <c r="P11" s="146">
        <v>1</v>
      </c>
      <c r="Q11" s="55"/>
    </row>
    <row r="12" spans="1:17" ht="18" customHeight="1" x14ac:dyDescent="0.2">
      <c r="A12" s="9">
        <v>7</v>
      </c>
      <c r="B12" s="35" t="s">
        <v>235</v>
      </c>
      <c r="C12" s="40">
        <v>0</v>
      </c>
      <c r="D12" s="40">
        <v>0</v>
      </c>
      <c r="E12" s="40">
        <v>0</v>
      </c>
      <c r="F12" s="40">
        <v>0</v>
      </c>
      <c r="G12" s="40">
        <v>0</v>
      </c>
      <c r="H12" s="40">
        <v>0</v>
      </c>
      <c r="I12" s="40">
        <v>0</v>
      </c>
      <c r="J12" s="39">
        <v>0</v>
      </c>
      <c r="K12" s="40">
        <v>0</v>
      </c>
      <c r="L12" s="54">
        <f t="shared" si="0"/>
        <v>0</v>
      </c>
      <c r="M12" s="9" t="s">
        <v>54</v>
      </c>
      <c r="N12" s="9" t="s">
        <v>54</v>
      </c>
      <c r="O12" s="9" t="s">
        <v>54</v>
      </c>
      <c r="P12" s="9" t="s">
        <v>54</v>
      </c>
      <c r="Q12" s="55"/>
    </row>
    <row r="13" spans="1:17" ht="18" customHeight="1" x14ac:dyDescent="0.2">
      <c r="A13" s="9">
        <v>8</v>
      </c>
      <c r="B13" s="35" t="s">
        <v>236</v>
      </c>
      <c r="C13" s="40">
        <v>0</v>
      </c>
      <c r="D13" s="40">
        <v>0</v>
      </c>
      <c r="E13" s="40">
        <v>0</v>
      </c>
      <c r="F13" s="40">
        <v>0</v>
      </c>
      <c r="G13" s="40">
        <v>0</v>
      </c>
      <c r="H13" s="40">
        <v>0</v>
      </c>
      <c r="I13" s="40">
        <v>0</v>
      </c>
      <c r="J13" s="39">
        <v>0</v>
      </c>
      <c r="K13" s="40">
        <v>0</v>
      </c>
      <c r="L13" s="54">
        <f t="shared" si="0"/>
        <v>0</v>
      </c>
      <c r="M13" s="9" t="s">
        <v>54</v>
      </c>
      <c r="N13" s="9" t="s">
        <v>54</v>
      </c>
      <c r="O13" s="9" t="s">
        <v>54</v>
      </c>
      <c r="P13" s="9" t="s">
        <v>54</v>
      </c>
      <c r="Q13" s="55"/>
    </row>
    <row r="14" spans="1:17" ht="18" customHeight="1" x14ac:dyDescent="0.2">
      <c r="A14" s="46">
        <v>9</v>
      </c>
      <c r="B14" s="35" t="s">
        <v>237</v>
      </c>
      <c r="C14" s="25">
        <v>25</v>
      </c>
      <c r="D14" s="25">
        <v>21</v>
      </c>
      <c r="E14" s="25">
        <v>0</v>
      </c>
      <c r="F14" s="25">
        <v>0</v>
      </c>
      <c r="G14" s="25">
        <v>0</v>
      </c>
      <c r="H14" s="25">
        <v>0</v>
      </c>
      <c r="I14" s="25">
        <v>0</v>
      </c>
      <c r="J14" s="43">
        <v>0</v>
      </c>
      <c r="K14" s="25">
        <v>0</v>
      </c>
      <c r="L14" s="26">
        <f t="shared" si="0"/>
        <v>21</v>
      </c>
      <c r="M14" s="20">
        <f t="shared" ref="M14:M27" si="1">J14/D14</f>
        <v>0</v>
      </c>
      <c r="N14" s="20">
        <f t="shared" ref="N14:N27" si="2">K14/D14</f>
        <v>0</v>
      </c>
      <c r="O14" s="20">
        <f t="shared" ref="O14:O27" si="3">L14/D14</f>
        <v>1</v>
      </c>
      <c r="P14" s="20">
        <f t="shared" ref="P14:P27" si="4">D14/C14</f>
        <v>0.84</v>
      </c>
      <c r="Q14" s="57"/>
    </row>
    <row r="15" spans="1:17" ht="18" customHeight="1" x14ac:dyDescent="0.2">
      <c r="A15" s="9">
        <v>10</v>
      </c>
      <c r="B15" s="35" t="s">
        <v>238</v>
      </c>
      <c r="C15" s="40">
        <v>0</v>
      </c>
      <c r="D15" s="40">
        <v>0</v>
      </c>
      <c r="E15" s="40">
        <v>0</v>
      </c>
      <c r="F15" s="40">
        <v>0</v>
      </c>
      <c r="G15" s="40">
        <v>0</v>
      </c>
      <c r="H15" s="40">
        <v>0</v>
      </c>
      <c r="I15" s="40">
        <v>0</v>
      </c>
      <c r="J15" s="39">
        <v>0</v>
      </c>
      <c r="K15" s="40">
        <v>0</v>
      </c>
      <c r="L15" s="54">
        <f t="shared" si="0"/>
        <v>0</v>
      </c>
      <c r="M15" s="9" t="s">
        <v>54</v>
      </c>
      <c r="N15" s="9" t="s">
        <v>54</v>
      </c>
      <c r="O15" s="9" t="s">
        <v>54</v>
      </c>
      <c r="P15" s="9" t="s">
        <v>54</v>
      </c>
      <c r="Q15" s="55"/>
    </row>
    <row r="16" spans="1:17" ht="18" customHeight="1" x14ac:dyDescent="0.2">
      <c r="A16" s="9">
        <v>11</v>
      </c>
      <c r="B16" s="35" t="s">
        <v>239</v>
      </c>
      <c r="C16" s="40">
        <v>0</v>
      </c>
      <c r="D16" s="40">
        <v>0</v>
      </c>
      <c r="E16" s="40">
        <v>0</v>
      </c>
      <c r="F16" s="40">
        <v>0</v>
      </c>
      <c r="G16" s="40">
        <v>0</v>
      </c>
      <c r="H16" s="40">
        <v>0</v>
      </c>
      <c r="I16" s="40">
        <v>0</v>
      </c>
      <c r="J16" s="39">
        <v>0</v>
      </c>
      <c r="K16" s="40">
        <v>0</v>
      </c>
      <c r="L16" s="54">
        <f t="shared" si="0"/>
        <v>0</v>
      </c>
      <c r="M16" s="9" t="s">
        <v>54</v>
      </c>
      <c r="N16" s="9" t="s">
        <v>54</v>
      </c>
      <c r="O16" s="9" t="s">
        <v>54</v>
      </c>
      <c r="P16" s="9" t="s">
        <v>54</v>
      </c>
      <c r="Q16" s="55"/>
    </row>
    <row r="17" spans="1:17" ht="18" customHeight="1" x14ac:dyDescent="0.2">
      <c r="A17" s="9">
        <v>12</v>
      </c>
      <c r="B17" s="24" t="s">
        <v>240</v>
      </c>
      <c r="C17" s="40">
        <v>0</v>
      </c>
      <c r="D17" s="40">
        <v>0</v>
      </c>
      <c r="E17" s="40">
        <v>0</v>
      </c>
      <c r="F17" s="40">
        <v>0</v>
      </c>
      <c r="G17" s="40">
        <v>0</v>
      </c>
      <c r="H17" s="40">
        <v>0</v>
      </c>
      <c r="I17" s="40">
        <v>0</v>
      </c>
      <c r="J17" s="39">
        <v>0</v>
      </c>
      <c r="K17" s="40">
        <v>0</v>
      </c>
      <c r="L17" s="54">
        <f t="shared" si="0"/>
        <v>0</v>
      </c>
      <c r="M17" s="9" t="s">
        <v>54</v>
      </c>
      <c r="N17" s="9" t="s">
        <v>54</v>
      </c>
      <c r="O17" s="9" t="s">
        <v>54</v>
      </c>
      <c r="P17" s="9" t="s">
        <v>54</v>
      </c>
      <c r="Q17" s="55"/>
    </row>
    <row r="18" spans="1:17" ht="18" customHeight="1" x14ac:dyDescent="0.2">
      <c r="A18" s="9">
        <v>13</v>
      </c>
      <c r="B18" s="35" t="s">
        <v>241</v>
      </c>
      <c r="C18" s="40">
        <v>0</v>
      </c>
      <c r="D18" s="40">
        <v>0</v>
      </c>
      <c r="E18" s="40">
        <v>0</v>
      </c>
      <c r="F18" s="40">
        <v>0</v>
      </c>
      <c r="G18" s="40">
        <v>0</v>
      </c>
      <c r="H18" s="40">
        <v>0</v>
      </c>
      <c r="I18" s="40">
        <v>0</v>
      </c>
      <c r="J18" s="39">
        <v>0</v>
      </c>
      <c r="K18" s="40">
        <v>0</v>
      </c>
      <c r="L18" s="54">
        <f t="shared" si="0"/>
        <v>0</v>
      </c>
      <c r="M18" s="9" t="s">
        <v>54</v>
      </c>
      <c r="N18" s="9" t="s">
        <v>54</v>
      </c>
      <c r="O18" s="9" t="s">
        <v>54</v>
      </c>
      <c r="P18" s="9" t="s">
        <v>54</v>
      </c>
      <c r="Q18" s="55"/>
    </row>
    <row r="19" spans="1:17" ht="18" customHeight="1" x14ac:dyDescent="0.2">
      <c r="A19" s="9">
        <v>14</v>
      </c>
      <c r="B19" s="35" t="s">
        <v>242</v>
      </c>
      <c r="C19" s="40">
        <v>0</v>
      </c>
      <c r="D19" s="40">
        <v>0</v>
      </c>
      <c r="E19" s="40">
        <v>0</v>
      </c>
      <c r="F19" s="40">
        <v>0</v>
      </c>
      <c r="G19" s="40">
        <v>0</v>
      </c>
      <c r="H19" s="40">
        <v>0</v>
      </c>
      <c r="I19" s="40">
        <v>0</v>
      </c>
      <c r="J19" s="39">
        <v>0</v>
      </c>
      <c r="K19" s="40">
        <v>0</v>
      </c>
      <c r="L19" s="54">
        <f t="shared" si="0"/>
        <v>0</v>
      </c>
      <c r="M19" s="9" t="s">
        <v>54</v>
      </c>
      <c r="N19" s="9" t="s">
        <v>54</v>
      </c>
      <c r="O19" s="9" t="s">
        <v>54</v>
      </c>
      <c r="P19" s="9" t="s">
        <v>54</v>
      </c>
      <c r="Q19" s="55"/>
    </row>
    <row r="20" spans="1:17" ht="18" customHeight="1" x14ac:dyDescent="0.2">
      <c r="A20" s="9">
        <v>15</v>
      </c>
      <c r="B20" s="35" t="s">
        <v>243</v>
      </c>
      <c r="C20" s="40">
        <v>0</v>
      </c>
      <c r="D20" s="40">
        <v>0</v>
      </c>
      <c r="E20" s="40">
        <v>0</v>
      </c>
      <c r="F20" s="40">
        <v>0</v>
      </c>
      <c r="G20" s="40">
        <v>0</v>
      </c>
      <c r="H20" s="40">
        <v>0</v>
      </c>
      <c r="I20" s="40">
        <v>0</v>
      </c>
      <c r="J20" s="39">
        <v>0</v>
      </c>
      <c r="K20" s="40">
        <v>0</v>
      </c>
      <c r="L20" s="54">
        <f t="shared" si="0"/>
        <v>0</v>
      </c>
      <c r="M20" s="9" t="s">
        <v>54</v>
      </c>
      <c r="N20" s="9" t="s">
        <v>54</v>
      </c>
      <c r="O20" s="9" t="s">
        <v>54</v>
      </c>
      <c r="P20" s="9" t="s">
        <v>54</v>
      </c>
      <c r="Q20" s="55"/>
    </row>
    <row r="21" spans="1:17" ht="18" customHeight="1" x14ac:dyDescent="0.2">
      <c r="A21" s="9">
        <v>16</v>
      </c>
      <c r="B21" s="35" t="s">
        <v>244</v>
      </c>
      <c r="C21" s="40">
        <v>0</v>
      </c>
      <c r="D21" s="40">
        <v>0</v>
      </c>
      <c r="E21" s="40">
        <v>0</v>
      </c>
      <c r="F21" s="40">
        <v>0</v>
      </c>
      <c r="G21" s="40">
        <v>0</v>
      </c>
      <c r="H21" s="40">
        <v>0</v>
      </c>
      <c r="I21" s="40">
        <v>0</v>
      </c>
      <c r="J21" s="39">
        <v>0</v>
      </c>
      <c r="K21" s="40">
        <v>0</v>
      </c>
      <c r="L21" s="54">
        <f t="shared" si="0"/>
        <v>0</v>
      </c>
      <c r="M21" s="9" t="s">
        <v>54</v>
      </c>
      <c r="N21" s="9" t="s">
        <v>54</v>
      </c>
      <c r="O21" s="9" t="s">
        <v>54</v>
      </c>
      <c r="P21" s="9" t="s">
        <v>54</v>
      </c>
      <c r="Q21" s="55"/>
    </row>
    <row r="22" spans="1:17" ht="18" customHeight="1" x14ac:dyDescent="0.2">
      <c r="A22" s="9">
        <v>17</v>
      </c>
      <c r="B22" s="35" t="s">
        <v>245</v>
      </c>
      <c r="C22" s="40">
        <v>0</v>
      </c>
      <c r="D22" s="40">
        <v>0</v>
      </c>
      <c r="E22" s="40">
        <v>0</v>
      </c>
      <c r="F22" s="40">
        <v>0</v>
      </c>
      <c r="G22" s="40">
        <v>0</v>
      </c>
      <c r="H22" s="40">
        <v>0</v>
      </c>
      <c r="I22" s="40">
        <v>0</v>
      </c>
      <c r="J22" s="39">
        <v>0</v>
      </c>
      <c r="K22" s="40">
        <v>0</v>
      </c>
      <c r="L22" s="54">
        <f t="shared" si="0"/>
        <v>0</v>
      </c>
      <c r="M22" s="9" t="s">
        <v>54</v>
      </c>
      <c r="N22" s="9" t="s">
        <v>54</v>
      </c>
      <c r="O22" s="9" t="s">
        <v>54</v>
      </c>
      <c r="P22" s="9" t="s">
        <v>54</v>
      </c>
      <c r="Q22" s="55"/>
    </row>
    <row r="23" spans="1:17" ht="21" customHeight="1" x14ac:dyDescent="0.2">
      <c r="A23" s="9">
        <v>18</v>
      </c>
      <c r="B23" s="24" t="s">
        <v>246</v>
      </c>
      <c r="C23" s="40">
        <v>0</v>
      </c>
      <c r="D23" s="40">
        <v>0</v>
      </c>
      <c r="E23" s="40">
        <v>0</v>
      </c>
      <c r="F23" s="40">
        <v>0</v>
      </c>
      <c r="G23" s="40">
        <v>0</v>
      </c>
      <c r="H23" s="40">
        <v>0</v>
      </c>
      <c r="I23" s="40">
        <v>0</v>
      </c>
      <c r="J23" s="39">
        <v>0</v>
      </c>
      <c r="K23" s="40">
        <v>0</v>
      </c>
      <c r="L23" s="54">
        <f t="shared" si="0"/>
        <v>0</v>
      </c>
      <c r="M23" s="9" t="s">
        <v>54</v>
      </c>
      <c r="N23" s="9" t="s">
        <v>54</v>
      </c>
      <c r="O23" s="9" t="s">
        <v>54</v>
      </c>
      <c r="P23" s="9" t="s">
        <v>54</v>
      </c>
      <c r="Q23" s="58"/>
    </row>
    <row r="24" spans="1:17" ht="34.5" customHeight="1" x14ac:dyDescent="0.2">
      <c r="A24" s="46">
        <v>19</v>
      </c>
      <c r="B24" s="35" t="s">
        <v>247</v>
      </c>
      <c r="C24" s="25">
        <v>211</v>
      </c>
      <c r="D24" s="25">
        <v>368</v>
      </c>
      <c r="E24" s="25">
        <v>0</v>
      </c>
      <c r="F24" s="25">
        <v>0</v>
      </c>
      <c r="G24" s="25">
        <v>0</v>
      </c>
      <c r="H24" s="25">
        <v>0</v>
      </c>
      <c r="I24" s="25">
        <v>0</v>
      </c>
      <c r="J24" s="43">
        <v>0</v>
      </c>
      <c r="K24" s="25">
        <v>0</v>
      </c>
      <c r="L24" s="26">
        <f>D24-J24-K24</f>
        <v>368</v>
      </c>
      <c r="M24" s="20">
        <f t="shared" si="1"/>
        <v>0</v>
      </c>
      <c r="N24" s="20">
        <f t="shared" si="2"/>
        <v>0</v>
      </c>
      <c r="O24" s="20">
        <f>L24/D24</f>
        <v>1</v>
      </c>
      <c r="P24" s="20">
        <f t="shared" si="4"/>
        <v>1.7440758293838863</v>
      </c>
      <c r="Q24" s="56"/>
    </row>
    <row r="25" spans="1:17" ht="15.75" x14ac:dyDescent="0.2">
      <c r="A25" s="46">
        <v>20</v>
      </c>
      <c r="B25" s="35" t="s">
        <v>248</v>
      </c>
      <c r="C25" s="25">
        <v>306</v>
      </c>
      <c r="D25" s="25">
        <v>100</v>
      </c>
      <c r="E25" s="25">
        <v>0</v>
      </c>
      <c r="F25" s="25">
        <v>0</v>
      </c>
      <c r="G25" s="25">
        <v>0</v>
      </c>
      <c r="H25" s="25">
        <v>0</v>
      </c>
      <c r="I25" s="25">
        <v>0</v>
      </c>
      <c r="J25" s="43">
        <v>0</v>
      </c>
      <c r="K25" s="25">
        <v>0</v>
      </c>
      <c r="L25" s="26">
        <f t="shared" si="0"/>
        <v>100</v>
      </c>
      <c r="M25" s="20">
        <f t="shared" si="1"/>
        <v>0</v>
      </c>
      <c r="N25" s="20">
        <f t="shared" si="2"/>
        <v>0</v>
      </c>
      <c r="O25" s="20">
        <f t="shared" si="3"/>
        <v>1</v>
      </c>
      <c r="P25" s="20">
        <f t="shared" si="4"/>
        <v>0.32679738562091504</v>
      </c>
      <c r="Q25" s="56"/>
    </row>
    <row r="26" spans="1:17" ht="18" customHeight="1" x14ac:dyDescent="0.2">
      <c r="A26" s="9">
        <v>21</v>
      </c>
      <c r="B26" s="35" t="s">
        <v>249</v>
      </c>
      <c r="C26" s="40">
        <v>0</v>
      </c>
      <c r="D26" s="40">
        <v>0</v>
      </c>
      <c r="E26" s="40">
        <v>0</v>
      </c>
      <c r="F26" s="40">
        <v>0</v>
      </c>
      <c r="G26" s="40">
        <v>0</v>
      </c>
      <c r="H26" s="40">
        <v>0</v>
      </c>
      <c r="I26" s="40">
        <v>0</v>
      </c>
      <c r="J26" s="39">
        <v>0</v>
      </c>
      <c r="K26" s="40">
        <v>0</v>
      </c>
      <c r="L26" s="54">
        <f t="shared" si="0"/>
        <v>0</v>
      </c>
      <c r="M26" s="9" t="s">
        <v>54</v>
      </c>
      <c r="N26" s="9" t="s">
        <v>54</v>
      </c>
      <c r="O26" s="9" t="s">
        <v>54</v>
      </c>
      <c r="P26" s="9" t="s">
        <v>54</v>
      </c>
      <c r="Q26" s="55"/>
    </row>
    <row r="27" spans="1:17" ht="18" customHeight="1" x14ac:dyDescent="0.25">
      <c r="A27" s="46">
        <v>22</v>
      </c>
      <c r="B27" s="35" t="s">
        <v>250</v>
      </c>
      <c r="C27" s="25">
        <v>23</v>
      </c>
      <c r="D27" s="25">
        <v>14</v>
      </c>
      <c r="E27" s="25">
        <v>0</v>
      </c>
      <c r="F27" s="25">
        <v>0</v>
      </c>
      <c r="G27" s="25">
        <v>0</v>
      </c>
      <c r="H27" s="25">
        <v>0</v>
      </c>
      <c r="I27" s="25">
        <v>0</v>
      </c>
      <c r="J27" s="43">
        <v>0</v>
      </c>
      <c r="K27" s="25">
        <v>0</v>
      </c>
      <c r="L27" s="26">
        <f t="shared" si="0"/>
        <v>14</v>
      </c>
      <c r="M27" s="20">
        <f t="shared" si="1"/>
        <v>0</v>
      </c>
      <c r="N27" s="20">
        <f t="shared" si="2"/>
        <v>0</v>
      </c>
      <c r="O27" s="20">
        <f t="shared" si="3"/>
        <v>1</v>
      </c>
      <c r="P27" s="20">
        <f t="shared" si="4"/>
        <v>0.60869565217391308</v>
      </c>
      <c r="Q27" s="59"/>
    </row>
  </sheetData>
  <mergeCells count="14">
    <mergeCell ref="A5:B5"/>
    <mergeCell ref="O2:O3"/>
    <mergeCell ref="P2:P3"/>
    <mergeCell ref="Q2:Q3"/>
    <mergeCell ref="M2:M3"/>
    <mergeCell ref="N2:N3"/>
    <mergeCell ref="A1:Q1"/>
    <mergeCell ref="A2:A3"/>
    <mergeCell ref="B2:B3"/>
    <mergeCell ref="C2:D2"/>
    <mergeCell ref="E2:I2"/>
    <mergeCell ref="J2:J3"/>
    <mergeCell ref="K2:K3"/>
    <mergeCell ref="L2:L3"/>
  </mergeCells>
  <phoneticPr fontId="26" type="noConversion"/>
  <dataValidations count="3">
    <dataValidation type="whole" allowBlank="1" showInputMessage="1" showErrorMessage="1" sqref="C6:I27 K6:K27" xr:uid="{00000000-0002-0000-0900-000001000000}">
      <formula1>0</formula1>
      <formula2>50000</formula2>
    </dataValidation>
    <dataValidation allowBlank="1" showInputMessage="1" showErrorMessage="1" promptTitle="FORMULA USED" prompt="Don't Ammend Here" sqref="B6:B27" xr:uid="{00000000-0002-0000-0900-000000000000}"/>
    <dataValidation type="whole" allowBlank="1" showInputMessage="1" showErrorMessage="1" errorTitle="Value Between 0 to 200000" sqref="L6:L27" xr:uid="{00000000-0002-0000-0900-000002000000}">
      <formula1>0</formula1>
      <formula2>200000</formula2>
    </dataValidation>
  </dataValidations>
  <printOptions horizontalCentered="1"/>
  <pageMargins left="0.47244094488188998" right="0.43307086614173201" top="0.48622047200000001" bottom="0.23622047244094499" header="0.31496062992126" footer="0.31496062992126"/>
  <pageSetup paperSize="305" scale="65" orientation="landscape" r:id="rId1"/>
  <ignoredErrors>
    <ignoredError sqref="L2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499984740745262"/>
  </sheetPr>
  <dimension ref="A1:P25"/>
  <sheetViews>
    <sheetView view="pageBreakPreview" zoomScale="70" zoomScaleSheetLayoutView="70" workbookViewId="0">
      <pane ySplit="3" topLeftCell="A4" activePane="bottomLeft" state="frozen"/>
      <selection activeCell="B1" sqref="B1"/>
      <selection pane="bottomLeft" sqref="A1:XFD1"/>
    </sheetView>
  </sheetViews>
  <sheetFormatPr defaultRowHeight="15" x14ac:dyDescent="0.25"/>
  <cols>
    <col min="1" max="2" width="9.140625" style="4"/>
    <col min="3" max="3" width="32" style="4" customWidth="1"/>
    <col min="4" max="4" width="9" style="4" customWidth="1"/>
    <col min="5" max="5" width="8.7109375" style="4" customWidth="1"/>
    <col min="6" max="6" width="8.28515625" style="4" customWidth="1"/>
    <col min="7" max="7" width="11" style="4" customWidth="1"/>
    <col min="8" max="8" width="8.5703125" style="4" customWidth="1"/>
    <col min="9" max="9" width="12.85546875" style="4" customWidth="1"/>
    <col min="10" max="10" width="9" style="4" customWidth="1"/>
    <col min="11" max="11" width="9.140625" style="4" customWidth="1"/>
    <col min="12" max="12" width="9.28515625" style="4" bestFit="1" customWidth="1"/>
    <col min="13" max="13" width="9.7109375" style="4" customWidth="1"/>
    <col min="14" max="14" width="13.140625" style="4" customWidth="1"/>
    <col min="15" max="15" width="13.42578125" style="4" customWidth="1"/>
    <col min="16" max="16" width="30" style="4" customWidth="1"/>
    <col min="17" max="16384" width="9.140625" style="4"/>
  </cols>
  <sheetData>
    <row r="1" spans="1:16" ht="15.75" x14ac:dyDescent="0.25">
      <c r="B1" s="62"/>
      <c r="C1" s="28"/>
      <c r="D1" s="62"/>
      <c r="E1" s="62"/>
      <c r="F1" s="62"/>
      <c r="G1" s="62"/>
      <c r="H1" s="62"/>
      <c r="I1" s="62"/>
      <c r="J1" s="62"/>
      <c r="K1" s="30"/>
      <c r="L1" s="30"/>
      <c r="M1" s="30"/>
      <c r="N1" s="197"/>
      <c r="O1" s="198"/>
      <c r="P1" s="198"/>
    </row>
    <row r="2" spans="1:16" ht="15" customHeight="1" x14ac:dyDescent="0.25">
      <c r="B2" s="199" t="s">
        <v>16</v>
      </c>
      <c r="C2" s="200"/>
      <c r="D2" s="203" t="s">
        <v>17</v>
      </c>
      <c r="E2" s="204"/>
      <c r="F2" s="205" t="s">
        <v>48</v>
      </c>
      <c r="G2" s="205"/>
      <c r="H2" s="205"/>
      <c r="I2" s="206" t="s">
        <v>18</v>
      </c>
      <c r="J2" s="206" t="s">
        <v>19</v>
      </c>
      <c r="K2" s="206" t="s">
        <v>20</v>
      </c>
      <c r="L2" s="208" t="s">
        <v>21</v>
      </c>
      <c r="M2" s="208" t="s">
        <v>22</v>
      </c>
      <c r="N2" s="208" t="s">
        <v>23</v>
      </c>
      <c r="O2" s="208" t="s">
        <v>24</v>
      </c>
      <c r="P2" s="206" t="s">
        <v>51</v>
      </c>
    </row>
    <row r="3" spans="1:16" ht="61.5" customHeight="1" x14ac:dyDescent="0.25">
      <c r="B3" s="201"/>
      <c r="C3" s="202"/>
      <c r="D3" s="73" t="s">
        <v>25</v>
      </c>
      <c r="E3" s="73" t="s">
        <v>26</v>
      </c>
      <c r="F3" s="63" t="s">
        <v>27</v>
      </c>
      <c r="G3" s="64" t="s">
        <v>49</v>
      </c>
      <c r="H3" s="63" t="s">
        <v>28</v>
      </c>
      <c r="I3" s="207"/>
      <c r="J3" s="207"/>
      <c r="K3" s="207"/>
      <c r="L3" s="208"/>
      <c r="M3" s="208"/>
      <c r="N3" s="208"/>
      <c r="O3" s="208"/>
      <c r="P3" s="209"/>
    </row>
    <row r="4" spans="1:16" x14ac:dyDescent="0.25">
      <c r="B4" s="210" t="s">
        <v>2</v>
      </c>
      <c r="C4" s="211"/>
      <c r="D4" s="65" t="s">
        <v>3</v>
      </c>
      <c r="E4" s="65" t="s">
        <v>4</v>
      </c>
      <c r="F4" s="66" t="s">
        <v>5</v>
      </c>
      <c r="G4" s="66" t="s">
        <v>6</v>
      </c>
      <c r="H4" s="65" t="s">
        <v>7</v>
      </c>
      <c r="I4" s="65" t="s">
        <v>8</v>
      </c>
      <c r="J4" s="65" t="s">
        <v>9</v>
      </c>
      <c r="K4" s="65" t="s">
        <v>10</v>
      </c>
      <c r="L4" s="65" t="s">
        <v>11</v>
      </c>
      <c r="M4" s="65" t="s">
        <v>12</v>
      </c>
      <c r="N4" s="65" t="s">
        <v>13</v>
      </c>
      <c r="O4" s="65" t="s">
        <v>29</v>
      </c>
      <c r="P4" s="65" t="s">
        <v>30</v>
      </c>
    </row>
    <row r="5" spans="1:16" ht="15" customHeight="1" x14ac:dyDescent="0.25">
      <c r="A5" s="157">
        <v>1</v>
      </c>
      <c r="B5" s="196" t="s">
        <v>251</v>
      </c>
      <c r="C5" s="196"/>
      <c r="D5" s="33">
        <v>0</v>
      </c>
      <c r="E5" s="33">
        <v>0</v>
      </c>
      <c r="F5" s="33">
        <v>0</v>
      </c>
      <c r="G5" s="33">
        <v>0</v>
      </c>
      <c r="H5" s="33">
        <v>0</v>
      </c>
      <c r="I5" s="33">
        <v>0</v>
      </c>
      <c r="J5" s="33">
        <v>0</v>
      </c>
      <c r="K5" s="34">
        <f t="shared" ref="K5:K7" si="0">E5-I5</f>
        <v>0</v>
      </c>
      <c r="L5" s="9" t="s">
        <v>54</v>
      </c>
      <c r="M5" s="9" t="s">
        <v>54</v>
      </c>
      <c r="N5" s="9" t="s">
        <v>54</v>
      </c>
      <c r="O5" s="9" t="s">
        <v>54</v>
      </c>
      <c r="P5" s="29"/>
    </row>
    <row r="6" spans="1:16" ht="15" customHeight="1" x14ac:dyDescent="0.25">
      <c r="A6" s="157">
        <v>2</v>
      </c>
      <c r="B6" s="196" t="s">
        <v>252</v>
      </c>
      <c r="C6" s="196"/>
      <c r="D6" s="1">
        <v>4</v>
      </c>
      <c r="E6" s="1">
        <v>4</v>
      </c>
      <c r="F6" s="1">
        <v>0</v>
      </c>
      <c r="G6" s="1">
        <v>0</v>
      </c>
      <c r="H6" s="1">
        <v>0</v>
      </c>
      <c r="I6" s="1">
        <v>0</v>
      </c>
      <c r="J6" s="1">
        <v>0</v>
      </c>
      <c r="K6" s="2">
        <f t="shared" si="0"/>
        <v>4</v>
      </c>
      <c r="L6" s="3">
        <f t="shared" ref="L6:L7" si="1">I6/E6</f>
        <v>0</v>
      </c>
      <c r="M6" s="3">
        <f t="shared" ref="M6:M7" si="2">J6/E6</f>
        <v>0</v>
      </c>
      <c r="N6" s="3">
        <f t="shared" ref="N6:N7" si="3">K6/E6</f>
        <v>1</v>
      </c>
      <c r="O6" s="3">
        <f t="shared" ref="O6:O7" si="4">E6/D6</f>
        <v>1</v>
      </c>
      <c r="P6" s="29"/>
    </row>
    <row r="7" spans="1:16" ht="15.75" x14ac:dyDescent="0.25">
      <c r="A7" s="157">
        <v>3</v>
      </c>
      <c r="B7" s="196" t="s">
        <v>253</v>
      </c>
      <c r="C7" s="196"/>
      <c r="D7" s="1">
        <v>3</v>
      </c>
      <c r="E7" s="1">
        <v>5</v>
      </c>
      <c r="F7" s="1">
        <v>0</v>
      </c>
      <c r="G7" s="1">
        <v>1</v>
      </c>
      <c r="H7" s="1">
        <v>0</v>
      </c>
      <c r="I7" s="1">
        <v>0</v>
      </c>
      <c r="J7" s="1">
        <v>0</v>
      </c>
      <c r="K7" s="2">
        <f t="shared" si="0"/>
        <v>5</v>
      </c>
      <c r="L7" s="3">
        <f t="shared" si="1"/>
        <v>0</v>
      </c>
      <c r="M7" s="3">
        <f t="shared" si="2"/>
        <v>0</v>
      </c>
      <c r="N7" s="3">
        <f t="shared" si="3"/>
        <v>1</v>
      </c>
      <c r="O7" s="3">
        <f t="shared" si="4"/>
        <v>1.6666666666666667</v>
      </c>
      <c r="P7" s="29"/>
    </row>
    <row r="8" spans="1:16" s="124" customFormat="1" ht="15.75" x14ac:dyDescent="0.25">
      <c r="A8" s="157">
        <v>4</v>
      </c>
      <c r="B8" s="194" t="s">
        <v>254</v>
      </c>
      <c r="C8" s="195"/>
      <c r="D8" s="121">
        <v>5</v>
      </c>
      <c r="E8" s="121">
        <v>2</v>
      </c>
      <c r="F8" s="121">
        <v>0</v>
      </c>
      <c r="G8" s="121">
        <v>0</v>
      </c>
      <c r="H8" s="121">
        <v>0</v>
      </c>
      <c r="I8" s="122">
        <v>0</v>
      </c>
      <c r="J8" s="122">
        <v>0</v>
      </c>
      <c r="K8" s="103">
        <f t="shared" ref="K8:K23" si="5">E8-I8</f>
        <v>2</v>
      </c>
      <c r="L8" s="123">
        <f t="shared" ref="L8:L23" si="6">I8/E8</f>
        <v>0</v>
      </c>
      <c r="M8" s="123">
        <f t="shared" ref="M8:M23" si="7">J8/E8</f>
        <v>0</v>
      </c>
      <c r="N8" s="123">
        <f t="shared" ref="N8:N23" si="8">K8/E8</f>
        <v>1</v>
      </c>
      <c r="O8" s="123">
        <f t="shared" ref="O8:O23" si="9">E8/D8</f>
        <v>0.4</v>
      </c>
      <c r="P8" s="115"/>
    </row>
    <row r="9" spans="1:16" ht="15" customHeight="1" x14ac:dyDescent="0.25">
      <c r="A9" s="157">
        <v>5</v>
      </c>
      <c r="B9" s="194" t="s">
        <v>255</v>
      </c>
      <c r="C9" s="195"/>
      <c r="D9" s="33">
        <v>0</v>
      </c>
      <c r="E9" s="33">
        <v>0</v>
      </c>
      <c r="F9" s="33">
        <v>0</v>
      </c>
      <c r="G9" s="33">
        <v>0</v>
      </c>
      <c r="H9" s="33">
        <v>0</v>
      </c>
      <c r="I9" s="33">
        <v>0</v>
      </c>
      <c r="J9" s="33">
        <v>0</v>
      </c>
      <c r="K9" s="34">
        <f t="shared" si="5"/>
        <v>0</v>
      </c>
      <c r="L9" s="60" t="s">
        <v>54</v>
      </c>
      <c r="M9" s="60" t="s">
        <v>54</v>
      </c>
      <c r="N9" s="60" t="s">
        <v>54</v>
      </c>
      <c r="O9" s="60" t="s">
        <v>54</v>
      </c>
      <c r="P9" s="29"/>
    </row>
    <row r="10" spans="1:16" ht="15" customHeight="1" x14ac:dyDescent="0.25">
      <c r="A10" s="157">
        <v>6</v>
      </c>
      <c r="B10" s="194" t="s">
        <v>256</v>
      </c>
      <c r="C10" s="195"/>
      <c r="D10" s="33">
        <v>0</v>
      </c>
      <c r="E10" s="33">
        <v>0</v>
      </c>
      <c r="F10" s="33">
        <v>0</v>
      </c>
      <c r="G10" s="33">
        <v>0</v>
      </c>
      <c r="H10" s="33">
        <v>0</v>
      </c>
      <c r="I10" s="33">
        <v>0</v>
      </c>
      <c r="J10" s="33">
        <v>0</v>
      </c>
      <c r="K10" s="34">
        <f t="shared" si="5"/>
        <v>0</v>
      </c>
      <c r="L10" s="60" t="s">
        <v>54</v>
      </c>
      <c r="M10" s="60" t="s">
        <v>54</v>
      </c>
      <c r="N10" s="60" t="s">
        <v>54</v>
      </c>
      <c r="O10" s="60" t="s">
        <v>54</v>
      </c>
      <c r="P10" s="29"/>
    </row>
    <row r="11" spans="1:16" ht="15" customHeight="1" x14ac:dyDescent="0.25">
      <c r="A11" s="157">
        <v>7</v>
      </c>
      <c r="B11" s="194" t="s">
        <v>257</v>
      </c>
      <c r="C11" s="195"/>
      <c r="D11" s="1">
        <v>4</v>
      </c>
      <c r="E11" s="1">
        <v>2</v>
      </c>
      <c r="F11" s="1">
        <v>0</v>
      </c>
      <c r="G11" s="1">
        <v>0</v>
      </c>
      <c r="H11" s="1">
        <v>0</v>
      </c>
      <c r="I11" s="1">
        <v>0</v>
      </c>
      <c r="J11" s="1">
        <v>0</v>
      </c>
      <c r="K11" s="2">
        <f t="shared" si="5"/>
        <v>2</v>
      </c>
      <c r="L11" s="3">
        <f t="shared" si="6"/>
        <v>0</v>
      </c>
      <c r="M11" s="3">
        <f t="shared" si="7"/>
        <v>0</v>
      </c>
      <c r="N11" s="3">
        <f t="shared" si="8"/>
        <v>1</v>
      </c>
      <c r="O11" s="3">
        <f t="shared" si="9"/>
        <v>0.5</v>
      </c>
      <c r="P11" s="69"/>
    </row>
    <row r="12" spans="1:16" ht="15.75" customHeight="1" x14ac:dyDescent="0.25">
      <c r="A12" s="157">
        <v>8</v>
      </c>
      <c r="B12" s="193" t="s">
        <v>258</v>
      </c>
      <c r="C12" s="193"/>
      <c r="D12" s="191">
        <v>10</v>
      </c>
      <c r="E12" s="1">
        <v>6</v>
      </c>
      <c r="F12" s="1">
        <v>0</v>
      </c>
      <c r="G12" s="1">
        <v>0</v>
      </c>
      <c r="H12" s="1">
        <v>0</v>
      </c>
      <c r="I12" s="1">
        <v>0</v>
      </c>
      <c r="J12" s="1">
        <v>0</v>
      </c>
      <c r="K12" s="2">
        <f t="shared" si="5"/>
        <v>6</v>
      </c>
      <c r="L12" s="3">
        <f t="shared" si="6"/>
        <v>0</v>
      </c>
      <c r="M12" s="3">
        <f t="shared" si="7"/>
        <v>0</v>
      </c>
      <c r="N12" s="3">
        <f t="shared" si="8"/>
        <v>1</v>
      </c>
      <c r="O12" s="3" t="e">
        <f>E12/#REF!</f>
        <v>#REF!</v>
      </c>
      <c r="P12" s="70"/>
    </row>
    <row r="13" spans="1:16" s="71" customFormat="1" ht="15.75" customHeight="1" x14ac:dyDescent="0.25">
      <c r="A13" s="157">
        <v>9</v>
      </c>
      <c r="B13" s="193" t="s">
        <v>259</v>
      </c>
      <c r="C13" s="193"/>
      <c r="D13" s="192"/>
      <c r="E13" s="43">
        <v>10</v>
      </c>
      <c r="F13" s="43">
        <v>0</v>
      </c>
      <c r="G13" s="43">
        <v>0</v>
      </c>
      <c r="H13" s="43">
        <v>0</v>
      </c>
      <c r="I13" s="43">
        <v>0</v>
      </c>
      <c r="J13" s="43">
        <v>0</v>
      </c>
      <c r="K13" s="26">
        <f t="shared" si="5"/>
        <v>10</v>
      </c>
      <c r="L13" s="7">
        <f t="shared" si="6"/>
        <v>0</v>
      </c>
      <c r="M13" s="7">
        <f t="shared" si="7"/>
        <v>0</v>
      </c>
      <c r="N13" s="7">
        <f t="shared" si="8"/>
        <v>1</v>
      </c>
      <c r="O13" s="7">
        <f>E13/D12</f>
        <v>1</v>
      </c>
      <c r="P13" s="48"/>
    </row>
    <row r="14" spans="1:16" ht="15" customHeight="1" x14ac:dyDescent="0.25">
      <c r="A14" s="157">
        <v>10</v>
      </c>
      <c r="B14" s="193" t="s">
        <v>260</v>
      </c>
      <c r="C14" s="193"/>
      <c r="D14" s="33">
        <v>0</v>
      </c>
      <c r="E14" s="33">
        <v>0</v>
      </c>
      <c r="F14" s="33">
        <v>0</v>
      </c>
      <c r="G14" s="33">
        <v>0</v>
      </c>
      <c r="H14" s="33">
        <v>0</v>
      </c>
      <c r="I14" s="33">
        <v>0</v>
      </c>
      <c r="J14" s="33">
        <v>0</v>
      </c>
      <c r="K14" s="34">
        <f t="shared" si="5"/>
        <v>0</v>
      </c>
      <c r="L14" s="60" t="s">
        <v>54</v>
      </c>
      <c r="M14" s="60" t="s">
        <v>54</v>
      </c>
      <c r="N14" s="60" t="s">
        <v>54</v>
      </c>
      <c r="O14" s="60" t="s">
        <v>54</v>
      </c>
      <c r="P14" s="68"/>
    </row>
    <row r="15" spans="1:16" ht="15.75" customHeight="1" x14ac:dyDescent="0.25">
      <c r="A15" s="157">
        <v>11</v>
      </c>
      <c r="B15" s="193" t="s">
        <v>261</v>
      </c>
      <c r="C15" s="193"/>
      <c r="D15" s="1">
        <v>49</v>
      </c>
      <c r="E15" s="1">
        <v>14</v>
      </c>
      <c r="F15" s="1">
        <v>0</v>
      </c>
      <c r="G15" s="1">
        <v>0</v>
      </c>
      <c r="H15" s="1">
        <v>0</v>
      </c>
      <c r="I15" s="1">
        <v>0</v>
      </c>
      <c r="J15" s="1">
        <v>0</v>
      </c>
      <c r="K15" s="2">
        <f t="shared" si="5"/>
        <v>14</v>
      </c>
      <c r="L15" s="3">
        <f t="shared" si="6"/>
        <v>0</v>
      </c>
      <c r="M15" s="3">
        <f t="shared" si="7"/>
        <v>0</v>
      </c>
      <c r="N15" s="3">
        <f t="shared" si="8"/>
        <v>1</v>
      </c>
      <c r="O15" s="3">
        <f t="shared" si="9"/>
        <v>0.2857142857142857</v>
      </c>
      <c r="P15" s="69"/>
    </row>
    <row r="16" spans="1:16" ht="15" customHeight="1" x14ac:dyDescent="0.25">
      <c r="A16" s="157">
        <v>12</v>
      </c>
      <c r="B16" s="193" t="s">
        <v>262</v>
      </c>
      <c r="C16" s="193"/>
      <c r="D16" s="1">
        <v>3</v>
      </c>
      <c r="E16" s="1">
        <v>3</v>
      </c>
      <c r="F16" s="1">
        <v>0</v>
      </c>
      <c r="G16" s="1">
        <v>0</v>
      </c>
      <c r="H16" s="1">
        <v>0</v>
      </c>
      <c r="I16" s="1">
        <v>0</v>
      </c>
      <c r="J16" s="1">
        <v>0</v>
      </c>
      <c r="K16" s="2">
        <f t="shared" si="5"/>
        <v>3</v>
      </c>
      <c r="L16" s="3">
        <f t="shared" si="6"/>
        <v>0</v>
      </c>
      <c r="M16" s="3">
        <f t="shared" si="7"/>
        <v>0</v>
      </c>
      <c r="N16" s="3">
        <f t="shared" si="8"/>
        <v>1</v>
      </c>
      <c r="O16" s="3">
        <f t="shared" si="9"/>
        <v>1</v>
      </c>
      <c r="P16" s="32"/>
    </row>
    <row r="17" spans="1:16" s="132" customFormat="1" ht="15.75" x14ac:dyDescent="0.25">
      <c r="A17" s="157">
        <v>13</v>
      </c>
      <c r="B17" s="190" t="s">
        <v>263</v>
      </c>
      <c r="C17" s="190"/>
      <c r="D17" s="121">
        <v>36</v>
      </c>
      <c r="E17" s="121">
        <v>33</v>
      </c>
      <c r="F17" s="121">
        <v>0</v>
      </c>
      <c r="G17" s="121">
        <v>0</v>
      </c>
      <c r="H17" s="121">
        <v>0</v>
      </c>
      <c r="I17" s="121">
        <v>0</v>
      </c>
      <c r="J17" s="121">
        <v>0</v>
      </c>
      <c r="K17" s="103">
        <f t="shared" si="5"/>
        <v>33</v>
      </c>
      <c r="L17" s="123">
        <f t="shared" si="6"/>
        <v>0</v>
      </c>
      <c r="M17" s="123">
        <f t="shared" si="7"/>
        <v>0</v>
      </c>
      <c r="N17" s="123">
        <f t="shared" si="8"/>
        <v>1</v>
      </c>
      <c r="O17" s="123">
        <f t="shared" si="9"/>
        <v>0.91666666666666663</v>
      </c>
      <c r="P17" s="115"/>
    </row>
    <row r="18" spans="1:16" ht="15.75" customHeight="1" x14ac:dyDescent="0.25">
      <c r="A18" s="157">
        <v>14</v>
      </c>
      <c r="B18" s="190" t="s">
        <v>264</v>
      </c>
      <c r="C18" s="190"/>
      <c r="D18" s="1">
        <v>19</v>
      </c>
      <c r="E18" s="1">
        <v>19</v>
      </c>
      <c r="F18" s="1">
        <v>0</v>
      </c>
      <c r="G18" s="1">
        <v>0</v>
      </c>
      <c r="H18" s="1">
        <v>0</v>
      </c>
      <c r="I18" s="1">
        <f>F18+G18+H18</f>
        <v>0</v>
      </c>
      <c r="J18" s="1">
        <v>0</v>
      </c>
      <c r="K18" s="2">
        <f>E18-I18-J18</f>
        <v>19</v>
      </c>
      <c r="L18" s="3">
        <f t="shared" si="6"/>
        <v>0</v>
      </c>
      <c r="M18" s="3">
        <f t="shared" si="7"/>
        <v>0</v>
      </c>
      <c r="N18" s="3">
        <f t="shared" si="8"/>
        <v>1</v>
      </c>
      <c r="O18" s="3">
        <f t="shared" si="9"/>
        <v>1</v>
      </c>
      <c r="P18" s="32"/>
    </row>
    <row r="19" spans="1:16" ht="18.75" customHeight="1" x14ac:dyDescent="0.25">
      <c r="A19" s="157">
        <v>15</v>
      </c>
      <c r="B19" s="190" t="s">
        <v>265</v>
      </c>
      <c r="C19" s="190"/>
      <c r="D19" s="1">
        <v>6</v>
      </c>
      <c r="E19" s="1">
        <v>5</v>
      </c>
      <c r="F19" s="1">
        <v>0</v>
      </c>
      <c r="G19" s="1">
        <v>0</v>
      </c>
      <c r="H19" s="1">
        <v>0</v>
      </c>
      <c r="I19" s="1">
        <v>0</v>
      </c>
      <c r="J19" s="1">
        <v>0</v>
      </c>
      <c r="K19" s="2">
        <f t="shared" si="5"/>
        <v>5</v>
      </c>
      <c r="L19" s="3">
        <f t="shared" si="6"/>
        <v>0</v>
      </c>
      <c r="M19" s="3">
        <f t="shared" si="7"/>
        <v>0</v>
      </c>
      <c r="N19" s="3">
        <f t="shared" si="8"/>
        <v>1</v>
      </c>
      <c r="O19" s="3">
        <f t="shared" si="9"/>
        <v>0.83333333333333337</v>
      </c>
      <c r="P19" s="32"/>
    </row>
    <row r="20" spans="1:16" ht="15.75" customHeight="1" x14ac:dyDescent="0.25">
      <c r="A20" s="157">
        <v>16</v>
      </c>
      <c r="B20" s="190" t="s">
        <v>266</v>
      </c>
      <c r="C20" s="190"/>
      <c r="D20" s="1">
        <v>4</v>
      </c>
      <c r="E20" s="1">
        <v>3</v>
      </c>
      <c r="F20" s="1">
        <v>0</v>
      </c>
      <c r="G20" s="1">
        <v>0</v>
      </c>
      <c r="H20" s="1">
        <v>0</v>
      </c>
      <c r="I20" s="1">
        <f>F20+G20+H20</f>
        <v>0</v>
      </c>
      <c r="J20" s="1">
        <v>0</v>
      </c>
      <c r="K20" s="2">
        <f t="shared" si="5"/>
        <v>3</v>
      </c>
      <c r="L20" s="3">
        <f t="shared" ref="L20" si="10">I20/E20</f>
        <v>0</v>
      </c>
      <c r="M20" s="3">
        <f t="shared" ref="M20" si="11">J20/E20</f>
        <v>0</v>
      </c>
      <c r="N20" s="3">
        <f t="shared" ref="N20" si="12">K20/E20</f>
        <v>1</v>
      </c>
      <c r="O20" s="3">
        <f t="shared" ref="O20" si="13">E20/D20</f>
        <v>0.75</v>
      </c>
      <c r="P20" s="70"/>
    </row>
    <row r="21" spans="1:16" ht="15.75" customHeight="1" x14ac:dyDescent="0.25">
      <c r="A21" s="157">
        <v>17</v>
      </c>
      <c r="B21" s="190" t="s">
        <v>267</v>
      </c>
      <c r="C21" s="190"/>
      <c r="D21" s="1">
        <v>41</v>
      </c>
      <c r="E21" s="1">
        <v>40</v>
      </c>
      <c r="F21" s="1">
        <v>0</v>
      </c>
      <c r="G21" s="1">
        <v>0</v>
      </c>
      <c r="H21" s="1">
        <v>0</v>
      </c>
      <c r="I21" s="1">
        <v>0</v>
      </c>
      <c r="J21" s="1">
        <v>0</v>
      </c>
      <c r="K21" s="2">
        <f>E21-I21</f>
        <v>40</v>
      </c>
      <c r="L21" s="3">
        <f t="shared" si="6"/>
        <v>0</v>
      </c>
      <c r="M21" s="3">
        <f t="shared" si="7"/>
        <v>0</v>
      </c>
      <c r="N21" s="3">
        <f t="shared" si="8"/>
        <v>1</v>
      </c>
      <c r="O21" s="3">
        <f t="shared" si="9"/>
        <v>0.97560975609756095</v>
      </c>
      <c r="P21" s="70"/>
    </row>
    <row r="22" spans="1:16" s="126" customFormat="1" ht="15" customHeight="1" x14ac:dyDescent="0.25">
      <c r="A22" s="157">
        <v>18</v>
      </c>
      <c r="B22" s="190" t="s">
        <v>268</v>
      </c>
      <c r="C22" s="190"/>
      <c r="D22" s="121">
        <v>5</v>
      </c>
      <c r="E22" s="121">
        <v>17</v>
      </c>
      <c r="F22" s="121">
        <v>0</v>
      </c>
      <c r="G22" s="121">
        <v>0</v>
      </c>
      <c r="H22" s="121">
        <v>0</v>
      </c>
      <c r="I22" s="121">
        <v>0</v>
      </c>
      <c r="J22" s="121">
        <v>0</v>
      </c>
      <c r="K22" s="103">
        <f t="shared" si="5"/>
        <v>17</v>
      </c>
      <c r="L22" s="123">
        <f t="shared" ref="L22" si="14">I22/E22</f>
        <v>0</v>
      </c>
      <c r="M22" s="123">
        <f t="shared" ref="M22" si="15">J22/E22</f>
        <v>0</v>
      </c>
      <c r="N22" s="123">
        <f t="shared" ref="N22" si="16">K22/E22</f>
        <v>1</v>
      </c>
      <c r="O22" s="117" t="s">
        <v>54</v>
      </c>
      <c r="P22" s="125"/>
    </row>
    <row r="23" spans="1:16" ht="15.75" customHeight="1" x14ac:dyDescent="0.25">
      <c r="A23" s="157">
        <v>19</v>
      </c>
      <c r="B23" s="190" t="s">
        <v>269</v>
      </c>
      <c r="C23" s="190"/>
      <c r="D23" s="1">
        <v>17</v>
      </c>
      <c r="E23" s="1">
        <v>15</v>
      </c>
      <c r="F23" s="1">
        <v>0</v>
      </c>
      <c r="G23" s="1">
        <v>0</v>
      </c>
      <c r="H23" s="1">
        <v>0</v>
      </c>
      <c r="I23" s="1">
        <v>0</v>
      </c>
      <c r="J23" s="1">
        <v>0</v>
      </c>
      <c r="K23" s="2">
        <f t="shared" si="5"/>
        <v>15</v>
      </c>
      <c r="L23" s="3">
        <f t="shared" si="6"/>
        <v>0</v>
      </c>
      <c r="M23" s="3">
        <f t="shared" si="7"/>
        <v>0</v>
      </c>
      <c r="N23" s="3">
        <f t="shared" si="8"/>
        <v>1</v>
      </c>
      <c r="O23" s="3">
        <f t="shared" si="9"/>
        <v>0.88235294117647056</v>
      </c>
      <c r="P23" s="69"/>
    </row>
    <row r="24" spans="1:16" s="5" customFormat="1" ht="15.75" customHeight="1" x14ac:dyDescent="0.25">
      <c r="A24" s="157">
        <v>20</v>
      </c>
      <c r="B24" s="190" t="s">
        <v>270</v>
      </c>
      <c r="C24" s="190"/>
      <c r="D24" s="1">
        <v>19</v>
      </c>
      <c r="E24" s="1">
        <v>19</v>
      </c>
      <c r="F24" s="1">
        <v>0</v>
      </c>
      <c r="G24" s="1">
        <v>0</v>
      </c>
      <c r="H24" s="1">
        <v>0</v>
      </c>
      <c r="I24" s="1">
        <f>F24+G24+H24</f>
        <v>0</v>
      </c>
      <c r="J24" s="1">
        <v>0</v>
      </c>
      <c r="K24" s="2">
        <f>E24-I24-J24</f>
        <v>19</v>
      </c>
      <c r="L24" s="3">
        <f t="shared" ref="L24" si="17">I24/E24</f>
        <v>0</v>
      </c>
      <c r="M24" s="3">
        <f t="shared" ref="M24" si="18">J24/E24</f>
        <v>0</v>
      </c>
      <c r="N24" s="3">
        <f t="shared" ref="N24" si="19">K24/E24</f>
        <v>1</v>
      </c>
      <c r="O24" s="72">
        <v>1</v>
      </c>
      <c r="P24" s="32"/>
    </row>
    <row r="25" spans="1:16" s="5" customFormat="1" ht="15.75" x14ac:dyDescent="0.25">
      <c r="A25" s="157">
        <v>21</v>
      </c>
      <c r="B25" s="190" t="s">
        <v>271</v>
      </c>
      <c r="C25" s="190"/>
      <c r="D25" s="1">
        <v>10</v>
      </c>
      <c r="E25" s="1">
        <v>4</v>
      </c>
      <c r="F25" s="1">
        <v>0</v>
      </c>
      <c r="G25" s="1">
        <v>0</v>
      </c>
      <c r="H25" s="1">
        <v>0</v>
      </c>
      <c r="I25" s="1">
        <v>0</v>
      </c>
      <c r="J25" s="1">
        <v>0</v>
      </c>
      <c r="K25" s="2">
        <f t="shared" ref="K25" si="20">E25-I25-J25</f>
        <v>4</v>
      </c>
      <c r="L25" s="3">
        <f>I24/E24</f>
        <v>0</v>
      </c>
      <c r="M25" s="3">
        <f>J24/E24</f>
        <v>0</v>
      </c>
      <c r="N25" s="3">
        <f>K24/E24</f>
        <v>1</v>
      </c>
      <c r="O25" s="3">
        <f>E24/D24</f>
        <v>1</v>
      </c>
      <c r="P25" s="127"/>
    </row>
  </sheetData>
  <mergeCells count="35">
    <mergeCell ref="B4:C4"/>
    <mergeCell ref="B5:C5"/>
    <mergeCell ref="B6:C6"/>
    <mergeCell ref="B7:C7"/>
    <mergeCell ref="N1:P1"/>
    <mergeCell ref="B2:C3"/>
    <mergeCell ref="D2:E2"/>
    <mergeCell ref="F2:H2"/>
    <mergeCell ref="I2:I3"/>
    <mergeCell ref="J2:J3"/>
    <mergeCell ref="K2:K3"/>
    <mergeCell ref="L2:L3"/>
    <mergeCell ref="M2:M3"/>
    <mergeCell ref="N2:N3"/>
    <mergeCell ref="O2:O3"/>
    <mergeCell ref="P2:P3"/>
    <mergeCell ref="B11:C11"/>
    <mergeCell ref="B12:C12"/>
    <mergeCell ref="B13:C13"/>
    <mergeCell ref="B14:C14"/>
    <mergeCell ref="B8:C8"/>
    <mergeCell ref="B9:C9"/>
    <mergeCell ref="B10:C10"/>
    <mergeCell ref="B25:C25"/>
    <mergeCell ref="D12:D13"/>
    <mergeCell ref="B24:C24"/>
    <mergeCell ref="B22:C22"/>
    <mergeCell ref="B23:C23"/>
    <mergeCell ref="B19:C19"/>
    <mergeCell ref="B20:C20"/>
    <mergeCell ref="B21:C21"/>
    <mergeCell ref="B16:C16"/>
    <mergeCell ref="B17:C17"/>
    <mergeCell ref="B18:C18"/>
    <mergeCell ref="B15:C15"/>
  </mergeCells>
  <phoneticPr fontId="26" type="noConversion"/>
  <dataValidations count="2">
    <dataValidation type="whole" allowBlank="1" showInputMessage="1" showErrorMessage="1" sqref="I17 D5:D12 F5:F16 F18:F23 E5:E24 D14:D24 J5:J24 H5:H24 D25:J25" xr:uid="{00000000-0002-0000-0D00-000001000000}">
      <formula1>0</formula1>
      <formula2>50000</formula2>
    </dataValidation>
    <dataValidation type="whole" allowBlank="1" showInputMessage="1" showErrorMessage="1" errorTitle="Value Between 0 to 200000" sqref="K5:K25" xr:uid="{00000000-0002-0000-0D00-000000000000}">
      <formula1>0</formula1>
      <formula2>200000</formula2>
    </dataValidation>
  </dataValidations>
  <pageMargins left="0.45" right="0.2" top="0.5" bottom="0.25" header="0.3" footer="0.3"/>
  <pageSetup paperSize="305" scale="59" fitToHeight="0" orientation="landscape" r:id="rId1"/>
  <ignoredErrors>
    <ignoredError sqref="K18 K24" formula="1"/>
    <ignoredError sqref="O13"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Appx B (B veh)</vt:lpstr>
      <vt:lpstr>Appx C C veh)</vt:lpstr>
      <vt:lpstr>App E (Armt</vt:lpstr>
      <vt:lpstr>Appx F (SA)</vt:lpstr>
      <vt:lpstr>Appx H (Inst)</vt:lpstr>
      <vt:lpstr>'App E (Armt'!Print_Area</vt:lpstr>
      <vt:lpstr>'Appx B (B veh)'!Print_Area</vt:lpstr>
      <vt:lpstr>'Appx C C veh)'!Print_Area</vt:lpstr>
      <vt:lpstr>'Appx F (SA)'!Print_Area</vt:lpstr>
      <vt:lpstr>'Appx H (Inst)'!Print_Area</vt:lpstr>
      <vt:lpstr>'App E (Armt'!Print_Titles</vt:lpstr>
      <vt:lpstr>'Appx B (B veh)'!Print_Titles</vt:lpstr>
      <vt:lpstr>'Appx C C veh)'!Print_Titles</vt:lpstr>
      <vt:lpstr>'Appx F (SA)'!Print_Titles</vt:lpstr>
      <vt:lpstr>'Appx H (Inst)'!Print_Titles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2026-03-03T19:40:26Z</dcterms:modified>
</cp:coreProperties>
</file>