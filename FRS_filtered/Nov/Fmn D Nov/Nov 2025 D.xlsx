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RAG-Parser-v2\FRS_filtered\Nov\Fmn D Nov\"/>
    </mc:Choice>
  </mc:AlternateContent>
  <xr:revisionPtr revIDLastSave="0" documentId="13_ncr:1_{59427F26-AB7F-474B-9BF1-6EE6C9424E5E}" xr6:coauthVersionLast="47" xr6:coauthVersionMax="47" xr10:uidLastSave="{00000000-0000-0000-0000-000000000000}"/>
  <bookViews>
    <workbookView xWindow="-28920" yWindow="0" windowWidth="29040" windowHeight="15840" xr2:uid="{00000000-000D-0000-FFFF-FFFF00000000}"/>
  </bookViews>
  <sheets>
    <sheet name="A Vehicle" sheetId="10" r:id="rId1"/>
    <sheet name="B Vehicle" sheetId="11" r:id="rId2"/>
    <sheet name="C Vehicle" sheetId="12" r:id="rId3"/>
    <sheet name="ARMT" sheetId="14" r:id="rId4"/>
    <sheet name="SA" sheetId="7" r:id="rId5"/>
    <sheet name="INSTS" sheetId="9" r:id="rId6"/>
  </sheets>
  <externalReferences>
    <externalReference r:id="rId7"/>
    <externalReference r:id="rId8"/>
    <externalReference r:id="rId9"/>
  </externalReferences>
  <definedNames>
    <definedName name="_xlnm._FilterDatabase" localSheetId="3" hidden="1">ARMT!$A$5:$T$25</definedName>
    <definedName name="_xlnm._FilterDatabase" localSheetId="1" hidden="1">'B Vehicle'!$A$2:$AL$137</definedName>
    <definedName name="_xlnm._FilterDatabase" localSheetId="2" hidden="1">'C Vehicle'!$A$2:$AA$133</definedName>
    <definedName name="_xlnm._FilterDatabase" localSheetId="5" hidden="1">INSTS!$A$2:$R$169</definedName>
    <definedName name="_xlnm._FilterDatabase" localSheetId="4" hidden="1">SA!$A$4:$T$74</definedName>
    <definedName name="ASD">'[1]FRS Units held amdt'!#REF!</definedName>
    <definedName name="Bot_rece_3man_2A">'[2]FRS Units held amdt'!#REF!</definedName>
    <definedName name="Engr_Eqpt_List_1">'[3]Engr eqpt'!$B$5:$B$72</definedName>
    <definedName name="_xlnm.Print_Area" localSheetId="0">'A Vehicle'!$A$1:$V$33</definedName>
    <definedName name="_xlnm.Print_Area" localSheetId="3">ARMT!$A$1:$T$24</definedName>
    <definedName name="_xlnm.Print_Area" localSheetId="1">'B Vehicle'!$A$1:$J$137</definedName>
    <definedName name="_xlnm.Print_Area" localSheetId="2">'C Vehicle'!$A$1:$J$133</definedName>
    <definedName name="_xlnm.Print_Area" localSheetId="5">INSTS!$A$1:$P$169</definedName>
    <definedName name="_xlnm.Print_Area" localSheetId="4">SA!$A$1:$Q$72</definedName>
    <definedName name="_xlnm.Print_Titles" localSheetId="0">'A Vehicle'!$4:$5</definedName>
    <definedName name="_xlnm.Print_Titles" localSheetId="5">INSTS!$2:$3</definedName>
    <definedName name="_xlnm.Print_Titles" localSheetId="4">SA!$3:$4</definedName>
    <definedName name="Sample_format">'[2]FRS Units held amdt'!#REF!</definedName>
    <definedName name="Unit_List_606">'[3]Dependent User Unit'!$C$6:$C$35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" i="10" l="1"/>
  <c r="N13" i="10"/>
  <c r="O13" i="10"/>
  <c r="N12" i="10"/>
  <c r="H7" i="12" l="1"/>
  <c r="I7" i="12" s="1"/>
  <c r="H8" i="12"/>
  <c r="I8" i="12" s="1"/>
  <c r="H9" i="12"/>
  <c r="I9" i="12" s="1"/>
  <c r="I10" i="12"/>
  <c r="H11" i="12"/>
  <c r="I11" i="12" s="1"/>
  <c r="H133" i="12"/>
  <c r="I133" i="12" s="1"/>
  <c r="H13" i="12"/>
  <c r="I13" i="12" s="1"/>
  <c r="H14" i="12"/>
  <c r="I14" i="12" s="1"/>
  <c r="H16" i="12"/>
  <c r="I16" i="12" s="1"/>
  <c r="H17" i="12"/>
  <c r="I17" i="12" s="1"/>
  <c r="H18" i="12"/>
  <c r="I18" i="12" s="1"/>
  <c r="H19" i="12"/>
  <c r="I19" i="12" s="1"/>
  <c r="H20" i="12"/>
  <c r="I20" i="12" s="1"/>
  <c r="H21" i="12"/>
  <c r="I21" i="12" s="1"/>
  <c r="H22" i="12"/>
  <c r="I22" i="12" s="1"/>
  <c r="H23" i="12"/>
  <c r="I23" i="12" s="1"/>
  <c r="H24" i="12"/>
  <c r="I24" i="12" s="1"/>
  <c r="H26" i="12"/>
  <c r="I26" i="12" s="1"/>
  <c r="H27" i="12"/>
  <c r="I27" i="12" s="1"/>
  <c r="H28" i="12"/>
  <c r="I28" i="12" s="1"/>
  <c r="H29" i="12"/>
  <c r="I29" i="12" s="1"/>
  <c r="H30" i="12"/>
  <c r="I30" i="12" s="1"/>
  <c r="H31" i="12"/>
  <c r="I31" i="12" s="1"/>
  <c r="H32" i="12"/>
  <c r="I32" i="12" s="1"/>
  <c r="H33" i="12"/>
  <c r="I33" i="12" s="1"/>
  <c r="H34" i="12"/>
  <c r="I34" i="12" s="1"/>
  <c r="H132" i="12"/>
  <c r="I132" i="12" s="1"/>
  <c r="H36" i="12"/>
  <c r="I36" i="12" s="1"/>
  <c r="H37" i="12"/>
  <c r="I37" i="12" s="1"/>
  <c r="H38" i="12"/>
  <c r="I38" i="12" s="1"/>
  <c r="H40" i="12"/>
  <c r="I40" i="12" s="1"/>
  <c r="H41" i="12"/>
  <c r="I41" i="12" s="1"/>
  <c r="H42" i="12"/>
  <c r="I42" i="12" s="1"/>
  <c r="H43" i="12"/>
  <c r="I43" i="12" s="1"/>
  <c r="H44" i="12"/>
  <c r="I44" i="12" s="1"/>
  <c r="H45" i="12"/>
  <c r="I45" i="12" s="1"/>
  <c r="H46" i="12"/>
  <c r="I46" i="12" s="1"/>
  <c r="H47" i="12"/>
  <c r="I47" i="12" s="1"/>
  <c r="H48" i="12"/>
  <c r="I48" i="12" s="1"/>
  <c r="H49" i="12"/>
  <c r="I49" i="12" s="1"/>
  <c r="H51" i="12"/>
  <c r="I51" i="12" s="1"/>
  <c r="H52" i="12"/>
  <c r="I52" i="12" s="1"/>
  <c r="H54" i="12"/>
  <c r="I54" i="12" s="1"/>
  <c r="H55" i="12"/>
  <c r="I55" i="12" s="1"/>
  <c r="H56" i="12"/>
  <c r="I56" i="12" s="1"/>
  <c r="H57" i="12"/>
  <c r="I57" i="12" s="1"/>
  <c r="H58" i="12"/>
  <c r="I58" i="12" s="1"/>
  <c r="H59" i="12"/>
  <c r="I59" i="12" s="1"/>
  <c r="H60" i="12"/>
  <c r="I60" i="12" s="1"/>
  <c r="H61" i="12"/>
  <c r="I61" i="12" s="1"/>
  <c r="H62" i="12"/>
  <c r="I62" i="12" s="1"/>
  <c r="H63" i="12"/>
  <c r="I63" i="12" s="1"/>
  <c r="H66" i="12"/>
  <c r="I66" i="12" s="1"/>
  <c r="H67" i="12"/>
  <c r="I67" i="12" s="1"/>
  <c r="H78" i="12"/>
  <c r="I78" i="12" s="1"/>
  <c r="H79" i="12"/>
  <c r="I79" i="12" s="1"/>
  <c r="H80" i="12"/>
  <c r="I80" i="12" s="1"/>
  <c r="H81" i="12"/>
  <c r="I81" i="12" s="1"/>
  <c r="H82" i="12"/>
  <c r="I82" i="12" s="1"/>
  <c r="H83" i="12"/>
  <c r="I83" i="12" s="1"/>
  <c r="H84" i="12"/>
  <c r="I84" i="12" s="1"/>
  <c r="H85" i="12"/>
  <c r="I85" i="12" s="1"/>
  <c r="H86" i="12"/>
  <c r="I86" i="12" s="1"/>
  <c r="H87" i="12"/>
  <c r="I87" i="12" s="1"/>
  <c r="H88" i="12"/>
  <c r="I88" i="12" s="1"/>
  <c r="H89" i="12"/>
  <c r="I89" i="12" s="1"/>
  <c r="H90" i="12"/>
  <c r="I90" i="12" s="1"/>
  <c r="H91" i="12"/>
  <c r="I91" i="12" s="1"/>
  <c r="H92" i="12"/>
  <c r="I92" i="12" s="1"/>
  <c r="H93" i="12"/>
  <c r="I93" i="12" s="1"/>
  <c r="H94" i="12"/>
  <c r="I94" i="12" s="1"/>
  <c r="H95" i="12"/>
  <c r="I95" i="12" s="1"/>
  <c r="H96" i="12"/>
  <c r="I96" i="12" s="1"/>
  <c r="H97" i="12"/>
  <c r="I97" i="12" s="1"/>
  <c r="H98" i="12"/>
  <c r="I98" i="12" s="1"/>
  <c r="H99" i="12"/>
  <c r="I99" i="12" s="1"/>
  <c r="H100" i="12"/>
  <c r="I100" i="12" s="1"/>
  <c r="H101" i="12"/>
  <c r="I101" i="12" s="1"/>
  <c r="H102" i="12"/>
  <c r="I102" i="12" s="1"/>
  <c r="H103" i="12"/>
  <c r="I103" i="12" s="1"/>
  <c r="H104" i="12"/>
  <c r="I104" i="12" s="1"/>
  <c r="H105" i="12"/>
  <c r="I105" i="12" s="1"/>
  <c r="H106" i="12"/>
  <c r="I106" i="12" s="1"/>
  <c r="H107" i="12"/>
  <c r="I107" i="12" s="1"/>
  <c r="H108" i="12"/>
  <c r="I108" i="12" s="1"/>
  <c r="H109" i="12"/>
  <c r="I109" i="12" s="1"/>
  <c r="H110" i="12"/>
  <c r="I110" i="12" s="1"/>
  <c r="H111" i="12"/>
  <c r="I111" i="12" s="1"/>
  <c r="H112" i="12"/>
  <c r="I112" i="12" s="1"/>
  <c r="H113" i="12"/>
  <c r="I113" i="12" s="1"/>
  <c r="H114" i="12"/>
  <c r="I114" i="12" s="1"/>
  <c r="H115" i="12"/>
  <c r="I115" i="12" s="1"/>
  <c r="H116" i="12"/>
  <c r="I116" i="12" s="1"/>
  <c r="H117" i="12"/>
  <c r="I117" i="12" s="1"/>
  <c r="H118" i="12"/>
  <c r="I118" i="12" s="1"/>
  <c r="H119" i="12"/>
  <c r="I119" i="12" s="1"/>
  <c r="H120" i="12"/>
  <c r="I120" i="12" s="1"/>
  <c r="H121" i="12"/>
  <c r="I121" i="12" s="1"/>
  <c r="H122" i="12"/>
  <c r="I122" i="12" s="1"/>
  <c r="H123" i="12"/>
  <c r="I123" i="12" s="1"/>
  <c r="H124" i="12"/>
  <c r="I124" i="12" s="1"/>
  <c r="H125" i="12"/>
  <c r="I125" i="12" s="1"/>
  <c r="H126" i="12"/>
  <c r="I126" i="12" s="1"/>
  <c r="H127" i="12"/>
  <c r="I127" i="12" s="1"/>
  <c r="H129" i="12"/>
  <c r="I129" i="12" s="1"/>
  <c r="H130" i="12"/>
  <c r="I130" i="12" s="1"/>
  <c r="H131" i="12"/>
  <c r="I131" i="12" s="1"/>
  <c r="H137" i="11"/>
  <c r="I137" i="11" s="1"/>
  <c r="H136" i="11"/>
  <c r="I136" i="11" s="1"/>
  <c r="H135" i="11"/>
  <c r="I135" i="11" s="1"/>
  <c r="H134" i="11"/>
  <c r="I134" i="11" s="1"/>
  <c r="H133" i="11"/>
  <c r="I133" i="11" s="1"/>
  <c r="H132" i="11"/>
  <c r="I132" i="11" s="1"/>
  <c r="H131" i="11"/>
  <c r="I131" i="11" s="1"/>
  <c r="H130" i="11"/>
  <c r="I130" i="11" s="1"/>
  <c r="H129" i="11"/>
  <c r="I129" i="11" s="1"/>
  <c r="H128" i="11"/>
  <c r="I128" i="11" s="1"/>
  <c r="H127" i="11"/>
  <c r="I127" i="11" s="1"/>
  <c r="H126" i="11"/>
  <c r="I126" i="11" s="1"/>
  <c r="H125" i="11"/>
  <c r="I125" i="11" s="1"/>
  <c r="H124" i="11"/>
  <c r="I124" i="11" s="1"/>
  <c r="H123" i="11"/>
  <c r="I123" i="11" s="1"/>
  <c r="H122" i="11"/>
  <c r="I122" i="11" s="1"/>
  <c r="H121" i="11"/>
  <c r="I121" i="11" s="1"/>
  <c r="H120" i="11"/>
  <c r="I120" i="11" s="1"/>
  <c r="H119" i="11"/>
  <c r="I119" i="11" s="1"/>
  <c r="H118" i="11"/>
  <c r="I118" i="11" s="1"/>
  <c r="H117" i="11"/>
  <c r="I117" i="11" s="1"/>
  <c r="H116" i="11"/>
  <c r="I116" i="11" s="1"/>
  <c r="H115" i="11"/>
  <c r="I115" i="11" s="1"/>
  <c r="H114" i="11"/>
  <c r="I114" i="11" s="1"/>
  <c r="H113" i="11"/>
  <c r="I113" i="11" s="1"/>
  <c r="H112" i="11"/>
  <c r="I112" i="11" s="1"/>
  <c r="H111" i="11"/>
  <c r="I111" i="11" s="1"/>
  <c r="H110" i="11"/>
  <c r="I110" i="11" s="1"/>
  <c r="H109" i="11"/>
  <c r="I109" i="11" s="1"/>
  <c r="H108" i="11"/>
  <c r="I108" i="11" s="1"/>
  <c r="H107" i="11"/>
  <c r="I107" i="11" s="1"/>
  <c r="H106" i="11"/>
  <c r="I106" i="11" s="1"/>
  <c r="H105" i="11"/>
  <c r="I105" i="11" s="1"/>
  <c r="H104" i="11"/>
  <c r="I104" i="11" s="1"/>
  <c r="H103" i="11"/>
  <c r="I103" i="11" s="1"/>
  <c r="H102" i="11"/>
  <c r="I102" i="11" s="1"/>
  <c r="H101" i="11"/>
  <c r="I101" i="11" s="1"/>
  <c r="H100" i="11"/>
  <c r="I100" i="11" s="1"/>
  <c r="H99" i="11"/>
  <c r="I99" i="11" s="1"/>
  <c r="H97" i="11"/>
  <c r="I97" i="11" s="1"/>
  <c r="H96" i="11"/>
  <c r="I96" i="11" s="1"/>
  <c r="H94" i="11"/>
  <c r="I94" i="11" s="1"/>
  <c r="H93" i="11"/>
  <c r="I93" i="11" s="1"/>
  <c r="H92" i="11"/>
  <c r="I92" i="11" s="1"/>
  <c r="H91" i="11"/>
  <c r="I91" i="11" s="1"/>
  <c r="H90" i="11"/>
  <c r="I90" i="11" s="1"/>
  <c r="H89" i="11"/>
  <c r="I89" i="11" s="1"/>
  <c r="H88" i="11"/>
  <c r="I88" i="11" s="1"/>
  <c r="H87" i="11"/>
  <c r="I87" i="11" s="1"/>
  <c r="H86" i="11"/>
  <c r="I86" i="11" s="1"/>
  <c r="H85" i="11"/>
  <c r="I85" i="11" s="1"/>
  <c r="H84" i="11"/>
  <c r="I84" i="11" s="1"/>
  <c r="H83" i="11"/>
  <c r="I83" i="11" s="1"/>
  <c r="H82" i="11"/>
  <c r="I82" i="11" s="1"/>
  <c r="H81" i="11"/>
  <c r="I81" i="11" s="1"/>
  <c r="H80" i="11"/>
  <c r="I80" i="11" s="1"/>
  <c r="H79" i="11"/>
  <c r="I79" i="11" s="1"/>
  <c r="H78" i="11"/>
  <c r="I78" i="11" s="1"/>
  <c r="H77" i="11"/>
  <c r="I77" i="11" s="1"/>
  <c r="H75" i="11"/>
  <c r="I75" i="11" s="1"/>
  <c r="H74" i="11"/>
  <c r="I74" i="11" s="1"/>
  <c r="H72" i="11"/>
  <c r="I72" i="11" s="1"/>
  <c r="H71" i="11"/>
  <c r="I71" i="11" s="1"/>
  <c r="H70" i="11"/>
  <c r="I70" i="11" s="1"/>
  <c r="H68" i="11"/>
  <c r="I68" i="11" s="1"/>
  <c r="H67" i="11"/>
  <c r="I67" i="11" s="1"/>
  <c r="H66" i="11"/>
  <c r="I66" i="11" s="1"/>
  <c r="H65" i="11"/>
  <c r="I65" i="11" s="1"/>
  <c r="H64" i="11"/>
  <c r="I64" i="11" s="1"/>
  <c r="H63" i="11"/>
  <c r="I63" i="11" s="1"/>
  <c r="H62" i="11"/>
  <c r="I62" i="11" s="1"/>
  <c r="H60" i="11"/>
  <c r="I60" i="11" s="1"/>
  <c r="H59" i="11"/>
  <c r="I59" i="11" s="1"/>
  <c r="H58" i="11"/>
  <c r="I58" i="11" s="1"/>
  <c r="H57" i="11"/>
  <c r="I57" i="11" s="1"/>
  <c r="H56" i="11"/>
  <c r="I56" i="11" s="1"/>
  <c r="H55" i="11"/>
  <c r="I55" i="11" s="1"/>
  <c r="H54" i="11"/>
  <c r="I54" i="11" s="1"/>
  <c r="H53" i="11"/>
  <c r="I53" i="11" s="1"/>
  <c r="H52" i="11"/>
  <c r="I52" i="11" s="1"/>
  <c r="H51" i="11"/>
  <c r="I51" i="11" s="1"/>
  <c r="H50" i="11"/>
  <c r="I50" i="11" s="1"/>
  <c r="H49" i="11"/>
  <c r="I49" i="11" s="1"/>
  <c r="H48" i="11"/>
  <c r="I48" i="11" s="1"/>
  <c r="H47" i="11"/>
  <c r="I47" i="11" s="1"/>
  <c r="H46" i="11"/>
  <c r="I46" i="11" s="1"/>
  <c r="H45" i="11"/>
  <c r="I45" i="11" s="1"/>
  <c r="H44" i="11"/>
  <c r="I44" i="11" s="1"/>
  <c r="H43" i="11"/>
  <c r="I43" i="11" s="1"/>
  <c r="H42" i="11"/>
  <c r="I42" i="11" s="1"/>
  <c r="H41" i="11"/>
  <c r="I41" i="11" s="1"/>
  <c r="H40" i="11"/>
  <c r="I40" i="11" s="1"/>
  <c r="H39" i="11"/>
  <c r="I39" i="11" s="1"/>
  <c r="H38" i="11"/>
  <c r="I38" i="11" s="1"/>
  <c r="H37" i="11"/>
  <c r="I37" i="11" s="1"/>
  <c r="H36" i="11"/>
  <c r="I36" i="11" s="1"/>
  <c r="H35" i="11"/>
  <c r="I35" i="11" s="1"/>
  <c r="H34" i="11"/>
  <c r="I34" i="11" s="1"/>
  <c r="H33" i="11"/>
  <c r="I33" i="11" s="1"/>
  <c r="H32" i="11"/>
  <c r="I32" i="11" s="1"/>
  <c r="H31" i="11"/>
  <c r="I31" i="11" s="1"/>
  <c r="H30" i="11"/>
  <c r="I30" i="11" s="1"/>
  <c r="H29" i="11"/>
  <c r="I29" i="11" s="1"/>
  <c r="H28" i="11"/>
  <c r="I28" i="11" s="1"/>
  <c r="H27" i="11"/>
  <c r="I27" i="11" s="1"/>
  <c r="H26" i="11"/>
  <c r="I26" i="11" s="1"/>
  <c r="H25" i="11"/>
  <c r="I25" i="11" s="1"/>
  <c r="H24" i="11"/>
  <c r="I24" i="11" s="1"/>
  <c r="H23" i="11"/>
  <c r="I23" i="11" s="1"/>
  <c r="H22" i="11"/>
  <c r="I22" i="11" s="1"/>
  <c r="H21" i="11"/>
  <c r="I21" i="11" s="1"/>
  <c r="H20" i="11"/>
  <c r="I20" i="11" s="1"/>
  <c r="H19" i="11"/>
  <c r="I19" i="11" s="1"/>
  <c r="H18" i="11"/>
  <c r="I18" i="11" s="1"/>
  <c r="H17" i="11"/>
  <c r="I17" i="11" s="1"/>
  <c r="H15" i="11"/>
  <c r="I15" i="11" s="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H6" i="11"/>
  <c r="I6" i="11" s="1"/>
  <c r="T33" i="10"/>
  <c r="T32" i="10"/>
  <c r="T31" i="10"/>
  <c r="O30" i="10"/>
  <c r="R30" i="10" s="1"/>
  <c r="N30" i="10"/>
  <c r="Q30" i="10" s="1"/>
  <c r="O29" i="10"/>
  <c r="R29" i="10" s="1"/>
  <c r="N29" i="10"/>
  <c r="Q29" i="10" s="1"/>
  <c r="O28" i="10"/>
  <c r="R28" i="10" s="1"/>
  <c r="N28" i="10"/>
  <c r="O27" i="10"/>
  <c r="R27" i="10" s="1"/>
  <c r="N27" i="10"/>
  <c r="P27" i="10" s="1"/>
  <c r="S27" i="10" s="1"/>
  <c r="O26" i="10"/>
  <c r="R26" i="10" s="1"/>
  <c r="N26" i="10"/>
  <c r="Q26" i="10" s="1"/>
  <c r="O25" i="10"/>
  <c r="R25" i="10" s="1"/>
  <c r="N25" i="10"/>
  <c r="Q25" i="10" s="1"/>
  <c r="O24" i="10"/>
  <c r="R24" i="10" s="1"/>
  <c r="N24" i="10"/>
  <c r="O23" i="10"/>
  <c r="R23" i="10" s="1"/>
  <c r="N23" i="10"/>
  <c r="Q23" i="10" s="1"/>
  <c r="O22" i="10"/>
  <c r="R22" i="10" s="1"/>
  <c r="N22" i="10"/>
  <c r="O21" i="10"/>
  <c r="R21" i="10" s="1"/>
  <c r="N21" i="10"/>
  <c r="P21" i="10" s="1"/>
  <c r="S21" i="10" s="1"/>
  <c r="Q20" i="10"/>
  <c r="O20" i="10"/>
  <c r="P20" i="10" s="1"/>
  <c r="S20" i="10" s="1"/>
  <c r="O19" i="10"/>
  <c r="N19" i="10"/>
  <c r="Q19" i="10" s="1"/>
  <c r="O18" i="10"/>
  <c r="R18" i="10" s="1"/>
  <c r="N18" i="10"/>
  <c r="P18" i="10" s="1"/>
  <c r="S18" i="10" s="1"/>
  <c r="Q17" i="10"/>
  <c r="P17" i="10"/>
  <c r="S17" i="10" s="1"/>
  <c r="O16" i="10"/>
  <c r="R16" i="10" s="1"/>
  <c r="N16" i="10"/>
  <c r="Q16" i="10" s="1"/>
  <c r="T15" i="10"/>
  <c r="O15" i="10"/>
  <c r="N15" i="10"/>
  <c r="T14" i="10"/>
  <c r="O14" i="10"/>
  <c r="N14" i="10"/>
  <c r="P14" i="10" s="1"/>
  <c r="R13" i="10"/>
  <c r="P13" i="10"/>
  <c r="S13" i="10" s="1"/>
  <c r="O12" i="10"/>
  <c r="R12" i="10" s="1"/>
  <c r="O11" i="10"/>
  <c r="R11" i="10" s="1"/>
  <c r="N11" i="10"/>
  <c r="Q11" i="10" s="1"/>
  <c r="O10" i="10"/>
  <c r="O9" i="10"/>
  <c r="R9" i="10" s="1"/>
  <c r="N9" i="10"/>
  <c r="Q9" i="10" s="1"/>
  <c r="O8" i="10"/>
  <c r="R8" i="10" s="1"/>
  <c r="N8" i="10"/>
  <c r="Q8" i="10" s="1"/>
  <c r="P28" i="10" l="1"/>
  <c r="S28" i="10" s="1"/>
  <c r="T28" i="10" s="1"/>
  <c r="P24" i="10"/>
  <c r="S24" i="10" s="1"/>
  <c r="T24" i="10" s="1"/>
  <c r="P22" i="10"/>
  <c r="S22" i="10" s="1"/>
  <c r="P12" i="10"/>
  <c r="S12" i="10" s="1"/>
  <c r="T12" i="10" s="1"/>
  <c r="P8" i="10"/>
  <c r="S8" i="10" s="1"/>
  <c r="T8" i="10" s="1"/>
  <c r="T27" i="10"/>
  <c r="Q21" i="10"/>
  <c r="P15" i="10"/>
  <c r="Q28" i="10"/>
  <c r="P26" i="10"/>
  <c r="S26" i="10" s="1"/>
  <c r="T26" i="10" s="1"/>
  <c r="P19" i="10"/>
  <c r="S19" i="10" s="1"/>
  <c r="R19" i="10"/>
  <c r="T19" i="10" s="1"/>
  <c r="Q24" i="10"/>
  <c r="R17" i="10"/>
  <c r="T17" i="10" s="1"/>
  <c r="Q13" i="10"/>
  <c r="P11" i="10"/>
  <c r="S11" i="10" s="1"/>
  <c r="T11" i="10" s="1"/>
  <c r="P10" i="10"/>
  <c r="S10" i="10" s="1"/>
  <c r="T21" i="10"/>
  <c r="T29" i="10"/>
  <c r="T13" i="10"/>
  <c r="T22" i="10"/>
  <c r="T18" i="10"/>
  <c r="P16" i="10"/>
  <c r="S16" i="10" s="1"/>
  <c r="T16" i="10" s="1"/>
  <c r="P30" i="10"/>
  <c r="S30" i="10" s="1"/>
  <c r="T30" i="10" s="1"/>
  <c r="Q10" i="10"/>
  <c r="R10" i="10"/>
  <c r="Q12" i="10"/>
  <c r="R20" i="10"/>
  <c r="T20" i="10" s="1"/>
  <c r="Q27" i="10"/>
  <c r="Q22" i="10"/>
  <c r="P29" i="10"/>
  <c r="S29" i="10" s="1"/>
  <c r="P25" i="10"/>
  <c r="S25" i="10" s="1"/>
  <c r="T25" i="10" s="1"/>
  <c r="Q18" i="10"/>
  <c r="P9" i="10"/>
  <c r="S9" i="10" s="1"/>
  <c r="T9" i="10" s="1"/>
  <c r="P23" i="10"/>
  <c r="S23" i="10" s="1"/>
  <c r="T23" i="10" s="1"/>
  <c r="T10" i="10" l="1"/>
  <c r="L10" i="7" l="1"/>
  <c r="K68" i="9"/>
  <c r="K70" i="9"/>
  <c r="K71" i="9"/>
  <c r="K91" i="9"/>
  <c r="I7" i="9"/>
  <c r="K7" i="9" s="1"/>
  <c r="I8" i="9"/>
  <c r="K8" i="9" s="1"/>
  <c r="I9" i="9"/>
  <c r="K9" i="9" s="1"/>
  <c r="I10" i="9"/>
  <c r="K10" i="9" s="1"/>
  <c r="I11" i="9"/>
  <c r="K11" i="9" s="1"/>
  <c r="I12" i="9"/>
  <c r="K12" i="9" s="1"/>
  <c r="I13" i="9"/>
  <c r="K13" i="9" s="1"/>
  <c r="I14" i="9"/>
  <c r="K14" i="9" s="1"/>
  <c r="I15" i="9"/>
  <c r="K15" i="9" s="1"/>
  <c r="I16" i="9"/>
  <c r="K16" i="9" s="1"/>
  <c r="I17" i="9"/>
  <c r="K17" i="9" s="1"/>
  <c r="I18" i="9"/>
  <c r="K18" i="9" s="1"/>
  <c r="I19" i="9"/>
  <c r="K19" i="9" s="1"/>
  <c r="I20" i="9"/>
  <c r="K20" i="9" s="1"/>
  <c r="I21" i="9"/>
  <c r="K21" i="9" s="1"/>
  <c r="I22" i="9"/>
  <c r="K22" i="9" s="1"/>
  <c r="I23" i="9"/>
  <c r="K23" i="9" s="1"/>
  <c r="I24" i="9"/>
  <c r="K24" i="9" s="1"/>
  <c r="I25" i="9"/>
  <c r="K25" i="9" s="1"/>
  <c r="I26" i="9"/>
  <c r="K26" i="9" s="1"/>
  <c r="I27" i="9"/>
  <c r="K27" i="9" s="1"/>
  <c r="I28" i="9"/>
  <c r="K28" i="9" s="1"/>
  <c r="I29" i="9"/>
  <c r="K29" i="9" s="1"/>
  <c r="I30" i="9"/>
  <c r="K30" i="9" s="1"/>
  <c r="I31" i="9"/>
  <c r="K31" i="9" s="1"/>
  <c r="I32" i="9"/>
  <c r="K32" i="9" s="1"/>
  <c r="I33" i="9"/>
  <c r="K33" i="9" s="1"/>
  <c r="I34" i="9"/>
  <c r="K34" i="9" s="1"/>
  <c r="I35" i="9"/>
  <c r="K35" i="9" s="1"/>
  <c r="I36" i="9"/>
  <c r="K36" i="9" s="1"/>
  <c r="I37" i="9"/>
  <c r="K37" i="9" s="1"/>
  <c r="I38" i="9"/>
  <c r="K38" i="9" s="1"/>
  <c r="I39" i="9"/>
  <c r="K39" i="9" s="1"/>
  <c r="I40" i="9"/>
  <c r="K40" i="9" s="1"/>
  <c r="I41" i="9"/>
  <c r="K41" i="9" s="1"/>
  <c r="I42" i="9"/>
  <c r="K42" i="9" s="1"/>
  <c r="I43" i="9"/>
  <c r="K43" i="9" s="1"/>
  <c r="I44" i="9"/>
  <c r="K44" i="9" s="1"/>
  <c r="I45" i="9"/>
  <c r="K45" i="9" s="1"/>
  <c r="I46" i="9"/>
  <c r="K46" i="9" s="1"/>
  <c r="I47" i="9"/>
  <c r="K47" i="9" s="1"/>
  <c r="I48" i="9"/>
  <c r="K48" i="9" s="1"/>
  <c r="I49" i="9"/>
  <c r="K49" i="9" s="1"/>
  <c r="I50" i="9"/>
  <c r="K50" i="9" s="1"/>
  <c r="I51" i="9"/>
  <c r="K51" i="9" s="1"/>
  <c r="I52" i="9"/>
  <c r="K52" i="9" s="1"/>
  <c r="I53" i="9"/>
  <c r="K53" i="9" s="1"/>
  <c r="I54" i="9"/>
  <c r="K54" i="9" s="1"/>
  <c r="I55" i="9"/>
  <c r="K55" i="9" s="1"/>
  <c r="I56" i="9"/>
  <c r="K56" i="9" s="1"/>
  <c r="I57" i="9"/>
  <c r="K57" i="9" s="1"/>
  <c r="I58" i="9"/>
  <c r="K58" i="9" s="1"/>
  <c r="I59" i="9"/>
  <c r="K59" i="9" s="1"/>
  <c r="I60" i="9"/>
  <c r="K60" i="9" s="1"/>
  <c r="I61" i="9"/>
  <c r="K61" i="9" s="1"/>
  <c r="I62" i="9"/>
  <c r="K62" i="9" s="1"/>
  <c r="I63" i="9"/>
  <c r="K63" i="9" s="1"/>
  <c r="I64" i="9"/>
  <c r="K64" i="9" s="1"/>
  <c r="I65" i="9"/>
  <c r="K65" i="9" s="1"/>
  <c r="I66" i="9"/>
  <c r="K66" i="9" s="1"/>
  <c r="I67" i="9"/>
  <c r="K67" i="9" s="1"/>
  <c r="I69" i="9"/>
  <c r="K69" i="9" s="1"/>
  <c r="K72" i="9"/>
  <c r="K73" i="9"/>
  <c r="K74" i="9"/>
  <c r="I75" i="9"/>
  <c r="K75" i="9" s="1"/>
  <c r="I76" i="9"/>
  <c r="K76" i="9" s="1"/>
  <c r="I77" i="9"/>
  <c r="K77" i="9" s="1"/>
  <c r="I78" i="9"/>
  <c r="K78" i="9" s="1"/>
  <c r="I79" i="9"/>
  <c r="K79" i="9" s="1"/>
  <c r="I80" i="9"/>
  <c r="K80" i="9" s="1"/>
  <c r="K81" i="9"/>
  <c r="K82" i="9"/>
  <c r="I83" i="9"/>
  <c r="K83" i="9" s="1"/>
  <c r="I84" i="9"/>
  <c r="K84" i="9" s="1"/>
  <c r="I85" i="9"/>
  <c r="K85" i="9" s="1"/>
  <c r="I86" i="9"/>
  <c r="K86" i="9" s="1"/>
  <c r="I87" i="9"/>
  <c r="K87" i="9" s="1"/>
  <c r="I88" i="9"/>
  <c r="K88" i="9" s="1"/>
  <c r="I89" i="9"/>
  <c r="K89" i="9" s="1"/>
  <c r="I90" i="9"/>
  <c r="K90" i="9" s="1"/>
  <c r="I92" i="9"/>
  <c r="K92" i="9" s="1"/>
  <c r="I93" i="9"/>
  <c r="K93" i="9" s="1"/>
  <c r="I94" i="9"/>
  <c r="K94" i="9" s="1"/>
  <c r="I95" i="9"/>
  <c r="K95" i="9" s="1"/>
  <c r="I96" i="9"/>
  <c r="K96" i="9" s="1"/>
  <c r="I97" i="9"/>
  <c r="K97" i="9" s="1"/>
  <c r="K98" i="9"/>
  <c r="I99" i="9"/>
  <c r="K99" i="9" s="1"/>
  <c r="I100" i="9"/>
  <c r="K100" i="9" s="1"/>
  <c r="I101" i="9"/>
  <c r="K101" i="9" s="1"/>
  <c r="I102" i="9"/>
  <c r="K102" i="9" s="1"/>
  <c r="I103" i="9"/>
  <c r="K103" i="9" s="1"/>
  <c r="I104" i="9"/>
  <c r="K104" i="9" s="1"/>
  <c r="K105" i="9"/>
  <c r="I106" i="9"/>
  <c r="K106" i="9" s="1"/>
  <c r="I107" i="9"/>
  <c r="K107" i="9" s="1"/>
  <c r="K108" i="9"/>
  <c r="I109" i="9"/>
  <c r="K109" i="9" s="1"/>
  <c r="I110" i="9"/>
  <c r="K110" i="9" s="1"/>
  <c r="I111" i="9"/>
  <c r="K111" i="9" s="1"/>
  <c r="K112" i="9"/>
  <c r="I113" i="9"/>
  <c r="K113" i="9" s="1"/>
  <c r="I114" i="9"/>
  <c r="K114" i="9" s="1"/>
  <c r="I115" i="9"/>
  <c r="K115" i="9" s="1"/>
  <c r="I116" i="9"/>
  <c r="K116" i="9" s="1"/>
  <c r="I117" i="9"/>
  <c r="K117" i="9" s="1"/>
  <c r="I118" i="9"/>
  <c r="K118" i="9" s="1"/>
  <c r="I119" i="9"/>
  <c r="K119" i="9" s="1"/>
  <c r="I120" i="9"/>
  <c r="K120" i="9" s="1"/>
  <c r="I121" i="9"/>
  <c r="K121" i="9" s="1"/>
  <c r="I122" i="9"/>
  <c r="K122" i="9" s="1"/>
  <c r="K123" i="9"/>
  <c r="I124" i="9"/>
  <c r="K124" i="9" s="1"/>
  <c r="I125" i="9"/>
  <c r="K125" i="9" s="1"/>
  <c r="I126" i="9"/>
  <c r="K126" i="9" s="1"/>
  <c r="I127" i="9"/>
  <c r="K127" i="9" s="1"/>
  <c r="K128" i="9"/>
  <c r="I129" i="9"/>
  <c r="K129" i="9" s="1"/>
  <c r="I130" i="9"/>
  <c r="K130" i="9" s="1"/>
  <c r="I131" i="9"/>
  <c r="K131" i="9" s="1"/>
  <c r="I132" i="9"/>
  <c r="K132" i="9" s="1"/>
  <c r="I133" i="9"/>
  <c r="K133" i="9" s="1"/>
  <c r="I134" i="9"/>
  <c r="K134" i="9" s="1"/>
  <c r="I135" i="9"/>
  <c r="K135" i="9" s="1"/>
  <c r="I136" i="9"/>
  <c r="K136" i="9" s="1"/>
  <c r="I137" i="9"/>
  <c r="K137" i="9" s="1"/>
  <c r="I138" i="9"/>
  <c r="K138" i="9" s="1"/>
  <c r="I139" i="9"/>
  <c r="K139" i="9" s="1"/>
  <c r="I140" i="9"/>
  <c r="K140" i="9" s="1"/>
  <c r="I141" i="9"/>
  <c r="K141" i="9" s="1"/>
  <c r="I142" i="9"/>
  <c r="K142" i="9" s="1"/>
  <c r="I143" i="9"/>
  <c r="K143" i="9" s="1"/>
  <c r="K144" i="9"/>
  <c r="I145" i="9"/>
  <c r="K145" i="9" s="1"/>
  <c r="I146" i="9"/>
  <c r="K146" i="9" s="1"/>
  <c r="I147" i="9"/>
  <c r="K147" i="9" s="1"/>
  <c r="I148" i="9"/>
  <c r="K148" i="9" s="1"/>
  <c r="I149" i="9"/>
  <c r="K149" i="9" s="1"/>
  <c r="I150" i="9"/>
  <c r="K150" i="9" s="1"/>
  <c r="I151" i="9"/>
  <c r="K151" i="9" s="1"/>
  <c r="I152" i="9"/>
  <c r="K152" i="9" s="1"/>
  <c r="I153" i="9"/>
  <c r="K153" i="9" s="1"/>
  <c r="I154" i="9"/>
  <c r="K154" i="9" s="1"/>
  <c r="I155" i="9"/>
  <c r="K155" i="9" s="1"/>
  <c r="I156" i="9"/>
  <c r="K156" i="9" s="1"/>
  <c r="I157" i="9"/>
  <c r="K157" i="9" s="1"/>
  <c r="I158" i="9"/>
  <c r="K158" i="9" s="1"/>
  <c r="I159" i="9"/>
  <c r="K159" i="9" s="1"/>
  <c r="I160" i="9"/>
  <c r="K160" i="9" s="1"/>
  <c r="I161" i="9"/>
  <c r="K161" i="9" s="1"/>
  <c r="I162" i="9"/>
  <c r="K162" i="9" s="1"/>
  <c r="I163" i="9"/>
  <c r="K163" i="9" s="1"/>
  <c r="I164" i="9"/>
  <c r="K164" i="9" s="1"/>
  <c r="I165" i="9"/>
  <c r="K165" i="9" s="1"/>
  <c r="I166" i="9"/>
  <c r="K166" i="9" s="1"/>
  <c r="I167" i="9"/>
  <c r="K167" i="9" s="1"/>
  <c r="I168" i="9"/>
  <c r="K168" i="9" s="1"/>
  <c r="I169" i="9"/>
  <c r="K169" i="9" s="1"/>
  <c r="K6" i="9"/>
  <c r="D72" i="7"/>
  <c r="E72" i="7"/>
  <c r="F72" i="7"/>
  <c r="G72" i="7"/>
  <c r="H72" i="7"/>
  <c r="I72" i="7"/>
  <c r="K72" i="7"/>
  <c r="C72" i="7"/>
  <c r="J54" i="7" l="1"/>
  <c r="J55" i="7"/>
  <c r="J57" i="7"/>
  <c r="J58" i="7"/>
  <c r="J59" i="7"/>
  <c r="J60" i="7"/>
  <c r="J62" i="7"/>
  <c r="J65" i="7"/>
  <c r="J67" i="7"/>
  <c r="J68" i="7"/>
  <c r="J70" i="7"/>
  <c r="J71" i="7"/>
  <c r="J46" i="7"/>
  <c r="J47" i="7"/>
  <c r="J49" i="7"/>
  <c r="J50" i="7"/>
  <c r="J51" i="7"/>
  <c r="J52" i="7"/>
  <c r="J12" i="7"/>
  <c r="J13" i="7"/>
  <c r="J15" i="7"/>
  <c r="J16" i="7"/>
  <c r="J17" i="7"/>
  <c r="J18" i="7"/>
  <c r="J19" i="7"/>
  <c r="J20" i="7"/>
  <c r="J21" i="7"/>
  <c r="J22" i="7"/>
  <c r="J23" i="7"/>
  <c r="J24" i="7"/>
  <c r="J27" i="7"/>
  <c r="L27" i="7" s="1"/>
  <c r="J28" i="7"/>
  <c r="J29" i="7"/>
  <c r="J30" i="7"/>
  <c r="J31" i="7"/>
  <c r="J32" i="7"/>
  <c r="J33" i="7"/>
  <c r="J34" i="7"/>
  <c r="J35" i="7"/>
  <c r="J36" i="7"/>
  <c r="J37" i="7"/>
  <c r="J39" i="7"/>
  <c r="J40" i="7"/>
  <c r="J41" i="7"/>
  <c r="J42" i="7"/>
  <c r="J44" i="7"/>
  <c r="J45" i="7"/>
  <c r="J8" i="7"/>
  <c r="J9" i="7"/>
  <c r="L5" i="7"/>
  <c r="L6" i="9"/>
  <c r="J72" i="7" l="1"/>
  <c r="L72" i="7" s="1"/>
  <c r="L86" i="9"/>
  <c r="L7" i="9"/>
  <c r="M7" i="9"/>
  <c r="N7" i="9"/>
  <c r="L8" i="9"/>
  <c r="M8" i="9"/>
  <c r="N8" i="9"/>
  <c r="L9" i="9"/>
  <c r="M9" i="9"/>
  <c r="N9" i="9"/>
  <c r="L10" i="9"/>
  <c r="M10" i="9"/>
  <c r="N10" i="9"/>
  <c r="L11" i="9"/>
  <c r="M11" i="9"/>
  <c r="N11" i="9"/>
  <c r="L12" i="9"/>
  <c r="M12" i="9"/>
  <c r="N12" i="9"/>
  <c r="L13" i="9"/>
  <c r="M13" i="9"/>
  <c r="N13" i="9"/>
  <c r="L14" i="9"/>
  <c r="M14" i="9"/>
  <c r="N14" i="9"/>
  <c r="L15" i="9"/>
  <c r="M15" i="9"/>
  <c r="N15" i="9"/>
  <c r="L16" i="9"/>
  <c r="M16" i="9"/>
  <c r="N16" i="9"/>
  <c r="L17" i="9"/>
  <c r="M17" i="9"/>
  <c r="N17" i="9"/>
  <c r="L18" i="9"/>
  <c r="M18" i="9"/>
  <c r="N18" i="9"/>
  <c r="L19" i="9"/>
  <c r="M19" i="9"/>
  <c r="N19" i="9"/>
  <c r="L20" i="9"/>
  <c r="M20" i="9"/>
  <c r="N20" i="9"/>
  <c r="L21" i="9"/>
  <c r="M21" i="9"/>
  <c r="N21" i="9"/>
  <c r="L22" i="9"/>
  <c r="M22" i="9"/>
  <c r="N22" i="9"/>
  <c r="L23" i="9"/>
  <c r="M23" i="9"/>
  <c r="N23" i="9"/>
  <c r="L24" i="9"/>
  <c r="M24" i="9"/>
  <c r="N24" i="9"/>
  <c r="L25" i="9"/>
  <c r="M25" i="9"/>
  <c r="N25" i="9"/>
  <c r="L26" i="9"/>
  <c r="M26" i="9"/>
  <c r="N26" i="9"/>
  <c r="L27" i="9"/>
  <c r="M27" i="9"/>
  <c r="N27" i="9"/>
  <c r="L28" i="9"/>
  <c r="M28" i="9"/>
  <c r="N28" i="9"/>
  <c r="L29" i="9"/>
  <c r="M29" i="9"/>
  <c r="N29" i="9"/>
  <c r="L30" i="9"/>
  <c r="M30" i="9"/>
  <c r="N30" i="9"/>
  <c r="L31" i="9"/>
  <c r="M31" i="9"/>
  <c r="N31" i="9"/>
  <c r="L32" i="9"/>
  <c r="M32" i="9"/>
  <c r="N32" i="9"/>
  <c r="L33" i="9"/>
  <c r="M33" i="9"/>
  <c r="N33" i="9"/>
  <c r="L34" i="9"/>
  <c r="M34" i="9"/>
  <c r="N34" i="9"/>
  <c r="L35" i="9"/>
  <c r="M35" i="9"/>
  <c r="N35" i="9"/>
  <c r="L36" i="9"/>
  <c r="M36" i="9"/>
  <c r="N36" i="9"/>
  <c r="L37" i="9"/>
  <c r="M37" i="9"/>
  <c r="N37" i="9"/>
  <c r="L38" i="9"/>
  <c r="M38" i="9"/>
  <c r="N38" i="9"/>
  <c r="L39" i="9"/>
  <c r="M39" i="9"/>
  <c r="N39" i="9"/>
  <c r="L40" i="9"/>
  <c r="M40" i="9"/>
  <c r="N40" i="9"/>
  <c r="L41" i="9"/>
  <c r="M41" i="9"/>
  <c r="N41" i="9"/>
  <c r="L42" i="9"/>
  <c r="M42" i="9"/>
  <c r="N42" i="9"/>
  <c r="L43" i="9"/>
  <c r="M43" i="9"/>
  <c r="N43" i="9"/>
  <c r="L44" i="9"/>
  <c r="M44" i="9"/>
  <c r="N44" i="9"/>
  <c r="L45" i="9"/>
  <c r="M45" i="9"/>
  <c r="N45" i="9"/>
  <c r="L46" i="9"/>
  <c r="M46" i="9"/>
  <c r="N46" i="9"/>
  <c r="L47" i="9"/>
  <c r="M47" i="9"/>
  <c r="N47" i="9"/>
  <c r="L48" i="9"/>
  <c r="M48" i="9"/>
  <c r="N48" i="9"/>
  <c r="L49" i="9"/>
  <c r="M49" i="9"/>
  <c r="N49" i="9"/>
  <c r="L50" i="9"/>
  <c r="M50" i="9"/>
  <c r="N50" i="9"/>
  <c r="L51" i="9"/>
  <c r="M51" i="9"/>
  <c r="N51" i="9"/>
  <c r="L52" i="9"/>
  <c r="M52" i="9"/>
  <c r="N52" i="9"/>
  <c r="L53" i="9"/>
  <c r="M53" i="9"/>
  <c r="N53" i="9"/>
  <c r="L54" i="9"/>
  <c r="M54" i="9"/>
  <c r="N54" i="9"/>
  <c r="L55" i="9"/>
  <c r="M55" i="9"/>
  <c r="N55" i="9"/>
  <c r="L56" i="9"/>
  <c r="M56" i="9"/>
  <c r="N56" i="9"/>
  <c r="L57" i="9"/>
  <c r="M57" i="9"/>
  <c r="N57" i="9"/>
  <c r="L58" i="9"/>
  <c r="M58" i="9"/>
  <c r="N58" i="9"/>
  <c r="L59" i="9"/>
  <c r="M59" i="9"/>
  <c r="N59" i="9"/>
  <c r="L60" i="9"/>
  <c r="M60" i="9"/>
  <c r="N60" i="9"/>
  <c r="L61" i="9"/>
  <c r="M61" i="9"/>
  <c r="N61" i="9"/>
  <c r="L62" i="9"/>
  <c r="M62" i="9"/>
  <c r="N62" i="9"/>
  <c r="L63" i="9"/>
  <c r="M63" i="9"/>
  <c r="N63" i="9"/>
  <c r="L64" i="9"/>
  <c r="M64" i="9"/>
  <c r="N64" i="9"/>
  <c r="L65" i="9"/>
  <c r="M65" i="9"/>
  <c r="N65" i="9"/>
  <c r="L66" i="9"/>
  <c r="M66" i="9"/>
  <c r="N66" i="9"/>
  <c r="L67" i="9"/>
  <c r="M67" i="9"/>
  <c r="N67" i="9"/>
  <c r="L68" i="9"/>
  <c r="M68" i="9"/>
  <c r="N68" i="9"/>
  <c r="L69" i="9"/>
  <c r="M69" i="9"/>
  <c r="N69" i="9"/>
  <c r="L70" i="9"/>
  <c r="M70" i="9"/>
  <c r="N70" i="9"/>
  <c r="L71" i="9"/>
  <c r="M71" i="9"/>
  <c r="N71" i="9"/>
  <c r="L72" i="9"/>
  <c r="M72" i="9"/>
  <c r="N72" i="9"/>
  <c r="L73" i="9"/>
  <c r="M73" i="9"/>
  <c r="N73" i="9"/>
  <c r="L74" i="9"/>
  <c r="M74" i="9"/>
  <c r="N74" i="9"/>
  <c r="L75" i="9"/>
  <c r="M75" i="9"/>
  <c r="N75" i="9"/>
  <c r="L76" i="9"/>
  <c r="M76" i="9"/>
  <c r="N76" i="9"/>
  <c r="L77" i="9"/>
  <c r="M77" i="9"/>
  <c r="N77" i="9"/>
  <c r="L78" i="9"/>
  <c r="M78" i="9"/>
  <c r="N78" i="9"/>
  <c r="L79" i="9"/>
  <c r="M79" i="9"/>
  <c r="N79" i="9"/>
  <c r="L80" i="9"/>
  <c r="M80" i="9"/>
  <c r="N80" i="9"/>
  <c r="L81" i="9"/>
  <c r="M81" i="9"/>
  <c r="N81" i="9"/>
  <c r="L82" i="9"/>
  <c r="M82" i="9"/>
  <c r="N82" i="9"/>
  <c r="L83" i="9"/>
  <c r="M83" i="9"/>
  <c r="N83" i="9"/>
  <c r="L84" i="9"/>
  <c r="M84" i="9"/>
  <c r="N84" i="9"/>
  <c r="L85" i="9"/>
  <c r="M85" i="9"/>
  <c r="N85" i="9"/>
  <c r="M86" i="9"/>
  <c r="N86" i="9"/>
  <c r="L87" i="9"/>
  <c r="M87" i="9"/>
  <c r="N87" i="9"/>
  <c r="L88" i="9"/>
  <c r="M88" i="9"/>
  <c r="N88" i="9"/>
  <c r="L89" i="9"/>
  <c r="M89" i="9"/>
  <c r="N89" i="9"/>
  <c r="L90" i="9"/>
  <c r="M90" i="9"/>
  <c r="N90" i="9"/>
  <c r="M91" i="9"/>
  <c r="N91" i="9"/>
  <c r="L92" i="9"/>
  <c r="M92" i="9"/>
  <c r="N92" i="9"/>
  <c r="L93" i="9"/>
  <c r="M93" i="9"/>
  <c r="N93" i="9"/>
  <c r="L94" i="9"/>
  <c r="M94" i="9"/>
  <c r="N94" i="9"/>
  <c r="L95" i="9"/>
  <c r="M95" i="9"/>
  <c r="N95" i="9"/>
  <c r="L96" i="9"/>
  <c r="M96" i="9"/>
  <c r="N96" i="9"/>
  <c r="L97" i="9"/>
  <c r="M97" i="9"/>
  <c r="N97" i="9"/>
  <c r="L98" i="9"/>
  <c r="M98" i="9"/>
  <c r="N98" i="9"/>
  <c r="L99" i="9"/>
  <c r="M99" i="9"/>
  <c r="N99" i="9"/>
  <c r="L100" i="9"/>
  <c r="M100" i="9"/>
  <c r="N100" i="9"/>
  <c r="L101" i="9"/>
  <c r="M101" i="9"/>
  <c r="N101" i="9"/>
  <c r="L102" i="9"/>
  <c r="M102" i="9"/>
  <c r="N102" i="9"/>
  <c r="L103" i="9"/>
  <c r="M103" i="9"/>
  <c r="N103" i="9"/>
  <c r="L104" i="9"/>
  <c r="M104" i="9"/>
  <c r="N104" i="9"/>
  <c r="L105" i="9"/>
  <c r="M105" i="9"/>
  <c r="N105" i="9"/>
  <c r="L106" i="9"/>
  <c r="M106" i="9"/>
  <c r="N106" i="9"/>
  <c r="L107" i="9"/>
  <c r="M107" i="9"/>
  <c r="N107" i="9"/>
  <c r="L108" i="9"/>
  <c r="M108" i="9"/>
  <c r="N108" i="9"/>
  <c r="L109" i="9"/>
  <c r="M109" i="9"/>
  <c r="N109" i="9"/>
  <c r="L110" i="9"/>
  <c r="M110" i="9"/>
  <c r="N110" i="9"/>
  <c r="L111" i="9"/>
  <c r="M111" i="9"/>
  <c r="N111" i="9"/>
  <c r="L112" i="9"/>
  <c r="M112" i="9"/>
  <c r="N112" i="9"/>
  <c r="L113" i="9"/>
  <c r="M113" i="9"/>
  <c r="N113" i="9"/>
  <c r="L114" i="9"/>
  <c r="M114" i="9"/>
  <c r="N114" i="9"/>
  <c r="L115" i="9"/>
  <c r="M115" i="9"/>
  <c r="N115" i="9"/>
  <c r="L116" i="9"/>
  <c r="M116" i="9"/>
  <c r="N116" i="9"/>
  <c r="L117" i="9"/>
  <c r="M117" i="9"/>
  <c r="N117" i="9"/>
  <c r="L118" i="9"/>
  <c r="M118" i="9"/>
  <c r="N118" i="9"/>
  <c r="L119" i="9"/>
  <c r="M119" i="9"/>
  <c r="N119" i="9"/>
  <c r="L120" i="9"/>
  <c r="M120" i="9"/>
  <c r="N120" i="9"/>
  <c r="L121" i="9"/>
  <c r="M121" i="9"/>
  <c r="N121" i="9"/>
  <c r="L122" i="9"/>
  <c r="M122" i="9"/>
  <c r="N122" i="9"/>
  <c r="L123" i="9"/>
  <c r="M123" i="9"/>
  <c r="N123" i="9"/>
  <c r="L124" i="9"/>
  <c r="M124" i="9"/>
  <c r="N124" i="9"/>
  <c r="L125" i="9"/>
  <c r="M125" i="9"/>
  <c r="N125" i="9"/>
  <c r="L126" i="9"/>
  <c r="M126" i="9"/>
  <c r="N126" i="9"/>
  <c r="L127" i="9"/>
  <c r="M127" i="9"/>
  <c r="N127" i="9"/>
  <c r="L128" i="9"/>
  <c r="M128" i="9"/>
  <c r="N128" i="9"/>
  <c r="L129" i="9"/>
  <c r="M129" i="9"/>
  <c r="N129" i="9"/>
  <c r="L130" i="9"/>
  <c r="M130" i="9"/>
  <c r="N130" i="9"/>
  <c r="L131" i="9"/>
  <c r="M131" i="9"/>
  <c r="N131" i="9"/>
  <c r="L132" i="9"/>
  <c r="M132" i="9"/>
  <c r="N132" i="9"/>
  <c r="L133" i="9"/>
  <c r="M133" i="9"/>
  <c r="N133" i="9"/>
  <c r="L134" i="9"/>
  <c r="M134" i="9"/>
  <c r="N134" i="9"/>
  <c r="L135" i="9"/>
  <c r="M135" i="9"/>
  <c r="N135" i="9"/>
  <c r="L136" i="9"/>
  <c r="M136" i="9"/>
  <c r="N136" i="9"/>
  <c r="L137" i="9"/>
  <c r="M137" i="9"/>
  <c r="N137" i="9"/>
  <c r="L138" i="9"/>
  <c r="M138" i="9"/>
  <c r="N138" i="9"/>
  <c r="L139" i="9"/>
  <c r="M139" i="9"/>
  <c r="N139" i="9"/>
  <c r="L140" i="9"/>
  <c r="M140" i="9"/>
  <c r="N140" i="9"/>
  <c r="L141" i="9"/>
  <c r="M141" i="9"/>
  <c r="N141" i="9"/>
  <c r="L142" i="9"/>
  <c r="M142" i="9"/>
  <c r="N142" i="9"/>
  <c r="L143" i="9"/>
  <c r="M143" i="9"/>
  <c r="N143" i="9"/>
  <c r="L144" i="9"/>
  <c r="M144" i="9"/>
  <c r="N144" i="9"/>
  <c r="L145" i="9"/>
  <c r="M145" i="9"/>
  <c r="N145" i="9"/>
  <c r="L146" i="9"/>
  <c r="M146" i="9"/>
  <c r="N146" i="9"/>
  <c r="L147" i="9"/>
  <c r="M147" i="9"/>
  <c r="N147" i="9"/>
  <c r="L148" i="9"/>
  <c r="M148" i="9"/>
  <c r="N148" i="9"/>
  <c r="L149" i="9"/>
  <c r="M149" i="9"/>
  <c r="N149" i="9"/>
  <c r="L150" i="9"/>
  <c r="M150" i="9"/>
  <c r="N150" i="9"/>
  <c r="L151" i="9"/>
  <c r="M151" i="9"/>
  <c r="N151" i="9"/>
  <c r="L152" i="9"/>
  <c r="M152" i="9"/>
  <c r="N152" i="9"/>
  <c r="L153" i="9"/>
  <c r="M153" i="9"/>
  <c r="N153" i="9"/>
  <c r="L154" i="9"/>
  <c r="M154" i="9"/>
  <c r="N154" i="9"/>
  <c r="L155" i="9"/>
  <c r="M155" i="9"/>
  <c r="N155" i="9"/>
  <c r="L156" i="9"/>
  <c r="M156" i="9"/>
  <c r="N156" i="9"/>
  <c r="L157" i="9"/>
  <c r="M157" i="9"/>
  <c r="N157" i="9"/>
  <c r="L158" i="9"/>
  <c r="M158" i="9"/>
  <c r="N158" i="9"/>
  <c r="L159" i="9"/>
  <c r="M159" i="9"/>
  <c r="N159" i="9"/>
  <c r="L160" i="9"/>
  <c r="M160" i="9"/>
  <c r="N160" i="9"/>
  <c r="L161" i="9"/>
  <c r="M161" i="9"/>
  <c r="N161" i="9"/>
  <c r="L162" i="9"/>
  <c r="M162" i="9"/>
  <c r="N162" i="9"/>
  <c r="L163" i="9"/>
  <c r="M163" i="9"/>
  <c r="N163" i="9"/>
  <c r="L164" i="9"/>
  <c r="M164" i="9"/>
  <c r="N164" i="9"/>
  <c r="L165" i="9"/>
  <c r="M165" i="9"/>
  <c r="N165" i="9"/>
  <c r="L166" i="9"/>
  <c r="M166" i="9"/>
  <c r="N166" i="9"/>
  <c r="L167" i="9"/>
  <c r="M167" i="9"/>
  <c r="N167" i="9"/>
  <c r="L168" i="9"/>
  <c r="M168" i="9"/>
  <c r="N168" i="9"/>
  <c r="L169" i="9"/>
  <c r="M169" i="9"/>
  <c r="N169" i="9"/>
  <c r="M6" i="9"/>
  <c r="L11" i="7"/>
  <c r="L14" i="7"/>
  <c r="L42" i="7"/>
  <c r="L61" i="7"/>
  <c r="L63" i="7"/>
  <c r="L66" i="7"/>
  <c r="L6" i="7"/>
  <c r="L7" i="7"/>
  <c r="L8" i="7"/>
  <c r="L9" i="7"/>
  <c r="L12" i="7"/>
  <c r="L13" i="7"/>
  <c r="L15" i="7"/>
  <c r="L16" i="7"/>
  <c r="L17" i="7"/>
  <c r="L18" i="7"/>
  <c r="L19" i="7"/>
  <c r="L20" i="7"/>
  <c r="L21" i="7"/>
  <c r="L22" i="7"/>
  <c r="L23" i="7"/>
  <c r="L24" i="7"/>
  <c r="L25" i="7"/>
  <c r="L26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2" i="7"/>
  <c r="L64" i="7"/>
  <c r="L65" i="7"/>
  <c r="L67" i="7"/>
  <c r="L68" i="7"/>
  <c r="L69" i="7"/>
  <c r="L70" i="7"/>
  <c r="L71" i="7"/>
  <c r="O59" i="9" l="1"/>
  <c r="O104" i="9"/>
  <c r="O131" i="9"/>
  <c r="O99" i="9"/>
  <c r="O138" i="9"/>
  <c r="O134" i="9"/>
  <c r="O63" i="9"/>
  <c r="O41" i="9"/>
  <c r="O29" i="9"/>
  <c r="O60" i="9"/>
  <c r="O120" i="9"/>
  <c r="O108" i="9"/>
  <c r="O96" i="9"/>
  <c r="O110" i="9"/>
  <c r="O78" i="9"/>
  <c r="O62" i="9"/>
  <c r="O38" i="9"/>
  <c r="O101" i="9"/>
  <c r="O84" i="9"/>
  <c r="O20" i="9"/>
  <c r="O87" i="9"/>
  <c r="O23" i="9"/>
  <c r="O98" i="9"/>
  <c r="O161" i="9"/>
  <c r="O129" i="9"/>
  <c r="O125" i="9"/>
  <c r="O113" i="9"/>
  <c r="O89" i="9"/>
  <c r="O81" i="9"/>
  <c r="O156" i="9"/>
  <c r="O144" i="9"/>
  <c r="O140" i="9"/>
  <c r="O45" i="9"/>
  <c r="O21" i="9"/>
  <c r="O14" i="9"/>
  <c r="O9" i="9"/>
  <c r="O18" i="9"/>
  <c r="O64" i="9"/>
  <c r="O155" i="9"/>
  <c r="O56" i="9"/>
  <c r="O52" i="9"/>
  <c r="O44" i="9"/>
  <c r="O159" i="9"/>
  <c r="O95" i="9"/>
  <c r="O12" i="9"/>
  <c r="O8" i="9"/>
  <c r="O77" i="9"/>
  <c r="O55" i="9"/>
  <c r="O51" i="9"/>
  <c r="O97" i="9"/>
  <c r="O130" i="9"/>
  <c r="O122" i="9"/>
  <c r="O102" i="9"/>
  <c r="O86" i="9"/>
  <c r="O39" i="9"/>
  <c r="O35" i="9"/>
  <c r="O118" i="9"/>
  <c r="O114" i="9"/>
  <c r="O106" i="9"/>
  <c r="O26" i="9"/>
  <c r="O152" i="9"/>
  <c r="O71" i="9"/>
  <c r="O48" i="9"/>
  <c r="O147" i="9"/>
  <c r="O128" i="9"/>
  <c r="O124" i="9"/>
  <c r="O135" i="9"/>
  <c r="O93" i="9"/>
  <c r="O109" i="9"/>
  <c r="O162" i="9"/>
  <c r="O150" i="9"/>
  <c r="O123" i="9"/>
  <c r="O100" i="9"/>
  <c r="O69" i="9"/>
  <c r="O132" i="9"/>
  <c r="O165" i="9"/>
  <c r="O119" i="9"/>
  <c r="O88" i="9"/>
  <c r="O57" i="9"/>
  <c r="O141" i="9"/>
  <c r="O68" i="9"/>
  <c r="O30" i="9"/>
  <c r="O111" i="9"/>
  <c r="O74" i="9"/>
  <c r="O70" i="9"/>
  <c r="O151" i="9"/>
  <c r="O136" i="9"/>
  <c r="O65" i="9"/>
  <c r="O47" i="9"/>
  <c r="O36" i="9"/>
  <c r="O32" i="9"/>
  <c r="O158" i="9"/>
  <c r="O143" i="9"/>
  <c r="O117" i="9"/>
  <c r="O91" i="9"/>
  <c r="O80" i="9"/>
  <c r="O72" i="9"/>
  <c r="O54" i="9"/>
  <c r="O50" i="9"/>
  <c r="O28" i="9"/>
  <c r="O24" i="9"/>
  <c r="O13" i="9"/>
  <c r="O90" i="9"/>
  <c r="O83" i="9"/>
  <c r="O42" i="9"/>
  <c r="O105" i="9"/>
  <c r="O157" i="9"/>
  <c r="O153" i="9"/>
  <c r="O146" i="9"/>
  <c r="O116" i="9"/>
  <c r="O75" i="9"/>
  <c r="O53" i="9"/>
  <c r="O27" i="9"/>
  <c r="O168" i="9"/>
  <c r="O164" i="9"/>
  <c r="O149" i="9"/>
  <c r="O82" i="9"/>
  <c r="O15" i="9"/>
  <c r="O137" i="9"/>
  <c r="O126" i="9"/>
  <c r="O85" i="9"/>
  <c r="O66" i="9"/>
  <c r="O33" i="9"/>
  <c r="O11" i="9"/>
  <c r="O167" i="9"/>
  <c r="O107" i="9"/>
  <c r="O7" i="9"/>
  <c r="O169" i="9"/>
  <c r="O154" i="9"/>
  <c r="O163" i="9"/>
  <c r="O166" i="9"/>
  <c r="O160" i="9"/>
  <c r="O145" i="9"/>
  <c r="O148" i="9"/>
  <c r="O133" i="9"/>
  <c r="O139" i="9"/>
  <c r="O142" i="9"/>
  <c r="O127" i="9"/>
  <c r="O115" i="9"/>
  <c r="O121" i="9"/>
  <c r="O112" i="9"/>
  <c r="O103" i="9"/>
  <c r="O92" i="9"/>
  <c r="O94" i="9"/>
  <c r="O76" i="9"/>
  <c r="O79" i="9"/>
  <c r="O73" i="9"/>
  <c r="O43" i="9"/>
  <c r="O46" i="9"/>
  <c r="O49" i="9"/>
  <c r="O58" i="9"/>
  <c r="O61" i="9"/>
  <c r="O67" i="9"/>
  <c r="O34" i="9"/>
  <c r="O37" i="9"/>
  <c r="O31" i="9"/>
  <c r="O40" i="9"/>
  <c r="O25" i="9"/>
  <c r="O22" i="9"/>
  <c r="O16" i="9"/>
  <c r="O19" i="9"/>
  <c r="O17" i="9"/>
  <c r="O10" i="9"/>
  <c r="L91" i="9"/>
  <c r="N6" i="9"/>
  <c r="O6" i="9" s="1"/>
</calcChain>
</file>

<file path=xl/sharedStrings.xml><?xml version="1.0" encoding="utf-8"?>
<sst xmlns="http://schemas.openxmlformats.org/spreadsheetml/2006/main" count="1123" uniqueCount="715">
  <si>
    <t>Ser</t>
  </si>
  <si>
    <t xml:space="preserve">Make &amp; Eqpt </t>
  </si>
  <si>
    <t>Dependency</t>
  </si>
  <si>
    <t>NMC Due to</t>
  </si>
  <si>
    <t>Total NMC (Nos)</t>
  </si>
  <si>
    <t xml:space="preserve">PMC (Nos) 
</t>
  </si>
  <si>
    <t>FMC (Nos)</t>
  </si>
  <si>
    <t>NMC %</t>
  </si>
  <si>
    <t>PMC%</t>
  </si>
  <si>
    <t>FMC %</t>
  </si>
  <si>
    <t>Avl %</t>
  </si>
  <si>
    <t>Remarks (To incl present loc of eqpt EOA)</t>
  </si>
  <si>
    <t>Auth (UE)</t>
  </si>
  <si>
    <t>Held (UH)</t>
  </si>
  <si>
    <t>Eng/
 Brl</t>
  </si>
  <si>
    <t>MUA</t>
  </si>
  <si>
    <t>Spares</t>
  </si>
  <si>
    <t xml:space="preserve"> Under OH /MR/R4/
FR/ Base Repair</t>
  </si>
  <si>
    <t>OBE</t>
  </si>
  <si>
    <t xml:space="preserve"> </t>
  </si>
  <si>
    <t>Total</t>
  </si>
  <si>
    <t>Category (Make &amp; Type)</t>
  </si>
  <si>
    <t>PMC (Nos) 
(Due to OH)</t>
  </si>
  <si>
    <t>OH</t>
  </si>
  <si>
    <t>FR</t>
  </si>
  <si>
    <t>R4</t>
  </si>
  <si>
    <t>(i)</t>
  </si>
  <si>
    <t>(ii)</t>
  </si>
  <si>
    <t>(iii)</t>
  </si>
  <si>
    <t>(iv)</t>
  </si>
  <si>
    <t>(v)</t>
  </si>
  <si>
    <t>(vi)</t>
  </si>
  <si>
    <t>(vii)</t>
  </si>
  <si>
    <t>(viii)</t>
  </si>
  <si>
    <t>(ix)</t>
  </si>
  <si>
    <t>(x)</t>
  </si>
  <si>
    <t>(xi)</t>
  </si>
  <si>
    <t>(xii)</t>
  </si>
  <si>
    <t>(xiii)</t>
  </si>
  <si>
    <t>(xiv)</t>
  </si>
  <si>
    <t>(xv)</t>
  </si>
  <si>
    <t>(xvi)</t>
  </si>
  <si>
    <t>(xvii)</t>
  </si>
  <si>
    <t>(xviii)</t>
  </si>
  <si>
    <t>NMC</t>
  </si>
  <si>
    <t>FMC</t>
  </si>
  <si>
    <t>FMN READINESS STATE  : INSTS</t>
  </si>
  <si>
    <t xml:space="preserve">NMC due to </t>
  </si>
  <si>
    <t>Auth 
(UE)</t>
  </si>
  <si>
    <t xml:space="preserve"> Under OH /R4/FR/  Base Repair</t>
  </si>
  <si>
    <t>SVL / OBSN / SIGHTING EQPTS (THERMAL IMAGING)</t>
  </si>
  <si>
    <t>LASER BASED INSTS</t>
  </si>
  <si>
    <t>PASSIVE NIGHT VISION DEVICES (PNVD)</t>
  </si>
  <si>
    <t>Optical Insts</t>
  </si>
  <si>
    <t/>
  </si>
  <si>
    <t>FMN READINESS STATE  : SMALL ARMS</t>
  </si>
  <si>
    <t>15 x Wpn lost in GLOF</t>
  </si>
  <si>
    <t>%</t>
  </si>
  <si>
    <t>617 EME BN 
 09 x Wpn lost in GLOF</t>
  </si>
  <si>
    <t>01 x Being fwd to TATA ADV Sys</t>
  </si>
  <si>
    <t xml:space="preserve">
617 EME Bn
15 x Wpn Damaged during GLOF</t>
  </si>
  <si>
    <t xml:space="preserve">
02 x Wpn Decl R4
03X AK47 Declared R4</t>
  </si>
  <si>
    <t xml:space="preserve">12 x Wpn lost in GLOF
</t>
  </si>
  <si>
    <t>Appx A (A veh)</t>
  </si>
  <si>
    <t>FMN READINESS STATE  : 'A' VEHS</t>
  </si>
  <si>
    <t>Units</t>
  </si>
  <si>
    <t>Eng</t>
  </si>
  <si>
    <t>MR</t>
  </si>
  <si>
    <t>(xix)</t>
  </si>
  <si>
    <t>(xx)</t>
  </si>
  <si>
    <t>WE Eqpt</t>
  </si>
  <si>
    <t>65 Armd Regt</t>
  </si>
  <si>
    <t>88 Armd Regt</t>
  </si>
  <si>
    <t>5 (I) Armd Sqn</t>
  </si>
  <si>
    <t>6 Guards</t>
  </si>
  <si>
    <t>8 Guards</t>
  </si>
  <si>
    <t>10 Armd Regt</t>
  </si>
  <si>
    <t>79 Med Regt</t>
  </si>
  <si>
    <t>A Veh Pl</t>
  </si>
  <si>
    <t>8 GUARDS</t>
  </si>
  <si>
    <t>6 GUARDS</t>
  </si>
  <si>
    <t>A Veh pl</t>
  </si>
  <si>
    <t>Ser No</t>
  </si>
  <si>
    <t>R4/ CL-V &amp; VI</t>
  </si>
  <si>
    <t>LIGHT VEHICLE</t>
  </si>
  <si>
    <t>Special Vehicle</t>
  </si>
  <si>
    <t>01x Decl Cl V</t>
  </si>
  <si>
    <t>Ambulance Vehs</t>
  </si>
  <si>
    <t>01 x CL VI (GLOF)</t>
  </si>
  <si>
    <t>01 x Under Cl V                                                                                                            01 x CL VI (GLOF)</t>
  </si>
  <si>
    <t>04 x Decl CL-V 
01 x CL VI (GLOF)                                                                                                          01 X Rear axle Dmd</t>
  </si>
  <si>
    <t>02 x Decl Cl V</t>
  </si>
  <si>
    <t>01 x Chassis crack (DR raised)</t>
  </si>
  <si>
    <t>Recovery Vehs</t>
  </si>
  <si>
    <r>
      <t xml:space="preserve">01 x MUA Dmd
</t>
    </r>
    <r>
      <rPr>
        <sz val="14"/>
        <color rgb="FFFF0000"/>
        <rFont val="Arial"/>
        <family val="2"/>
      </rPr>
      <t xml:space="preserve">02 x HRV AV-15 under BOH </t>
    </r>
  </si>
  <si>
    <t>Water Browser</t>
  </si>
  <si>
    <t>NIV / CIV Pattern Vehs</t>
  </si>
  <si>
    <t xml:space="preserve">01 x Decl CL-V </t>
  </si>
  <si>
    <t>03 x Decl CL-V</t>
  </si>
  <si>
    <t>03 x  Decl Cl -V</t>
  </si>
  <si>
    <t>Trailer</t>
  </si>
  <si>
    <t>01 x Tlr of 963 TPT Pl ASC off Rd due to Boggy Bend</t>
  </si>
  <si>
    <t>Misc Vehicles</t>
  </si>
  <si>
    <t>01xStarting trouble (Eng assy reqd OH, OEM vis fwd area for repair of IPMV on 05 Aug 2025).</t>
  </si>
  <si>
    <t xml:space="preserve">02x Decl Cl V
</t>
  </si>
  <si>
    <t xml:space="preserve">02 x decl Cl V </t>
  </si>
  <si>
    <t>Addl Eqpt</t>
  </si>
  <si>
    <t>04 x BER &amp; 1 X OH, 
02 x Loss in GLOF (Flood)</t>
  </si>
  <si>
    <t>01 x BER</t>
  </si>
  <si>
    <t xml:space="preserve">04 x BER </t>
  </si>
  <si>
    <t>03 X BER 
03 x Loss in GLOF (Flood)</t>
  </si>
  <si>
    <t>02 x BER</t>
  </si>
  <si>
    <t>01 x Loss in GLOF (Flood)</t>
  </si>
  <si>
    <t>01 x BER  
01 x Loss in GLOF (Flood)</t>
  </si>
  <si>
    <t>12 x BER &amp; 02 x OH
01 x Loss in GLOF (Flood)</t>
  </si>
  <si>
    <t>05 x BER
01 x Loss in GLOF (Flood)</t>
  </si>
  <si>
    <t>01 x GEN SET FRLASH FLOOD</t>
  </si>
  <si>
    <t>02 x Decl CL VI</t>
  </si>
  <si>
    <t>01 x Decl CL VI</t>
  </si>
  <si>
    <t>GENR SET AND CHG SET</t>
  </si>
  <si>
    <t>BRIDGING EQPT</t>
  </si>
  <si>
    <t xml:space="preserve">02 x Mobile Mast Hydraulic oil seal Demand </t>
  </si>
  <si>
    <t>Mobile Mast</t>
  </si>
  <si>
    <t>BRIDGING EQPT AND MOBILE MASTS</t>
  </si>
  <si>
    <t>Misc Eqpt</t>
  </si>
  <si>
    <t>Mining Eqpt</t>
  </si>
  <si>
    <t>Out Board Motor</t>
  </si>
  <si>
    <t>Air Compressor</t>
  </si>
  <si>
    <t>01x Gear box n/w parts under demand at unit level on 20 Feb 2024</t>
  </si>
  <si>
    <t xml:space="preserve">01x Eqpt decl CL-VI </t>
  </si>
  <si>
    <t>Construction Eqpt</t>
  </si>
  <si>
    <t>Excavator Loader</t>
  </si>
  <si>
    <t>Wheel Dozer</t>
  </si>
  <si>
    <t>01x CL-VI (Docu under process)</t>
  </si>
  <si>
    <t>Tracked Dozer</t>
  </si>
  <si>
    <t>PLANT AND MACHY EQPT</t>
  </si>
  <si>
    <t>R4/CL-V &amp; VI</t>
  </si>
  <si>
    <t xml:space="preserve">Remarks
(Demand details of VOR/EOA ) </t>
  </si>
  <si>
    <t>FMN READINESS STATE :  C VEHS</t>
  </si>
  <si>
    <t>FMN READINESS STATE  : ARMT</t>
  </si>
  <si>
    <t>Brl dmd and cont Number recd (cont no 4503646640 dt 22 Feb 2024)</t>
  </si>
  <si>
    <t xml:space="preserve">(i)  01 x Feed lever Assy demanded vide demand no TSS/EOA/ICVS /BMP-II/008 dt 18 Oct 2023 and same is controled on 06 Dec 23 of BA No 93X 5684P in r/o 26 Mech Inf 
(ii) 01x Catch assy bkn(BA No 91X 5325H) of 8 GUARDS , demanded by this wksp  vide demand No TSS/VOR/Gun 30MM/03 dt 03 Jul 24.                                                                                                                  </t>
  </si>
  <si>
    <t>01 x Disp unit Faulty under wty repair at Tata Power Pvt ltd Banglore Ser No-SED 00454 dt 6 Jan 25)</t>
  </si>
  <si>
    <t xml:space="preserve">
07 x TKN-4S fwd to OLF Dehradun for CTI 
</t>
  </si>
  <si>
    <r>
      <rPr>
        <sz val="12"/>
        <color theme="1"/>
        <rFont val="Arial"/>
        <family val="2"/>
      </rPr>
      <t xml:space="preserve">05x Gun Under BOH  (01 x 724 Eng Demand &amp; Under BOH)   </t>
    </r>
    <r>
      <rPr>
        <sz val="12"/>
        <color rgb="FFFF000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</t>
    </r>
  </si>
  <si>
    <t>01 x Brl Assy decl UNSV by CQA Jabalpur</t>
  </si>
  <si>
    <t xml:space="preserve">(i) 18X11962W - Cart Base Disposal Mech , CBDM re-demanded vide demand no TSS/EOA/T-90/002 dt 11 May 2023 to CAFVD Kirkee. 
</t>
  </si>
  <si>
    <t xml:space="preserve"> 01 x VOR for eng assy demanded.                                                      </t>
  </si>
  <si>
    <t>FMN READINESS STATE : 'B' VEH OF HQ 33 CORPS (EME) FOR THE MONTH OF Nov 2025</t>
  </si>
  <si>
    <r>
      <rPr>
        <sz val="12"/>
        <color rgb="FFFF0000"/>
        <rFont val="Arial"/>
        <family val="2"/>
      </rPr>
      <t xml:space="preserve">13 x  Decl CL-V /VI </t>
    </r>
    <r>
      <rPr>
        <sz val="12"/>
        <rFont val="Arial"/>
        <family val="2"/>
      </rPr>
      <t xml:space="preserve">
03 x Eng Assy Dmd
18 x MUA Dmd</t>
    </r>
  </si>
  <si>
    <r>
      <t xml:space="preserve">10 x Eng assy Dmd                                                                                                                                            10 x MUAs Dmd
</t>
    </r>
    <r>
      <rPr>
        <sz val="12"/>
        <color rgb="FFFF0000"/>
        <rFont val="Arial"/>
        <family val="2"/>
      </rPr>
      <t xml:space="preserve">40 x Decl CL-V/VI  </t>
    </r>
    <r>
      <rPr>
        <sz val="12"/>
        <rFont val="Arial"/>
        <family val="2"/>
      </rPr>
      <t xml:space="preserve">                                  
02 x Accidential Veh</t>
    </r>
  </si>
  <si>
    <r>
      <rPr>
        <sz val="12"/>
        <color rgb="FFFF0000"/>
        <rFont val="Arial"/>
        <family val="2"/>
      </rPr>
      <t>50 x CL-V/VI (05 x ALS loss in GLOF)</t>
    </r>
    <r>
      <rPr>
        <sz val="12"/>
        <rFont val="Arial"/>
        <family val="2"/>
      </rPr>
      <t xml:space="preserve">
09 x Eng assy demanded 
06 x MUAs Dmd</t>
    </r>
  </si>
  <si>
    <t xml:space="preserve">01 x Decl CL-V (Under Deposition)
01 x Gear Box &amp; Aux Gear Box Dmd
04 x Eng Demand                                                                                                      01 x ALS LRV loss in GLOF
</t>
  </si>
  <si>
    <t>01x MUAs dmd</t>
  </si>
  <si>
    <t>01 x MUA Dmd</t>
  </si>
  <si>
    <r>
      <t xml:space="preserve">01 x Decl Cl-V                                                                                          </t>
    </r>
    <r>
      <rPr>
        <sz val="14"/>
        <color rgb="FFFF0000"/>
        <rFont val="Arial"/>
        <family val="2"/>
      </rPr>
      <t xml:space="preserve">    </t>
    </r>
    <r>
      <rPr>
        <sz val="14"/>
        <color theme="1"/>
        <rFont val="Arial"/>
        <family val="2"/>
      </rPr>
      <t xml:space="preserve">                 </t>
    </r>
  </si>
  <si>
    <t>02 x Decl CL-V                                                                                                                                                                                                        01x loss in GLOF</t>
  </si>
  <si>
    <t>01 x Track shoe assy demanded by user unit (C No - M/2070 dt 29 Apr 2024
01 x Gear box Dmd</t>
  </si>
  <si>
    <t xml:space="preserve">03 x Eng Assy Demand </t>
  </si>
  <si>
    <t xml:space="preserve">01 x Carrying Handle Dmd 
02 x Bipod Assy Bkn Dmd placed by 5 FOD
</t>
  </si>
  <si>
    <t>02 x TFS Capsule replacement due</t>
  </si>
  <si>
    <t>A1</t>
  </si>
  <si>
    <t>A2</t>
  </si>
  <si>
    <t>A3</t>
  </si>
  <si>
    <t>A4</t>
  </si>
  <si>
    <t>A5</t>
  </si>
  <si>
    <t>A8</t>
  </si>
  <si>
    <t>A6</t>
  </si>
  <si>
    <t>A7</t>
  </si>
  <si>
    <t>A9</t>
  </si>
  <si>
    <t>A10</t>
  </si>
  <si>
    <t>01 x EOA for want of spares from H1</t>
  </si>
  <si>
    <t xml:space="preserve">20 x DRWOs fwd to W2/ W1.
01 x EOA for want of spares from H1/ F1
01 x Defect Report raised, investigation carried out wef 3-11 Nov 25 in unit loc by team ex GCF Jabalpur. </t>
  </si>
  <si>
    <t xml:space="preserve">   1 x EOA for want of spares from H1/ F1
  1 x VT-72B Ba No-90X 7201Y CL-V</t>
  </si>
  <si>
    <t>(i) 01 x EOA for want of spares from H1/ F1</t>
  </si>
  <si>
    <t>(i) 02 x EOA for want of spares from H1/ F1</t>
  </si>
  <si>
    <t>(i) 02 x Tk T-72 Under BOH of U1</t>
  </si>
  <si>
    <t xml:space="preserve"> 01 x VOR for eng assy dmd
 02 x Universal Joit &amp; Shaft Propeller dmd 
03 x EOA  Spares Dmd
 8 x EOA due to DRWO fwd to W1 / W2 ABW
 3 x MUA demanded (Gun 125mm)
 1 x Defect Report raised.</t>
  </si>
  <si>
    <t xml:space="preserve"> 1 x EOA for want of spares from H1/ F1.
  2 x EOA due to DRWO fwd to W1 / W2 ABW. 
</t>
  </si>
  <si>
    <t xml:space="preserve">  1 x VOR for eng assy demanded.
01 x MUAs Cut of Relay Eng Generator 
  2 x EOA for want of spares from H1/ F1. 
   2 x EOA due to DRWO fwd to W1 / W2 ABW.
01 x  Under MR at 33 CZW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</si>
  <si>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</si>
  <si>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</si>
  <si>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</si>
  <si>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</si>
  <si>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</si>
  <si>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</si>
  <si>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</si>
  <si>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</si>
  <si>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</si>
  <si>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</si>
  <si>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</si>
  <si>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</si>
  <si>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</si>
  <si>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</si>
  <si>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</si>
  <si>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</si>
  <si>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</si>
  <si>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</si>
  <si>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</si>
  <si>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</si>
  <si>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</si>
  <si>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</si>
  <si>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</si>
  <si>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</si>
  <si>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</si>
  <si>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</si>
  <si>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</si>
  <si>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</si>
  <si>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</si>
  <si>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</si>
  <si>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</si>
  <si>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</si>
  <si>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</si>
  <si>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</si>
  <si>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</si>
  <si>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</si>
  <si>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</si>
  <si>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</si>
  <si>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</si>
  <si>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</si>
  <si>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</si>
  <si>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</si>
  <si>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</si>
  <si>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</si>
  <si>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</si>
  <si>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</si>
  <si>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</si>
  <si>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</si>
  <si>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</si>
  <si>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</si>
  <si>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</si>
  <si>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</si>
  <si>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</si>
  <si>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</si>
  <si>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</si>
  <si>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</si>
  <si>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</si>
  <si>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</si>
  <si>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</si>
  <si>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</si>
  <si>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</si>
  <si>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</si>
  <si>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</si>
  <si>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</si>
  <si>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</si>
  <si>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</si>
  <si>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</si>
  <si>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</si>
  <si>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</si>
  <si>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</si>
  <si>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</si>
  <si>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</si>
  <si>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</si>
  <si>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</si>
  <si>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</si>
  <si>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</si>
  <si>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</si>
  <si>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</si>
  <si>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</si>
  <si>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</si>
  <si>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</si>
  <si>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</si>
  <si>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</si>
  <si>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</si>
  <si>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</si>
  <si>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</si>
  <si>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</si>
  <si>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</si>
  <si>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</si>
  <si>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</si>
  <si>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</si>
  <si>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</si>
  <si>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</si>
  <si>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</si>
  <si>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</si>
  <si>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</si>
  <si>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</si>
  <si>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</si>
  <si>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</si>
  <si>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</si>
  <si>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</si>
  <si>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</si>
  <si>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</si>
  <si>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</si>
  <si>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</si>
  <si>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</si>
  <si>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</si>
  <si>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</si>
  <si>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</si>
  <si>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</si>
  <si>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</si>
  <si>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</si>
  <si>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</si>
  <si>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</si>
  <si>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</si>
  <si>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</si>
  <si>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</si>
  <si>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</si>
  <si>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</si>
  <si>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</si>
  <si>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</si>
  <si>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</si>
  <si>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</si>
  <si>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</si>
  <si>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</si>
  <si>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01 x Cl V/VI(01 x Accident veh)
01x  under BOH at W6</t>
  </si>
  <si>
    <t xml:space="preserve">04 x Veh Under BOH at W5
02 x CL-V                                                                                                                       </t>
  </si>
  <si>
    <t>03xLSV tyre received from F1 (Tyre under fitment)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</si>
  <si>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</si>
  <si>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</si>
  <si>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</si>
  <si>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</si>
  <si>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</si>
  <si>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</si>
  <si>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</si>
  <si>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</si>
  <si>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</si>
  <si>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</si>
  <si>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</si>
  <si>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</si>
  <si>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</si>
  <si>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</si>
  <si>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</si>
  <si>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</si>
  <si>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</si>
  <si>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</si>
  <si>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</si>
  <si>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</si>
  <si>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</si>
  <si>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</si>
  <si>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</si>
  <si>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</si>
  <si>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</si>
  <si>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</si>
  <si>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</si>
  <si>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</si>
  <si>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</si>
  <si>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</si>
  <si>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</si>
  <si>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</si>
  <si>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</si>
  <si>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</si>
  <si>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</si>
  <si>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</si>
  <si>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</si>
  <si>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</si>
  <si>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</si>
  <si>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</si>
  <si>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</si>
  <si>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</si>
  <si>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</si>
  <si>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</si>
  <si>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</si>
  <si>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</si>
  <si>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</si>
  <si>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</si>
  <si>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</si>
  <si>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</si>
  <si>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</si>
  <si>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</si>
  <si>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</si>
  <si>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</si>
  <si>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</si>
  <si>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</si>
  <si>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</si>
  <si>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</si>
  <si>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</si>
  <si>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</si>
  <si>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</si>
  <si>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</si>
  <si>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</si>
  <si>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</si>
  <si>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</si>
  <si>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</si>
  <si>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</si>
  <si>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</si>
  <si>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</si>
  <si>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</si>
  <si>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</si>
  <si>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</si>
  <si>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</si>
  <si>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</si>
  <si>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</si>
  <si>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</si>
  <si>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</si>
  <si>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</si>
  <si>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</si>
  <si>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</si>
  <si>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</si>
  <si>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</si>
  <si>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</si>
  <si>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</si>
  <si>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</si>
  <si>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</si>
  <si>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</si>
  <si>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</si>
  <si>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</si>
  <si>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</si>
  <si>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</si>
  <si>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</si>
  <si>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</si>
  <si>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</si>
  <si>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</si>
  <si>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</si>
  <si>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</si>
  <si>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</si>
  <si>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</si>
  <si>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</si>
  <si>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</si>
  <si>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</si>
  <si>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</si>
  <si>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</si>
  <si>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</si>
  <si>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</si>
  <si>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</si>
  <si>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</si>
  <si>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</si>
  <si>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</si>
  <si>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</si>
  <si>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</si>
  <si>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</si>
  <si>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</si>
  <si>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</si>
  <si>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New Issue of U45</t>
  </si>
  <si>
    <t>01x newly added U46</t>
  </si>
  <si>
    <t>03x MML decl Cl-VI and MRP fixation letter fwd to ESD Kankinara vy U42.            
03x MML of U42 decl Cl- VI</t>
  </si>
  <si>
    <t>Newly collected Eqpt
01× Road Roller (CASE 952 Ex) out of ACSFP grant newly collected</t>
  </si>
  <si>
    <t xml:space="preserve">03 x Eng Demand (U39)
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</si>
  <si>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</si>
  <si>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</si>
  <si>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</si>
  <si>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</si>
  <si>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</si>
  <si>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</si>
  <si>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</si>
  <si>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</si>
  <si>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</si>
  <si>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</si>
  <si>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</si>
  <si>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</si>
  <si>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</si>
  <si>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</si>
  <si>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</si>
  <si>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</si>
  <si>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</si>
  <si>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</si>
  <si>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</si>
  <si>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01 x Guns  (Regd No L/1403) under BOH at W7 wef 07 Nov 25.                     
02 x Guns 337 Fd Regt (Regd No L/0924 &amp; L/0925) under BOH at W7 wef 13 Sep 2025.PDC Date recd for 05 Dec 25.
02 x Guns 77 &amp; 346 Fd Regt (Regd No L/1192 &amp; L/1129) under BOH at W7 &amp; 1Z2 wef 07 Nov &amp; 22 Oct 2025.
*02 x Gun    Regd No L/1337 &amp; 1020 under BOH at U52 on dt 14 Oct 25
*02 x Gun Regd No L/1227 &amp; 1202   of U53 under BOH at W7 dt 08 &amp; 23 Aug 25 
02 x Gun Regd No L/328 &amp; 330   of U54 under BOH at W7 dt 08 &amp; 09 Aug 25 
01 x Regd No L/1168 Due to Muzzle Brake Demand on dt 12 May 25
01 x Regd No L/1221 Due to Gun Brl  &amp; Muzzle Brake dt 12 May 25
03 X Regd No L/1048/1065 &amp; 1063 under BOH at 29 May 25</t>
  </si>
  <si>
    <r>
      <t>02x Gun Under BOH</t>
    </r>
    <r>
      <rPr>
        <sz val="12"/>
        <color rgb="FFFF0000"/>
        <rFont val="Arial"/>
        <family val="2"/>
      </rPr>
      <t xml:space="preserve"> </t>
    </r>
    <r>
      <rPr>
        <sz val="12"/>
        <rFont val="Arial"/>
        <family val="2"/>
      </rPr>
      <t xml:space="preserve">                                                                                                                                                    </t>
    </r>
    <r>
      <rPr>
        <sz val="12"/>
        <color rgb="FFFF0000"/>
        <rFont val="Arial"/>
        <family val="2"/>
      </rPr>
      <t>18 x LFG of U61 Newly included in this AOR</t>
    </r>
    <r>
      <rPr>
        <sz val="12"/>
        <rFont val="Arial"/>
        <family val="2"/>
      </rPr>
      <t>.</t>
    </r>
  </si>
  <si>
    <t>(i)  01 x   Recuparator cyl and  recoil brake demand through Ord Ch by wksp vide demand No TSS/EOA/Tk T-72/125MM GUN /09 dt 02 Aug 2022. 
(BA No 87X 3721L). of U68
(ii) 04 x Gun 125 MM demanded of U3.
(iii) 01 x Recuparator cyl Bkn  DR Raise of U3 under progress.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</si>
  <si>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</si>
  <si>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</si>
  <si>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</si>
  <si>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</si>
  <si>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</si>
  <si>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</si>
  <si>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</si>
  <si>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</si>
  <si>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</si>
  <si>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</si>
  <si>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</si>
  <si>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</si>
  <si>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</si>
  <si>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</si>
  <si>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</si>
  <si>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</si>
  <si>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</si>
  <si>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</si>
  <si>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</si>
  <si>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</si>
  <si>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</si>
  <si>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</si>
  <si>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</si>
  <si>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</si>
  <si>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</si>
  <si>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</si>
  <si>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</si>
  <si>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</si>
  <si>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</si>
  <si>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</si>
  <si>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</si>
  <si>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</si>
  <si>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</si>
  <si>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</si>
  <si>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</si>
  <si>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</si>
  <si>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</si>
  <si>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</si>
  <si>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</si>
  <si>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</si>
  <si>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</si>
  <si>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</si>
  <si>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</si>
  <si>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</si>
  <si>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</si>
  <si>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</si>
  <si>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</si>
  <si>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</si>
  <si>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</si>
  <si>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</si>
  <si>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</si>
  <si>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</si>
  <si>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</si>
  <si>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</si>
  <si>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</si>
  <si>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</si>
  <si>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</si>
  <si>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</si>
  <si>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</si>
  <si>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</si>
  <si>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</si>
  <si>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</si>
  <si>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</si>
  <si>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</si>
  <si>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</si>
  <si>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</si>
  <si>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</si>
  <si>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</si>
  <si>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 xml:space="preserve">01x Wpn lost in GLOF
</t>
  </si>
  <si>
    <t xml:space="preserve">49 x Wpn lost in GLOF
</t>
  </si>
  <si>
    <t xml:space="preserve">
143 x Wpn lost in GLOF
73 x Wpn decl R4 (10 x deposited)
78 X R4 Wpn awaited for deposite
</t>
  </si>
  <si>
    <t xml:space="preserve">(i) 08 x R4 Wpn awaited for deposite.
 ( 2 x 73 Fd Regt, 1 x 20 MDSR &amp; 5 x 121 Engr Regt).
244 X R4  WPN 
 42x Wpn lost in GLOF
</t>
  </si>
  <si>
    <t xml:space="preserve">
19 x OBT(19 RAJPUT)
</t>
  </si>
  <si>
    <t xml:space="preserve">
16x Wpn Damaged during GLOF
14 X Wpn decl R4</t>
  </si>
  <si>
    <t xml:space="preserve">
01x Under Inv due to stuck of Bullet,
03 X off rd due to Rt channel bkn 
02 x off rd due to more than 3 rivets loose </t>
  </si>
  <si>
    <t>06 x Wpn lost in GLOF
02X Wpn decl R4</t>
  </si>
  <si>
    <t xml:space="preserve">11 x Wpn Damaged during GLOF </t>
  </si>
  <si>
    <t xml:space="preserve">
03X Rear Sight Assy in r/o U99 demanded.</t>
  </si>
  <si>
    <t xml:space="preserve">
06 x Packer Assy repaired by W7
02 x Packer Assy Under repair at W7 
01 x Breech Assy Dmd
</t>
  </si>
  <si>
    <t xml:space="preserve">
2x R4 of 27 Mtn Div Sig Regt</t>
  </si>
  <si>
    <t>06 x Wpn lost in GLOF</t>
  </si>
  <si>
    <t xml:space="preserve">03 x Wpn lost in GLOF
</t>
  </si>
  <si>
    <t>03X WPN lost inGLOF
01 x Firing Pin Broken.(Demanded) Bengdubi</t>
  </si>
  <si>
    <t>21 x Wpn lost in GLOF</t>
  </si>
  <si>
    <t>T1</t>
  </si>
  <si>
    <t>T1.1</t>
  </si>
  <si>
    <t>T1.2</t>
  </si>
  <si>
    <t>T1.3</t>
  </si>
  <si>
    <t>T1.4</t>
  </si>
  <si>
    <t>T1.5</t>
  </si>
  <si>
    <t>T2</t>
  </si>
  <si>
    <t>T2.1</t>
  </si>
  <si>
    <t>T2.2</t>
  </si>
  <si>
    <t>T2.3</t>
  </si>
  <si>
    <t>T3</t>
  </si>
  <si>
    <t>T3.1</t>
  </si>
  <si>
    <t>T3.2</t>
  </si>
  <si>
    <t>T3.3</t>
  </si>
  <si>
    <t>T3.4</t>
  </si>
  <si>
    <t>T3.5</t>
  </si>
  <si>
    <t>T4</t>
  </si>
  <si>
    <t>T4.1</t>
  </si>
  <si>
    <t>T4.2</t>
  </si>
  <si>
    <t>T4.3</t>
  </si>
  <si>
    <t>T4.4</t>
  </si>
  <si>
    <t>T5</t>
  </si>
  <si>
    <t>T5.1</t>
  </si>
  <si>
    <t>T5.2</t>
  </si>
  <si>
    <t>T6</t>
  </si>
  <si>
    <t>T6.1</t>
  </si>
  <si>
    <t>T6.2</t>
  </si>
  <si>
    <t>T6.3</t>
  </si>
  <si>
    <t>T6.4</t>
  </si>
  <si>
    <t>T6.5</t>
  </si>
  <si>
    <t>T7</t>
  </si>
  <si>
    <t>T7.1</t>
  </si>
  <si>
    <t>T7.2</t>
  </si>
  <si>
    <t>T7.3</t>
  </si>
  <si>
    <t>T7.4</t>
  </si>
  <si>
    <t>T8</t>
  </si>
  <si>
    <t>T8.1</t>
  </si>
  <si>
    <t>T8.2</t>
  </si>
  <si>
    <t>T9</t>
  </si>
  <si>
    <t>T9.1</t>
  </si>
  <si>
    <t>T9.2</t>
  </si>
  <si>
    <t>T9.3</t>
  </si>
  <si>
    <t>T9.4</t>
  </si>
  <si>
    <t>T10</t>
  </si>
  <si>
    <t>T10.1</t>
  </si>
  <si>
    <t>T10.2</t>
  </si>
  <si>
    <t>T10.3</t>
  </si>
  <si>
    <t>T10.4</t>
  </si>
  <si>
    <t>T11</t>
  </si>
  <si>
    <t>T11.1</t>
  </si>
  <si>
    <t>T11.2</t>
  </si>
  <si>
    <t>T12</t>
  </si>
  <si>
    <t>T12.1</t>
  </si>
  <si>
    <t>T13</t>
  </si>
  <si>
    <t>T13.1</t>
  </si>
  <si>
    <t>T13.2</t>
  </si>
  <si>
    <t>T14</t>
  </si>
  <si>
    <t>T14.1</t>
  </si>
  <si>
    <t>T14.2</t>
  </si>
  <si>
    <t>T15</t>
  </si>
  <si>
    <t>T15.1</t>
  </si>
  <si>
    <t>T15.2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</si>
  <si>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</si>
  <si>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</si>
  <si>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</si>
  <si>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</si>
  <si>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</si>
  <si>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</si>
  <si>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</si>
  <si>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</si>
  <si>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</si>
  <si>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</si>
  <si>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</si>
  <si>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</si>
  <si>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</si>
  <si>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</si>
  <si>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</si>
  <si>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</si>
  <si>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</si>
  <si>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</si>
  <si>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</si>
  <si>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</si>
  <si>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</si>
  <si>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</si>
  <si>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</si>
  <si>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</si>
  <si>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</si>
  <si>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</si>
  <si>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</si>
  <si>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</si>
  <si>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</si>
  <si>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</si>
  <si>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</si>
  <si>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</si>
  <si>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</si>
  <si>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</si>
  <si>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</si>
  <si>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</si>
  <si>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</si>
  <si>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</si>
  <si>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</si>
  <si>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</si>
  <si>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</si>
  <si>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</si>
  <si>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</si>
  <si>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</si>
  <si>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</si>
  <si>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</si>
  <si>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</si>
  <si>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</si>
  <si>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</si>
  <si>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</si>
  <si>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</si>
  <si>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</si>
  <si>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</si>
  <si>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</si>
  <si>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</si>
  <si>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</si>
  <si>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</si>
  <si>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</si>
  <si>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</si>
  <si>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</si>
  <si>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</si>
  <si>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</si>
  <si>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</si>
  <si>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</si>
  <si>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</si>
  <si>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</si>
  <si>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</si>
  <si>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</si>
  <si>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</si>
  <si>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</si>
  <si>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</si>
  <si>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</si>
  <si>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</si>
  <si>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</si>
  <si>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</si>
  <si>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</si>
  <si>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</si>
  <si>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</si>
  <si>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</si>
  <si>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</si>
  <si>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</si>
  <si>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</si>
  <si>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</si>
  <si>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</si>
  <si>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</si>
  <si>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</si>
  <si>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</si>
  <si>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</si>
  <si>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</si>
  <si>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</si>
  <si>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</si>
  <si>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</si>
  <si>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</si>
  <si>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</si>
  <si>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</si>
  <si>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</si>
  <si>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</si>
  <si>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</si>
  <si>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</si>
  <si>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03 x Under repair at Z1</t>
  </si>
  <si>
    <t>05 X Under repair by Z1.</t>
  </si>
  <si>
    <t xml:space="preserve">07 x II Tube UNSV fwd to Z1
02 x Eqpt not getting on fwd to Z1
02 x Inst Sight fwd to Z1
01 x OG Focus ring Bkn u/r at Z1
</t>
  </si>
  <si>
    <t xml:space="preserve">06 x II Tube BER by Z1
02 x II Tube faulty Under repair at Z1
04 x Eqpt not getting on fwd to Z1
03 x II Tube fault under repair at Z1
</t>
  </si>
  <si>
    <t>01 x IT Tube BER fwd to Z1
01 x II Tube faulty fwd to OEM Delhi
01 x not working</t>
  </si>
  <si>
    <t xml:space="preserve">10 x Under repair at Z1
</t>
  </si>
  <si>
    <t>02 x Sight -1G 46 fwd to W2</t>
  </si>
  <si>
    <t>01 x Fwd to W2</t>
  </si>
  <si>
    <t>02 x Electronic Unit fwd to W2
02 x TIMU &amp; 01 x GDCU fwd of DRWO to Z1</t>
  </si>
  <si>
    <t>02 x Under repair at Z2
02 x Under repair at Z1</t>
  </si>
  <si>
    <t>01 x Under repair at Z2</t>
  </si>
  <si>
    <t>03 x Lorros fwd to Z2</t>
  </si>
  <si>
    <t xml:space="preserve">
02 x fwd to Z2</t>
  </si>
  <si>
    <t>01 x fwd to W2 by Z2 on 09 Jun 25</t>
  </si>
  <si>
    <t>02 x II Tube fulty under repair at Z2
22 x II Tube fulty under repair at Z1
06 x Eqpt not getting on fwd to Z1
01 x TI Tube not Glow fwd to Z1
02 x Eqpt not working</t>
  </si>
  <si>
    <t>03 x Under repair at Z2</t>
  </si>
  <si>
    <t>02 x Under repair repair at Z2
03 x Under repair repair at Z1</t>
  </si>
  <si>
    <t>01 x Under repair at W7 (Bty Compartment Bkn)</t>
  </si>
  <si>
    <t>01 x under repiar at Z1
04 x under repiar at Z2</t>
  </si>
  <si>
    <t xml:space="preserve">   1 x VOR for eng assy demanded. 
  1 x EOA for want of spares from H1/ F1.
  2 x ICV BMP-II Under FR.
   3x EOA due to DRWO fwd to W3 / W4 ABW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</si>
</sst>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Arial"/>
      <family val="2"/>
    </font>
    <font>
      <sz val="10"/>
      <name val="Arial"/>
      <family val="2"/>
    </font>
    <font>
      <sz val="12"/>
      <color rgb="FFFF0000"/>
      <name val="Calibri"/>
      <family val="2"/>
      <scheme val="minor"/>
    </font>
    <font>
      <sz val="14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2"/>
      <color rgb="FFFF0000"/>
      <name val="Arial"/>
      <family val="2"/>
    </font>
    <font>
      <sz val="13"/>
      <name val="Arial"/>
      <family val="2"/>
    </font>
    <font>
      <b/>
      <sz val="13"/>
      <name val="Arial"/>
      <family val="2"/>
    </font>
    <font>
      <u/>
      <sz val="14"/>
      <name val="Arial"/>
      <family val="2"/>
    </font>
    <font>
      <sz val="13"/>
      <color rgb="FFFF0000"/>
      <name val="Arial"/>
      <family val="2"/>
    </font>
    <font>
      <sz val="16"/>
      <color theme="1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2"/>
      <color rgb="FF00B050"/>
      <name val="Arial"/>
      <family val="2"/>
    </font>
    <font>
      <sz val="12"/>
      <color rgb="FF00B05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</cellStyleXfs>
  <cellXfs count="277"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top"/>
    </xf>
    <xf numFmtId="0" fontId="3" fillId="2" borderId="0" xfId="0" applyFont="1" applyFill="1" applyAlignment="1">
      <alignment horizontal="left" wrapText="1"/>
    </xf>
    <xf numFmtId="0" fontId="2" fillId="2" borderId="0" xfId="0" applyFont="1" applyFill="1"/>
    <xf numFmtId="0" fontId="3" fillId="2" borderId="2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top"/>
    </xf>
    <xf numFmtId="0" fontId="3" fillId="2" borderId="2" xfId="0" applyFont="1" applyFill="1" applyBorder="1" applyAlignment="1" applyProtection="1">
      <alignment horizontal="left" vertical="center" wrapText="1"/>
      <protection locked="0"/>
    </xf>
    <xf numFmtId="0" fontId="11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left"/>
    </xf>
    <xf numFmtId="0" fontId="6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left" vertical="top"/>
    </xf>
    <xf numFmtId="1" fontId="14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left" vertical="top" wrapText="1"/>
      <protection locked="0"/>
    </xf>
    <xf numFmtId="0" fontId="17" fillId="2" borderId="0" xfId="0" applyFont="1" applyFill="1" applyAlignment="1">
      <alignment horizontal="left" vertical="top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4" fillId="2" borderId="6" xfId="0" applyFont="1" applyFill="1" applyBorder="1" applyAlignment="1" applyProtection="1">
      <alignment horizontal="left" vertical="top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left" vertical="top"/>
    </xf>
    <xf numFmtId="0" fontId="16" fillId="2" borderId="2" xfId="0" applyFont="1" applyFill="1" applyBorder="1" applyAlignment="1">
      <alignment horizontal="center" vertical="center" wrapText="1"/>
    </xf>
    <xf numFmtId="1" fontId="16" fillId="2" borderId="2" xfId="2" applyNumberFormat="1" applyFont="1" applyFill="1" applyBorder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1" fontId="14" fillId="2" borderId="2" xfId="2" applyNumberFormat="1" applyFont="1" applyFill="1" applyBorder="1" applyAlignment="1">
      <alignment horizontal="center" vertical="center"/>
    </xf>
    <xf numFmtId="1" fontId="15" fillId="2" borderId="2" xfId="2" applyNumberFormat="1" applyFont="1" applyFill="1" applyBorder="1" applyAlignment="1">
      <alignment horizontal="center" vertical="center"/>
    </xf>
    <xf numFmtId="0" fontId="23" fillId="2" borderId="5" xfId="0" applyFont="1" applyFill="1" applyBorder="1" applyAlignment="1" applyProtection="1">
      <alignment horizontal="center" vertical="center"/>
      <protection locked="0"/>
    </xf>
    <xf numFmtId="0" fontId="22" fillId="2" borderId="0" xfId="0" applyFont="1" applyFill="1" applyAlignment="1">
      <alignment horizontal="left" vertical="top"/>
    </xf>
    <xf numFmtId="0" fontId="23" fillId="2" borderId="5" xfId="0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14" fillId="2" borderId="0" xfId="0" applyFont="1" applyFill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16" fillId="2" borderId="2" xfId="4" applyFont="1" applyFill="1" applyBorder="1" applyAlignment="1">
      <alignment horizontal="center" vertical="center"/>
    </xf>
    <xf numFmtId="0" fontId="16" fillId="2" borderId="2" xfId="2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 applyProtection="1">
      <alignment horizontal="left" vertical="center"/>
      <protection locked="0"/>
    </xf>
    <xf numFmtId="0" fontId="3" fillId="2" borderId="2" xfId="3" applyFont="1" applyFill="1" applyBorder="1" applyAlignment="1">
      <alignment horizontal="left" vertical="center" wrapText="1"/>
    </xf>
    <xf numFmtId="0" fontId="4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17" fillId="2" borderId="0" xfId="0" applyFont="1" applyFill="1" applyAlignment="1">
      <alignment horizontal="left" vertical="center"/>
    </xf>
    <xf numFmtId="0" fontId="16" fillId="2" borderId="2" xfId="2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 applyProtection="1">
      <alignment horizontal="left" vertical="center" wrapText="1"/>
      <protection locked="0"/>
    </xf>
    <xf numFmtId="0" fontId="19" fillId="2" borderId="1" xfId="0" applyFont="1" applyFill="1" applyBorder="1" applyAlignment="1" applyProtection="1">
      <alignment horizontal="left" vertical="center" wrapText="1"/>
      <protection locked="0"/>
    </xf>
    <xf numFmtId="0" fontId="16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2" applyFont="1" applyFill="1" applyBorder="1" applyAlignment="1">
      <alignment horizontal="left" vertical="center" wrapText="1"/>
    </xf>
    <xf numFmtId="0" fontId="2" fillId="2" borderId="2" xfId="2" applyFont="1" applyFill="1" applyBorder="1" applyAlignment="1" applyProtection="1">
      <alignment horizontal="left" vertical="center" wrapText="1"/>
      <protection locked="0"/>
    </xf>
    <xf numFmtId="0" fontId="11" fillId="2" borderId="2" xfId="2" applyFont="1" applyFill="1" applyBorder="1" applyAlignment="1">
      <alignment horizontal="left" vertical="center" wrapText="1"/>
    </xf>
    <xf numFmtId="0" fontId="3" fillId="2" borderId="0" xfId="0" applyFont="1" applyFill="1" applyAlignment="1" applyProtection="1">
      <alignment horizontal="left" vertical="center"/>
      <protection locked="0"/>
    </xf>
    <xf numFmtId="0" fontId="24" fillId="2" borderId="2" xfId="0" applyFont="1" applyFill="1" applyBorder="1" applyAlignment="1" applyProtection="1">
      <alignment horizontal="left" vertical="center" wrapText="1"/>
      <protection locked="0"/>
    </xf>
    <xf numFmtId="0" fontId="22" fillId="2" borderId="0" xfId="0" applyFont="1" applyFill="1" applyAlignment="1">
      <alignment horizontal="left" vertical="center"/>
    </xf>
    <xf numFmtId="0" fontId="21" fillId="2" borderId="2" xfId="0" applyFont="1" applyFill="1" applyBorder="1" applyAlignment="1" applyProtection="1">
      <alignment horizontal="left" vertical="center"/>
      <protection locked="0"/>
    </xf>
    <xf numFmtId="0" fontId="22" fillId="2" borderId="2" xfId="0" applyFont="1" applyFill="1" applyBorder="1" applyAlignment="1" applyProtection="1">
      <alignment horizontal="left" vertical="center" wrapText="1"/>
      <protection locked="0"/>
    </xf>
    <xf numFmtId="0" fontId="3" fillId="2" borderId="2" xfId="2" applyFont="1" applyFill="1" applyBorder="1" applyAlignment="1" applyProtection="1">
      <alignment horizontal="left" vertical="center"/>
      <protection locked="0"/>
    </xf>
    <xf numFmtId="0" fontId="3" fillId="2" borderId="0" xfId="2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 readingOrder="1"/>
    </xf>
    <xf numFmtId="0" fontId="4" fillId="2" borderId="4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top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8" fillId="2" borderId="0" xfId="0" applyFont="1" applyFill="1" applyAlignment="1">
      <alignment vertical="top" wrapText="1"/>
    </xf>
    <xf numFmtId="0" fontId="8" fillId="2" borderId="7" xfId="0" applyFont="1" applyFill="1" applyBorder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2" fontId="14" fillId="2" borderId="2" xfId="0" applyNumberFormat="1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>
      <alignment vertical="top" wrapText="1"/>
    </xf>
    <xf numFmtId="0" fontId="14" fillId="2" borderId="1" xfId="0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>
      <alignment vertical="center" wrapText="1"/>
    </xf>
    <xf numFmtId="0" fontId="15" fillId="2" borderId="2" xfId="0" applyFont="1" applyFill="1" applyBorder="1" applyAlignment="1">
      <alignment horizontal="left" vertical="top" wrapText="1"/>
    </xf>
    <xf numFmtId="10" fontId="14" fillId="2" borderId="2" xfId="0" applyNumberFormat="1" applyFont="1" applyFill="1" applyBorder="1" applyAlignment="1">
      <alignment horizontal="left" vertical="top" wrapText="1"/>
    </xf>
    <xf numFmtId="10" fontId="15" fillId="2" borderId="2" xfId="0" applyNumberFormat="1" applyFont="1" applyFill="1" applyBorder="1" applyAlignment="1">
      <alignment horizontal="left" vertical="top" wrapText="1"/>
    </xf>
    <xf numFmtId="10" fontId="14" fillId="2" borderId="2" xfId="0" applyNumberFormat="1" applyFont="1" applyFill="1" applyBorder="1" applyAlignment="1">
      <alignment horizontal="left" vertical="center" wrapText="1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left" vertical="center" wrapText="1"/>
    </xf>
    <xf numFmtId="2" fontId="3" fillId="2" borderId="2" xfId="0" applyNumberFormat="1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 applyProtection="1">
      <alignment horizontal="left" vertical="center" wrapText="1"/>
      <protection locked="0"/>
    </xf>
    <xf numFmtId="0" fontId="6" fillId="2" borderId="2" xfId="0" applyFont="1" applyFill="1" applyBorder="1" applyAlignment="1">
      <alignment vertical="center"/>
    </xf>
    <xf numFmtId="0" fontId="6" fillId="2" borderId="0" xfId="0" applyFont="1" applyFill="1" applyAlignment="1">
      <alignment horizontal="left" vertical="center" wrapText="1"/>
    </xf>
    <xf numFmtId="0" fontId="16" fillId="2" borderId="3" xfId="0" applyFont="1" applyFill="1" applyBorder="1" applyAlignment="1">
      <alignment horizontal="center" vertical="center" wrapText="1"/>
    </xf>
    <xf numFmtId="1" fontId="16" fillId="2" borderId="3" xfId="2" applyNumberFormat="1" applyFont="1" applyFill="1" applyBorder="1" applyAlignment="1">
      <alignment horizontal="center" vertical="center"/>
    </xf>
    <xf numFmtId="0" fontId="3" fillId="2" borderId="2" xfId="2" applyFont="1" applyFill="1" applyBorder="1" applyAlignment="1" applyProtection="1">
      <alignment horizontal="left" vertical="top" wrapText="1"/>
      <protection locked="0"/>
    </xf>
    <xf numFmtId="0" fontId="16" fillId="2" borderId="1" xfId="0" applyFont="1" applyFill="1" applyBorder="1" applyAlignment="1">
      <alignment horizontal="center" vertical="center"/>
    </xf>
    <xf numFmtId="0" fontId="16" fillId="2" borderId="1" xfId="2" applyFont="1" applyFill="1" applyBorder="1" applyAlignment="1">
      <alignment horizontal="center" vertical="center" wrapText="1"/>
    </xf>
    <xf numFmtId="0" fontId="18" fillId="2" borderId="2" xfId="0" applyFont="1" applyFill="1" applyBorder="1" applyAlignment="1" applyProtection="1">
      <alignment horizontal="left" vertical="center" wrapText="1"/>
      <protection locked="0"/>
    </xf>
    <xf numFmtId="0" fontId="16" fillId="2" borderId="2" xfId="0" applyFont="1" applyFill="1" applyBorder="1" applyAlignment="1">
      <alignment horizontal="center" vertical="center"/>
    </xf>
    <xf numFmtId="0" fontId="16" fillId="2" borderId="2" xfId="2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left" vertical="center" wrapText="1"/>
    </xf>
    <xf numFmtId="0" fontId="18" fillId="2" borderId="2" xfId="2" applyFont="1" applyFill="1" applyBorder="1" applyAlignment="1">
      <alignment horizontal="left" vertical="center" wrapText="1"/>
    </xf>
    <xf numFmtId="0" fontId="20" fillId="2" borderId="2" xfId="0" applyFont="1" applyFill="1" applyBorder="1" applyAlignment="1" applyProtection="1">
      <alignment horizontal="left" vertical="center" wrapText="1"/>
      <protection locked="0"/>
    </xf>
    <xf numFmtId="0" fontId="16" fillId="2" borderId="4" xfId="0" applyFont="1" applyFill="1" applyBorder="1" applyAlignment="1">
      <alignment horizontal="center" vertical="center"/>
    </xf>
    <xf numFmtId="0" fontId="16" fillId="2" borderId="4" xfId="2" applyFont="1" applyFill="1" applyBorder="1" applyAlignment="1">
      <alignment horizontal="left" vertical="center" wrapText="1"/>
    </xf>
    <xf numFmtId="0" fontId="14" fillId="2" borderId="4" xfId="2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0" fontId="20" fillId="2" borderId="2" xfId="0" applyFont="1" applyFill="1" applyBorder="1" applyAlignment="1" applyProtection="1">
      <alignment horizontal="left" vertical="center"/>
      <protection locked="0"/>
    </xf>
    <xf numFmtId="0" fontId="14" fillId="2" borderId="2" xfId="0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3" fillId="2" borderId="2" xfId="2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/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 applyProtection="1">
      <alignment vertic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11" fillId="2" borderId="2" xfId="0" applyFont="1" applyFill="1" applyBorder="1" applyAlignment="1" applyProtection="1">
      <alignment horizontal="left" vertical="center"/>
      <protection locked="0"/>
    </xf>
    <xf numFmtId="0" fontId="2" fillId="2" borderId="2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>
      <alignment vertical="center"/>
    </xf>
    <xf numFmtId="0" fontId="9" fillId="2" borderId="0" xfId="0" applyFont="1" applyFill="1"/>
    <xf numFmtId="0" fontId="9" fillId="2" borderId="2" xfId="0" applyFont="1" applyFill="1" applyBorder="1" applyAlignment="1" applyProtection="1">
      <alignment vertical="top" wrapText="1"/>
      <protection locked="0"/>
    </xf>
    <xf numFmtId="0" fontId="3" fillId="2" borderId="2" xfId="0" applyFont="1" applyFill="1" applyBorder="1" applyAlignment="1" applyProtection="1">
      <alignment vertical="center" wrapText="1"/>
      <protection locked="0"/>
    </xf>
    <xf numFmtId="0" fontId="11" fillId="2" borderId="2" xfId="0" applyFont="1" applyFill="1" applyBorder="1" applyAlignment="1" applyProtection="1">
      <alignment vertical="center" wrapText="1"/>
      <protection locked="0"/>
    </xf>
    <xf numFmtId="0" fontId="6" fillId="2" borderId="2" xfId="0" applyFont="1" applyFill="1" applyBorder="1" applyAlignment="1">
      <alignment horizontal="center" vertical="top"/>
    </xf>
    <xf numFmtId="0" fontId="4" fillId="2" borderId="2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>
      <alignment vertical="top"/>
    </xf>
    <xf numFmtId="0" fontId="6" fillId="2" borderId="6" xfId="0" applyFont="1" applyFill="1" applyBorder="1" applyAlignment="1">
      <alignment horizontal="left" vertical="top" wrapText="1"/>
    </xf>
    <xf numFmtId="0" fontId="6" fillId="2" borderId="2" xfId="0" applyFont="1" applyFill="1" applyBorder="1" applyAlignment="1" applyProtection="1">
      <alignment vertical="center" wrapText="1"/>
      <protection locked="0"/>
    </xf>
    <xf numFmtId="0" fontId="6" fillId="2" borderId="2" xfId="0" applyFont="1" applyFill="1" applyBorder="1" applyAlignment="1" applyProtection="1">
      <alignment horizontal="left" vertical="top" wrapText="1"/>
      <protection locked="0"/>
    </xf>
    <xf numFmtId="0" fontId="6" fillId="2" borderId="2" xfId="0" applyFont="1" applyFill="1" applyBorder="1"/>
    <xf numFmtId="0" fontId="3" fillId="2" borderId="2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3" fillId="2" borderId="0" xfId="0" applyFont="1" applyFill="1" applyAlignment="1">
      <alignment horizontal="left" indent="2"/>
    </xf>
    <xf numFmtId="0" fontId="2" fillId="2" borderId="0" xfId="0" applyFont="1" applyFill="1" applyAlignment="1">
      <alignment horizontal="left" indent="2"/>
    </xf>
    <xf numFmtId="10" fontId="3" fillId="2" borderId="2" xfId="1" applyNumberFormat="1" applyFont="1" applyFill="1" applyBorder="1" applyAlignment="1" applyProtection="1">
      <alignment horizontal="center" vertical="center"/>
    </xf>
    <xf numFmtId="10" fontId="6" fillId="2" borderId="2" xfId="1" applyNumberFormat="1" applyFont="1" applyFill="1" applyBorder="1" applyAlignment="1" applyProtection="1">
      <alignment horizontal="center" vertical="center"/>
    </xf>
    <xf numFmtId="0" fontId="3" fillId="2" borderId="0" xfId="0" applyFont="1" applyFill="1" applyAlignment="1">
      <alignment horizontal="left" vertical="top" indent="2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/>
    </xf>
    <xf numFmtId="1" fontId="25" fillId="2" borderId="2" xfId="0" applyNumberFormat="1" applyFont="1" applyFill="1" applyBorder="1" applyAlignment="1">
      <alignment horizontal="center" vertical="center" wrapText="1"/>
    </xf>
    <xf numFmtId="10" fontId="25" fillId="2" borderId="2" xfId="1" applyNumberFormat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top" wrapText="1"/>
    </xf>
    <xf numFmtId="0" fontId="11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11" fillId="2" borderId="2" xfId="0" applyFont="1" applyFill="1" applyBorder="1" applyAlignment="1" applyProtection="1">
      <alignment horizontal="left" vertical="top" wrapText="1"/>
      <protection locked="0"/>
    </xf>
    <xf numFmtId="0" fontId="7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textRotation="90"/>
    </xf>
    <xf numFmtId="1" fontId="7" fillId="2" borderId="2" xfId="0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1" fontId="6" fillId="2" borderId="2" xfId="0" applyNumberFormat="1" applyFont="1" applyFill="1" applyBorder="1" applyAlignment="1">
      <alignment horizontal="center" vertical="center"/>
    </xf>
    <xf numFmtId="10" fontId="6" fillId="2" borderId="1" xfId="1" applyNumberFormat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top" wrapText="1"/>
      <protection locked="0"/>
    </xf>
    <xf numFmtId="0" fontId="6" fillId="2" borderId="0" xfId="0" applyFont="1" applyFill="1" applyAlignment="1">
      <alignment horizontal="left" indent="2"/>
    </xf>
    <xf numFmtId="0" fontId="6" fillId="2" borderId="2" xfId="0" applyFont="1" applyFill="1" applyBorder="1" applyAlignment="1" applyProtection="1">
      <alignment wrapText="1"/>
      <protection locked="0"/>
    </xf>
    <xf numFmtId="10" fontId="6" fillId="2" borderId="0" xfId="1" applyNumberFormat="1" applyFont="1" applyFill="1" applyBorder="1" applyAlignment="1" applyProtection="1">
      <alignment horizontal="center" vertical="center"/>
    </xf>
    <xf numFmtId="0" fontId="6" fillId="2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>
      <alignment horizontal="left" vertical="top"/>
    </xf>
    <xf numFmtId="0" fontId="4" fillId="2" borderId="2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top"/>
    </xf>
    <xf numFmtId="10" fontId="3" fillId="2" borderId="1" xfId="1" applyNumberFormat="1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10" fontId="3" fillId="2" borderId="0" xfId="1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8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2" borderId="6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2" fillId="2" borderId="10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top" wrapText="1"/>
    </xf>
    <xf numFmtId="0" fontId="10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5" xfId="0" applyFont="1" applyFill="1" applyBorder="1" applyAlignment="1">
      <alignment vertical="top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justify" vertical="center"/>
    </xf>
    <xf numFmtId="1" fontId="3" fillId="2" borderId="2" xfId="0" applyNumberFormat="1" applyFont="1" applyFill="1" applyBorder="1" applyAlignment="1">
      <alignment horizontal="center" vertical="center"/>
    </xf>
    <xf numFmtId="9" fontId="3" fillId="2" borderId="2" xfId="1" applyFont="1" applyFill="1" applyBorder="1" applyAlignment="1" applyProtection="1">
      <alignment horizontal="center" vertical="center"/>
    </xf>
    <xf numFmtId="0" fontId="3" fillId="2" borderId="2" xfId="0" applyFont="1" applyFill="1" applyBorder="1" applyAlignment="1">
      <alignment horizontal="justify" vertical="top"/>
    </xf>
    <xf numFmtId="0" fontId="26" fillId="2" borderId="2" xfId="0" applyFont="1" applyFill="1" applyBorder="1" applyAlignment="1">
      <alignment horizontal="left" vertical="center" wrapText="1"/>
    </xf>
    <xf numFmtId="0" fontId="26" fillId="2" borderId="2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10" fillId="2" borderId="0" xfId="0" applyFont="1" applyFill="1"/>
    <xf numFmtId="0" fontId="13" fillId="2" borderId="0" xfId="0" applyFont="1" applyFill="1"/>
    <xf numFmtId="0" fontId="3" fillId="2" borderId="2" xfId="0" applyFont="1" applyFill="1" applyBorder="1" applyAlignment="1">
      <alignment vertical="top"/>
    </xf>
    <xf numFmtId="0" fontId="20" fillId="2" borderId="2" xfId="0" applyFont="1" applyFill="1" applyBorder="1" applyAlignment="1">
      <alignment horizontal="left" vertical="center"/>
    </xf>
    <xf numFmtId="0" fontId="13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left" wrapText="1"/>
    </xf>
    <xf numFmtId="0" fontId="3" fillId="2" borderId="4" xfId="0" applyFont="1" applyFill="1" applyBorder="1" applyAlignment="1">
      <alignment horizontal="center" vertical="center"/>
    </xf>
    <xf numFmtId="0" fontId="9" fillId="2" borderId="0" xfId="0" applyFont="1" applyFill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left" vertical="center" wrapText="1"/>
    </xf>
    <xf numFmtId="0" fontId="29" fillId="2" borderId="2" xfId="0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horizontal="left" vertical="top" wrapText="1"/>
    </xf>
    <xf numFmtId="0" fontId="28" fillId="2" borderId="2" xfId="3" applyFont="1" applyFill="1" applyBorder="1" applyAlignment="1">
      <alignment horizontal="left" vertical="center" wrapText="1"/>
    </xf>
    <xf numFmtId="0" fontId="29" fillId="2" borderId="2" xfId="3" applyFont="1" applyFill="1" applyBorder="1" applyAlignment="1">
      <alignment horizontal="left" vertical="center" wrapText="1"/>
    </xf>
    <xf numFmtId="0" fontId="29" fillId="2" borderId="6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top"/>
    </xf>
    <xf numFmtId="0" fontId="9" fillId="2" borderId="2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top"/>
    </xf>
    <xf numFmtId="0" fontId="4" fillId="2" borderId="7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  <xf numFmtId="0" fontId="4" fillId="2" borderId="7" xfId="0" applyFont="1" applyFill="1" applyBorder="1" applyAlignment="1">
      <alignment horizontal="center" vertical="top"/>
    </xf>
  </cellXfs>
  <cellStyles count="6">
    <cellStyle name="Normal" xfId="0" builtinId="0"/>
    <cellStyle name="Normal 2" xfId="4" xr:uid="{FA978626-19B6-4785-A9D3-CC5FDF015882}"/>
    <cellStyle name="Normal 4" xfId="3" xr:uid="{25339B45-3296-40BD-932F-B560F28C9697}"/>
    <cellStyle name="Normal 4 2" xfId="5" xr:uid="{106A3302-8403-47A7-832D-67432BE920DC}"/>
    <cellStyle name="Normal 55 2" xfId="2" xr:uid="{A5A3F3B7-F9BB-4F1F-9618-6578D6022A1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mebrtechfrs.STRIKEONE\Desktop\FRS%20May%2020\FRS%20UPDATED%20WITH%20NEW%20FORMAT\Secure%20Disk\G%20DRIVE\FRS%20FOLDER\ALL%20EQPT%20AUTH%20HELD%202019\ALL%20EQPT%20AUTH%20HELD%20Mar%20%20%20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cure%20Disk\G%20DRIVE\FRS%20FOLDER\ALL%20EQPT%20AUTH%20HELD%202019\ALL%20EQPT%20AUTH%20HELD%20Mar%20%20%202019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%2004\Application%20Data\Microsoft\Excel\MESR\FRS%20Nov%2010\Central%20Com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  <sheetName val="DROPDOWN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S Units held amd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Tech Manager"/>
      <sheetName val="Dependent User Unit"/>
      <sheetName val="VOR EOA EHT "/>
      <sheetName val="A Vehs"/>
      <sheetName val="A Vehs Data"/>
      <sheetName val="B Vehs"/>
      <sheetName val="SPL Vehs"/>
      <sheetName val="Engr eqpt"/>
      <sheetName val="Power eqpt"/>
      <sheetName val="Inst eqpt"/>
      <sheetName val="Sig eqpt"/>
      <sheetName val="Small arms"/>
      <sheetName val="Armt"/>
      <sheetName val="Armt Data "/>
      <sheetName val="Radar  missile"/>
      <sheetName val="Computer"/>
      <sheetName val="VOR EOA DEMAND"/>
      <sheetName val="Fitment of Eng"/>
      <sheetName val="Eqpt in Base Wksp"/>
      <sheetName val="Sml"/>
      <sheetName val="ACSFP EQPT"/>
      <sheetName val="Eqpt Aval (Electronic)"/>
      <sheetName val="FR of EQPT"/>
      <sheetName val="EOA State RO, LINE,Radar"/>
      <sheetName val="Re Distribution of BFSR"/>
      <sheetName val="Strip Insp"/>
      <sheetName val="Fitment of Retainer"/>
      <sheetName val="DP Conversion"/>
      <sheetName val="DR84mmRL"/>
    </sheetNames>
    <sheetDataSet>
      <sheetData sheetId="0"/>
      <sheetData sheetId="1"/>
      <sheetData sheetId="2">
        <row r="6">
          <cell r="B6" t="str">
            <v>196 (I) Fd Wksp Coy</v>
          </cell>
          <cell r="C6" t="str">
            <v>302 Lt Regt</v>
          </cell>
        </row>
        <row r="7">
          <cell r="C7" t="str">
            <v>200 Fd Regt</v>
          </cell>
        </row>
        <row r="8">
          <cell r="C8" t="str">
            <v>1988 (I) Med Bty</v>
          </cell>
        </row>
        <row r="9">
          <cell r="C9" t="str">
            <v>Garh Scouts</v>
          </cell>
        </row>
        <row r="10">
          <cell r="C10" t="str">
            <v>2 Madras</v>
          </cell>
        </row>
        <row r="11">
          <cell r="C11" t="str">
            <v>1 MAHAR</v>
          </cell>
        </row>
        <row r="12">
          <cell r="C12" t="str">
            <v>Kumaon Scouts</v>
          </cell>
        </row>
        <row r="13">
          <cell r="C13" t="str">
            <v>5009 Coy ASC</v>
          </cell>
        </row>
        <row r="14">
          <cell r="C14" t="str">
            <v>8 (I) Fd Coy</v>
          </cell>
        </row>
        <row r="15">
          <cell r="C15" t="str">
            <v>2009 Fd Hosp</v>
          </cell>
        </row>
        <row r="16">
          <cell r="C16" t="str">
            <v>883 AT Bn</v>
          </cell>
        </row>
        <row r="17">
          <cell r="C17" t="str">
            <v>3 Coy Sig Regt</v>
          </cell>
        </row>
        <row r="18">
          <cell r="C18" t="str">
            <v>HQ 9 (I) Mtn Bde Gp</v>
          </cell>
        </row>
        <row r="19">
          <cell r="C19" t="str">
            <v>9 (I) Mtn Bde OMP</v>
          </cell>
        </row>
        <row r="20">
          <cell r="C20" t="str">
            <v>9 (I) Mtn Bde Pro Unit</v>
          </cell>
        </row>
        <row r="21">
          <cell r="C21" t="str">
            <v>25 MFVH</v>
          </cell>
        </row>
        <row r="22">
          <cell r="C22" t="str">
            <v>41 FARS</v>
          </cell>
        </row>
        <row r="23">
          <cell r="C23" t="str">
            <v>30 MFVH</v>
          </cell>
        </row>
        <row r="24">
          <cell r="C24" t="str">
            <v>871 EWS</v>
          </cell>
        </row>
        <row r="25">
          <cell r="C25" t="str">
            <v>830 FPO</v>
          </cell>
        </row>
        <row r="26">
          <cell r="C26" t="str">
            <v>798 FPO</v>
          </cell>
        </row>
        <row r="27">
          <cell r="C27" t="str">
            <v>8 UP NCC</v>
          </cell>
        </row>
        <row r="28">
          <cell r="C28" t="str">
            <v>9 JAK LI</v>
          </cell>
        </row>
        <row r="29">
          <cell r="C29" t="str">
            <v>1 ARCHER</v>
          </cell>
        </row>
        <row r="30">
          <cell r="C30" t="str">
            <v>Tawaghat Sig Sector</v>
          </cell>
        </row>
        <row r="31">
          <cell r="C31" t="str">
            <v>DIBER Auli</v>
          </cell>
        </row>
        <row r="32">
          <cell r="C32" t="str">
            <v>1/567 INT &amp; FS Unit</v>
          </cell>
        </row>
        <row r="33">
          <cell r="C33" t="str">
            <v>196 (I) Fd Wksp Coy</v>
          </cell>
        </row>
        <row r="34">
          <cell r="C34" t="str">
            <v>104 Engr Regt</v>
          </cell>
        </row>
        <row r="35">
          <cell r="C35" t="str">
            <v>127 TA Eco Coy</v>
          </cell>
        </row>
      </sheetData>
      <sheetData sheetId="3"/>
      <sheetData sheetId="4"/>
      <sheetData sheetId="5">
        <row r="117">
          <cell r="B117" t="str">
            <v>Org</v>
          </cell>
        </row>
      </sheetData>
      <sheetData sheetId="6">
        <row r="8">
          <cell r="B8" t="str">
            <v xml:space="preserve">M/C CD 100 Hero Honda </v>
          </cell>
        </row>
      </sheetData>
      <sheetData sheetId="7">
        <row r="7">
          <cell r="B7" t="str">
            <v>Tk 6x6 Kraz 255B (MSS)</v>
          </cell>
        </row>
      </sheetData>
      <sheetData sheetId="8">
        <row r="5">
          <cell r="B5" t="str">
            <v>Air Compressor All types</v>
          </cell>
        </row>
        <row r="6">
          <cell r="B6" t="str">
            <v>Anchor Br 60 Lbs</v>
          </cell>
        </row>
        <row r="7">
          <cell r="B7" t="str">
            <v>Atomization test bench</v>
          </cell>
        </row>
        <row r="8">
          <cell r="B8" t="str">
            <v>Bailey Pontoon Bridge Folding</v>
          </cell>
        </row>
        <row r="9">
          <cell r="B9" t="str">
            <v>Bailey Pontoon Increment Set</v>
          </cell>
        </row>
        <row r="10">
          <cell r="B10" t="str">
            <v>Bailey Suspension Bridge all types</v>
          </cell>
        </row>
        <row r="11">
          <cell r="B11" t="str">
            <v>Baut all types</v>
          </cell>
        </row>
        <row r="12">
          <cell r="B12" t="str">
            <v>Blower elect port 240V SP 50HZ</v>
          </cell>
        </row>
        <row r="13">
          <cell r="B13" t="str">
            <v>Boat Aslt all types</v>
          </cell>
        </row>
        <row r="14">
          <cell r="B14" t="str">
            <v>Boat Folding eqpt all types</v>
          </cell>
        </row>
        <row r="15">
          <cell r="B15" t="str">
            <v>Boat Inflatable</v>
          </cell>
        </row>
        <row r="16">
          <cell r="B16" t="str">
            <v>Boat Recce 3 Men 2A</v>
          </cell>
        </row>
        <row r="17">
          <cell r="B17" t="str">
            <v>Bridge AM-50</v>
          </cell>
        </row>
        <row r="18">
          <cell r="B18" t="str">
            <v>Camo flat eqpt MK I</v>
          </cell>
        </row>
        <row r="19">
          <cell r="B19" t="str">
            <v>CET</v>
          </cell>
        </row>
        <row r="20">
          <cell r="B20" t="str">
            <v>Chain Saw all types</v>
          </cell>
        </row>
        <row r="21">
          <cell r="B21" t="str">
            <v>Cleaner &amp; Tester Sparking Plug</v>
          </cell>
        </row>
        <row r="22">
          <cell r="B22" t="str">
            <v>Concrete Breaker</v>
          </cell>
        </row>
        <row r="23">
          <cell r="B23" t="str">
            <v>Cr Tr Size-II D-50 A-15</v>
          </cell>
        </row>
        <row r="24">
          <cell r="B24" t="str">
            <v>Cr Tr Size-II D-80 A-12/A-8</v>
          </cell>
        </row>
        <row r="25">
          <cell r="B25" t="str">
            <v>Drill eqpt port hy duty</v>
          </cell>
        </row>
        <row r="26">
          <cell r="B26" t="str">
            <v>Drive Flexible 17 mm 68</v>
          </cell>
        </row>
        <row r="27">
          <cell r="B27" t="str">
            <v>Drive Flexible 17.5  mm 16</v>
          </cell>
        </row>
        <row r="28">
          <cell r="B28" t="str">
            <v>Drive Flexible 17.5 mm 24</v>
          </cell>
        </row>
        <row r="29">
          <cell r="B29" t="str">
            <v>Drive Flexible 22 mm 04</v>
          </cell>
        </row>
        <row r="30">
          <cell r="B30" t="str">
            <v>Drive Flexible 22mm 08</v>
          </cell>
        </row>
        <row r="31">
          <cell r="B31" t="str">
            <v>Electronic Stethoscope</v>
          </cell>
        </row>
        <row r="32">
          <cell r="B32" t="str">
            <v>Erection Boat Bridge</v>
          </cell>
        </row>
        <row r="33">
          <cell r="B33" t="str">
            <v>Excavator LoaderTATA (JCB)</v>
          </cell>
        </row>
        <row r="34">
          <cell r="B34" t="str">
            <v xml:space="preserve">Fork Lifter </v>
          </cell>
        </row>
        <row r="35">
          <cell r="B35" t="str">
            <v>Hammer drill pneumatic</v>
          </cell>
        </row>
        <row r="36">
          <cell r="B36" t="str">
            <v>Hydrema 910 MCV-2</v>
          </cell>
        </row>
        <row r="37">
          <cell r="B37" t="str">
            <v xml:space="preserve">India sarvatra </v>
          </cell>
        </row>
        <row r="38">
          <cell r="B38" t="str">
            <v>Jumbo Deisel</v>
          </cell>
        </row>
        <row r="39">
          <cell r="B39" t="str">
            <v>KM Briding Eqpt KM Float</v>
          </cell>
        </row>
        <row r="40">
          <cell r="B40" t="str">
            <v>KM Briding Filling unit</v>
          </cell>
        </row>
        <row r="41">
          <cell r="B41" t="str">
            <v>Lathe Machine 7 " dia Constr SS &amp; SC Duty 36</v>
          </cell>
        </row>
        <row r="42">
          <cell r="B42" t="str">
            <v>Lubricating Unit</v>
          </cell>
        </row>
        <row r="43">
          <cell r="B43" t="str">
            <v>Machine Drilling Portable all types</v>
          </cell>
        </row>
        <row r="44">
          <cell r="B44" t="str">
            <v>Mech mine layer</v>
          </cell>
        </row>
        <row r="45">
          <cell r="B45" t="str">
            <v>Mechanical Mine Layer all types</v>
          </cell>
        </row>
        <row r="46">
          <cell r="B46" t="str">
            <v>Motor Grader GD 605 R2 (BEML)</v>
          </cell>
        </row>
        <row r="47">
          <cell r="B47" t="str">
            <v>MTL BMK-130</v>
          </cell>
        </row>
        <row r="48">
          <cell r="B48" t="str">
            <v>MTL-634 (with Tlr/SP-5)</v>
          </cell>
        </row>
        <row r="49">
          <cell r="B49" t="str">
            <v>OBM all types</v>
          </cell>
        </row>
        <row r="50">
          <cell r="B50" t="str">
            <v>Pinjor Rock Drill All type</v>
          </cell>
        </row>
        <row r="51">
          <cell r="B51" t="str">
            <v>Plant Electric Welding</v>
          </cell>
        </row>
        <row r="52">
          <cell r="B52" t="str">
            <v>Plant Washing all types</v>
          </cell>
        </row>
        <row r="53">
          <cell r="B53" t="str">
            <v>Plant Welding all types</v>
          </cell>
        </row>
        <row r="54">
          <cell r="B54" t="str">
            <v>PMP Br System (1.5 Set)</v>
          </cell>
        </row>
        <row r="55">
          <cell r="B55" t="str">
            <v>PMS Bridging System (1.5 Set)</v>
          </cell>
        </row>
        <row r="56">
          <cell r="B56" t="str">
            <v>Prodder mine</v>
          </cell>
        </row>
        <row r="57">
          <cell r="B57" t="str">
            <v>Pump Water Centrifugal</v>
          </cell>
        </row>
        <row r="58">
          <cell r="B58" t="str">
            <v>Pumping set all type</v>
          </cell>
        </row>
        <row r="59">
          <cell r="B59" t="str">
            <v>Pumping Set No 4</v>
          </cell>
        </row>
        <row r="60">
          <cell r="B60" t="str">
            <v>Pumping Set No 5</v>
          </cell>
        </row>
        <row r="61">
          <cell r="B61" t="str">
            <v>Skid steer loader</v>
          </cell>
        </row>
        <row r="62">
          <cell r="B62" t="str">
            <v xml:space="preserve">Spray Trolley / Plant all types </v>
          </cell>
        </row>
        <row r="63">
          <cell r="B63" t="str">
            <v>Static Plants</v>
          </cell>
        </row>
        <row r="64">
          <cell r="B64" t="str">
            <v>Sudan pump</v>
          </cell>
        </row>
        <row r="65">
          <cell r="B65" t="str">
            <v>Tlr 50 Ton BEML</v>
          </cell>
        </row>
        <row r="66">
          <cell r="B66" t="str">
            <v>Tlr Fire pump all types</v>
          </cell>
        </row>
        <row r="67">
          <cell r="B67" t="str">
            <v>Tractor Agriculture</v>
          </cell>
        </row>
        <row r="68">
          <cell r="B68" t="str">
            <v>Trench Digger BTM</v>
          </cell>
        </row>
        <row r="69">
          <cell r="B69" t="str">
            <v>Washer motor hydro fork</v>
          </cell>
        </row>
        <row r="70">
          <cell r="B70" t="str">
            <v>Water Purification Plant</v>
          </cell>
        </row>
        <row r="71">
          <cell r="B71" t="str">
            <v>Wheel Dozer G 14 D1 / Road Roller</v>
          </cell>
        </row>
        <row r="72">
          <cell r="B72" t="str">
            <v>Wksp Servicing Plant</v>
          </cell>
        </row>
      </sheetData>
      <sheetData sheetId="9">
        <row r="7">
          <cell r="B7" t="str">
            <v>Chg Set ED 150 W</v>
          </cell>
        </row>
      </sheetData>
      <sheetData sheetId="10">
        <row r="7">
          <cell r="B7" t="str">
            <v>HHTI (Elop)</v>
          </cell>
        </row>
      </sheetData>
      <sheetData sheetId="11">
        <row r="7">
          <cell r="B7" t="str">
            <v>RS VA/VB/VC MK-II</v>
          </cell>
        </row>
      </sheetData>
      <sheetData sheetId="12">
        <row r="7">
          <cell r="B7" t="str">
            <v>Rif 5.56mm INSAS</v>
          </cell>
        </row>
      </sheetData>
      <sheetData sheetId="13">
        <row r="6">
          <cell r="B6" t="str">
            <v>125mm SBG (T-72)</v>
          </cell>
        </row>
      </sheetData>
      <sheetData sheetId="14">
        <row r="3461">
          <cell r="O3461" t="str">
            <v>I</v>
          </cell>
        </row>
      </sheetData>
      <sheetData sheetId="15"/>
      <sheetData sheetId="16"/>
      <sheetData sheetId="17"/>
      <sheetData sheetId="18"/>
      <sheetData sheetId="19"/>
      <sheetData sheetId="20"/>
      <sheetData sheetId="21">
        <row r="130">
          <cell r="B130" t="str">
            <v>Sml 2.5 Ton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7EA50-E250-41D6-A1F1-E39AD387F25C}">
  <sheetPr>
    <tabColor rgb="FFFF0000"/>
  </sheetPr>
  <dimension ref="A1:U33"/>
  <sheetViews>
    <sheetView tabSelected="1" view="pageBreakPreview" zoomScale="70" zoomScaleSheetLayoutView="70" workbookViewId="0">
      <pane ySplit="6" topLeftCell="A7" activePane="bottomLeft" state="frozen"/>
      <selection activeCell="F14" sqref="F14"/>
      <selection pane="bottomLeft" activeCell="C31" sqref="C31:C33"/>
    </sheetView>
  </sheetViews>
  <sheetFormatPr defaultColWidth="9.140625" defaultRowHeight="15" x14ac:dyDescent="0.25"/>
  <cols>
    <col min="1" max="1" width="9.28515625" style="86" bestFit="1" customWidth="1"/>
    <col min="2" max="2" width="30.7109375" style="86" customWidth="1"/>
    <col min="3" max="3" width="12.140625" style="87" customWidth="1"/>
    <col min="4" max="4" width="8.28515625" style="86" customWidth="1"/>
    <col min="5" max="5" width="8" style="86" customWidth="1"/>
    <col min="6" max="6" width="7.42578125" style="86" customWidth="1"/>
    <col min="7" max="7" width="7.28515625" style="86" customWidth="1"/>
    <col min="8" max="8" width="9.28515625" style="86" bestFit="1" customWidth="1"/>
    <col min="9" max="9" width="7.42578125" style="86" customWidth="1"/>
    <col min="10" max="10" width="6.5703125" style="86" customWidth="1"/>
    <col min="11" max="11" width="6.42578125" style="86" customWidth="1"/>
    <col min="12" max="12" width="6.28515625" style="86" customWidth="1"/>
    <col min="13" max="13" width="6.85546875" style="86" customWidth="1"/>
    <col min="14" max="14" width="9" style="86" customWidth="1"/>
    <col min="15" max="15" width="17.5703125" style="86" customWidth="1"/>
    <col min="16" max="16" width="9.42578125" style="87" bestFit="1" customWidth="1"/>
    <col min="17" max="17" width="11.5703125" style="87" bestFit="1" customWidth="1"/>
    <col min="18" max="18" width="9.7109375" style="87" customWidth="1"/>
    <col min="19" max="19" width="11" style="87" customWidth="1"/>
    <col min="20" max="20" width="10.42578125" style="87" customWidth="1"/>
    <col min="21" max="21" width="90.42578125" style="108" customWidth="1"/>
    <col min="22" max="16384" width="9.140625" style="87"/>
  </cols>
  <sheetData>
    <row r="1" spans="1:21" ht="21.75" customHeight="1" x14ac:dyDescent="0.25">
      <c r="T1" s="22"/>
      <c r="U1" s="88" t="s">
        <v>63</v>
      </c>
    </row>
    <row r="2" spans="1:21" ht="15" customHeight="1" x14ac:dyDescent="0.25">
      <c r="U2" s="89"/>
    </row>
    <row r="3" spans="1:21" ht="15.75" x14ac:dyDescent="0.25">
      <c r="A3" s="249" t="s">
        <v>64</v>
      </c>
      <c r="B3" s="249"/>
      <c r="C3" s="249"/>
      <c r="D3" s="249"/>
      <c r="E3" s="249"/>
      <c r="F3" s="249"/>
      <c r="G3" s="249"/>
      <c r="H3" s="249"/>
      <c r="I3" s="249"/>
      <c r="J3" s="249"/>
      <c r="K3" s="249"/>
      <c r="L3" s="249"/>
      <c r="M3" s="249"/>
      <c r="N3" s="249"/>
      <c r="O3" s="249"/>
      <c r="P3" s="249"/>
      <c r="Q3" s="249"/>
      <c r="R3" s="249"/>
      <c r="S3" s="249"/>
      <c r="T3" s="249"/>
      <c r="U3" s="249"/>
    </row>
    <row r="4" spans="1:21" s="90" customFormat="1" ht="15.75" x14ac:dyDescent="0.25">
      <c r="A4" s="250" t="s">
        <v>0</v>
      </c>
      <c r="B4" s="247" t="s">
        <v>21</v>
      </c>
      <c r="C4" s="83"/>
      <c r="D4" s="250" t="s">
        <v>2</v>
      </c>
      <c r="E4" s="250"/>
      <c r="F4" s="250" t="s">
        <v>3</v>
      </c>
      <c r="G4" s="250"/>
      <c r="H4" s="250"/>
      <c r="I4" s="250"/>
      <c r="J4" s="250"/>
      <c r="K4" s="250"/>
      <c r="L4" s="250"/>
      <c r="M4" s="250"/>
      <c r="N4" s="247" t="s">
        <v>4</v>
      </c>
      <c r="O4" s="247" t="s">
        <v>22</v>
      </c>
      <c r="P4" s="250" t="s">
        <v>45</v>
      </c>
      <c r="Q4" s="247" t="s">
        <v>7</v>
      </c>
      <c r="R4" s="247" t="s">
        <v>8</v>
      </c>
      <c r="S4" s="247" t="s">
        <v>9</v>
      </c>
      <c r="T4" s="247" t="s">
        <v>10</v>
      </c>
      <c r="U4" s="247" t="s">
        <v>11</v>
      </c>
    </row>
    <row r="5" spans="1:21" s="90" customFormat="1" ht="41.25" customHeight="1" x14ac:dyDescent="0.25">
      <c r="A5" s="250"/>
      <c r="B5" s="247"/>
      <c r="C5" s="83" t="s">
        <v>65</v>
      </c>
      <c r="D5" s="83" t="s">
        <v>12</v>
      </c>
      <c r="E5" s="83" t="s">
        <v>13</v>
      </c>
      <c r="F5" s="84" t="s">
        <v>66</v>
      </c>
      <c r="G5" s="84" t="s">
        <v>15</v>
      </c>
      <c r="H5" s="84" t="s">
        <v>16</v>
      </c>
      <c r="I5" s="84" t="s">
        <v>23</v>
      </c>
      <c r="J5" s="84" t="s">
        <v>67</v>
      </c>
      <c r="K5" s="84" t="s">
        <v>24</v>
      </c>
      <c r="L5" s="84" t="s">
        <v>25</v>
      </c>
      <c r="M5" s="84" t="s">
        <v>18</v>
      </c>
      <c r="N5" s="247"/>
      <c r="O5" s="247"/>
      <c r="P5" s="250"/>
      <c r="Q5" s="247"/>
      <c r="R5" s="247"/>
      <c r="S5" s="247"/>
      <c r="T5" s="247"/>
      <c r="U5" s="247"/>
    </row>
    <row r="6" spans="1:21" s="90" customFormat="1" ht="15.75" x14ac:dyDescent="0.25">
      <c r="A6" s="84" t="s">
        <v>26</v>
      </c>
      <c r="B6" s="83" t="s">
        <v>27</v>
      </c>
      <c r="C6" s="83"/>
      <c r="D6" s="84" t="s">
        <v>28</v>
      </c>
      <c r="E6" s="84" t="s">
        <v>29</v>
      </c>
      <c r="F6" s="84" t="s">
        <v>30</v>
      </c>
      <c r="G6" s="84" t="s">
        <v>31</v>
      </c>
      <c r="H6" s="84" t="s">
        <v>32</v>
      </c>
      <c r="I6" s="84" t="s">
        <v>33</v>
      </c>
      <c r="J6" s="84" t="s">
        <v>34</v>
      </c>
      <c r="K6" s="84" t="s">
        <v>35</v>
      </c>
      <c r="L6" s="84" t="s">
        <v>36</v>
      </c>
      <c r="M6" s="84" t="s">
        <v>37</v>
      </c>
      <c r="N6" s="84" t="s">
        <v>38</v>
      </c>
      <c r="O6" s="84" t="s">
        <v>39</v>
      </c>
      <c r="P6" s="84" t="s">
        <v>40</v>
      </c>
      <c r="Q6" s="84" t="s">
        <v>41</v>
      </c>
      <c r="R6" s="84" t="s">
        <v>42</v>
      </c>
      <c r="S6" s="84" t="s">
        <v>43</v>
      </c>
      <c r="T6" s="84" t="s">
        <v>68</v>
      </c>
      <c r="U6" s="83" t="s">
        <v>69</v>
      </c>
    </row>
    <row r="7" spans="1:21" s="90" customFormat="1" ht="27.75" customHeight="1" x14ac:dyDescent="0.25">
      <c r="A7" s="248" t="s">
        <v>70</v>
      </c>
      <c r="B7" s="248"/>
      <c r="C7" s="91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3"/>
    </row>
    <row r="8" spans="1:21" ht="96.75" customHeight="1" x14ac:dyDescent="0.25">
      <c r="A8" s="10">
        <v>1</v>
      </c>
      <c r="B8" s="92" t="s">
        <v>161</v>
      </c>
      <c r="C8" s="11" t="s">
        <v>71</v>
      </c>
      <c r="D8" s="24">
        <v>41</v>
      </c>
      <c r="E8" s="24">
        <v>37</v>
      </c>
      <c r="F8" s="24">
        <v>0</v>
      </c>
      <c r="G8" s="24">
        <v>0</v>
      </c>
      <c r="H8" s="24">
        <v>0</v>
      </c>
      <c r="I8" s="25">
        <v>1</v>
      </c>
      <c r="J8" s="25">
        <v>0</v>
      </c>
      <c r="K8" s="25">
        <v>20</v>
      </c>
      <c r="L8" s="25">
        <v>0</v>
      </c>
      <c r="M8" s="25">
        <v>0</v>
      </c>
      <c r="N8" s="25">
        <f>F8+G8+I8+J8</f>
        <v>1</v>
      </c>
      <c r="O8" s="25">
        <f>H8+K8</f>
        <v>20</v>
      </c>
      <c r="P8" s="25">
        <f>E8-N8-O8</f>
        <v>16</v>
      </c>
      <c r="Q8" s="93">
        <f>N8/E8*100</f>
        <v>2.7027027027027026</v>
      </c>
      <c r="R8" s="93">
        <f>O8*100/E8</f>
        <v>54.054054054054056</v>
      </c>
      <c r="S8" s="93">
        <f>P8*100/E8</f>
        <v>43.243243243243242</v>
      </c>
      <c r="T8" s="93">
        <f>R8+S8</f>
        <v>97.297297297297291</v>
      </c>
      <c r="U8" s="94" t="s">
        <v>172</v>
      </c>
    </row>
    <row r="9" spans="1:21" ht="47.25" customHeight="1" x14ac:dyDescent="0.25">
      <c r="A9" s="240">
        <v>2</v>
      </c>
      <c r="B9" s="244" t="s">
        <v>162</v>
      </c>
      <c r="C9" s="12" t="s">
        <v>71</v>
      </c>
      <c r="D9" s="24">
        <v>4</v>
      </c>
      <c r="E9" s="24">
        <v>4</v>
      </c>
      <c r="F9" s="24">
        <v>0</v>
      </c>
      <c r="G9" s="24">
        <v>0</v>
      </c>
      <c r="H9" s="24">
        <v>0</v>
      </c>
      <c r="I9" s="95">
        <v>0</v>
      </c>
      <c r="J9" s="95">
        <v>0</v>
      </c>
      <c r="K9" s="95">
        <v>2</v>
      </c>
      <c r="L9" s="95">
        <v>0</v>
      </c>
      <c r="M9" s="95">
        <v>0</v>
      </c>
      <c r="N9" s="25">
        <f t="shared" ref="N9:N30" si="0">F9+G9+I9+J9</f>
        <v>0</v>
      </c>
      <c r="O9" s="25">
        <f t="shared" ref="O9:O30" si="1">H9+K9</f>
        <v>2</v>
      </c>
      <c r="P9" s="25">
        <f t="shared" ref="P9:P30" si="2">E9-N9-O9</f>
        <v>2</v>
      </c>
      <c r="Q9" s="93">
        <f>N9/E9*100</f>
        <v>0</v>
      </c>
      <c r="R9" s="93">
        <f t="shared" ref="R9:R13" si="3">O9*100/E9</f>
        <v>50</v>
      </c>
      <c r="S9" s="93">
        <f t="shared" ref="S9:S13" si="4">P9*100/E9</f>
        <v>50</v>
      </c>
      <c r="T9" s="93">
        <f t="shared" ref="T9:T33" si="5">R9+S9</f>
        <v>100</v>
      </c>
      <c r="U9" s="96" t="s">
        <v>176</v>
      </c>
    </row>
    <row r="10" spans="1:21" ht="108" x14ac:dyDescent="0.25">
      <c r="A10" s="242"/>
      <c r="B10" s="246"/>
      <c r="C10" s="12" t="s">
        <v>72</v>
      </c>
      <c r="D10" s="24">
        <v>45</v>
      </c>
      <c r="E10" s="24">
        <v>47</v>
      </c>
      <c r="F10" s="24">
        <v>1</v>
      </c>
      <c r="G10" s="24">
        <v>5</v>
      </c>
      <c r="H10" s="24">
        <v>0</v>
      </c>
      <c r="I10" s="95">
        <v>3</v>
      </c>
      <c r="J10" s="95">
        <v>0</v>
      </c>
      <c r="K10" s="95">
        <v>8</v>
      </c>
      <c r="L10" s="95">
        <v>0</v>
      </c>
      <c r="M10" s="95">
        <v>0</v>
      </c>
      <c r="N10" s="25">
        <f>F10+G10+I10+J10</f>
        <v>9</v>
      </c>
      <c r="O10" s="25">
        <f t="shared" si="1"/>
        <v>8</v>
      </c>
      <c r="P10" s="25">
        <f t="shared" si="2"/>
        <v>30</v>
      </c>
      <c r="Q10" s="93">
        <f t="shared" ref="Q10:Q13" si="6">N10/E10*100</f>
        <v>19.148936170212767</v>
      </c>
      <c r="R10" s="93">
        <f t="shared" si="3"/>
        <v>17.021276595744681</v>
      </c>
      <c r="S10" s="93">
        <f t="shared" si="4"/>
        <v>63.829787234042556</v>
      </c>
      <c r="T10" s="93">
        <f t="shared" si="5"/>
        <v>80.851063829787236</v>
      </c>
      <c r="U10" s="97" t="s">
        <v>177</v>
      </c>
    </row>
    <row r="11" spans="1:21" ht="75" customHeight="1" x14ac:dyDescent="0.25">
      <c r="A11" s="241"/>
      <c r="B11" s="245"/>
      <c r="C11" s="12" t="s">
        <v>73</v>
      </c>
      <c r="D11" s="24">
        <v>14</v>
      </c>
      <c r="E11" s="24">
        <v>14</v>
      </c>
      <c r="F11" s="24">
        <v>0</v>
      </c>
      <c r="G11" s="24">
        <v>0</v>
      </c>
      <c r="H11" s="24">
        <v>0</v>
      </c>
      <c r="I11" s="95">
        <v>1</v>
      </c>
      <c r="J11" s="95">
        <v>0</v>
      </c>
      <c r="K11" s="95">
        <v>2</v>
      </c>
      <c r="L11" s="95">
        <v>0</v>
      </c>
      <c r="M11" s="95">
        <v>0</v>
      </c>
      <c r="N11" s="25">
        <f t="shared" si="0"/>
        <v>1</v>
      </c>
      <c r="O11" s="25">
        <f t="shared" si="1"/>
        <v>2</v>
      </c>
      <c r="P11" s="25">
        <f t="shared" si="2"/>
        <v>11</v>
      </c>
      <c r="Q11" s="93">
        <f t="shared" si="6"/>
        <v>7.1428571428571423</v>
      </c>
      <c r="R11" s="93">
        <f t="shared" si="3"/>
        <v>14.285714285714286</v>
      </c>
      <c r="S11" s="93">
        <f t="shared" si="4"/>
        <v>78.571428571428569</v>
      </c>
      <c r="T11" s="93">
        <f t="shared" si="5"/>
        <v>92.857142857142861</v>
      </c>
      <c r="U11" s="98" t="s">
        <v>178</v>
      </c>
    </row>
    <row r="12" spans="1:21" ht="90" x14ac:dyDescent="0.25">
      <c r="A12" s="240">
        <v>3</v>
      </c>
      <c r="B12" s="244" t="s">
        <v>163</v>
      </c>
      <c r="C12" s="12" t="s">
        <v>74</v>
      </c>
      <c r="D12" s="24">
        <v>57</v>
      </c>
      <c r="E12" s="24">
        <v>56</v>
      </c>
      <c r="F12" s="24">
        <v>1</v>
      </c>
      <c r="G12" s="24">
        <v>0</v>
      </c>
      <c r="H12" s="24">
        <v>0</v>
      </c>
      <c r="I12" s="95">
        <v>1</v>
      </c>
      <c r="J12" s="95">
        <v>0</v>
      </c>
      <c r="K12" s="95">
        <v>5</v>
      </c>
      <c r="L12" s="95">
        <v>0</v>
      </c>
      <c r="M12" s="95">
        <v>0</v>
      </c>
      <c r="N12" s="25">
        <f>F12+G12+I12+J12</f>
        <v>2</v>
      </c>
      <c r="O12" s="25">
        <f t="shared" si="1"/>
        <v>5</v>
      </c>
      <c r="P12" s="25">
        <f t="shared" si="2"/>
        <v>49</v>
      </c>
      <c r="Q12" s="93">
        <f t="shared" si="6"/>
        <v>3.5714285714285712</v>
      </c>
      <c r="R12" s="93">
        <f t="shared" si="3"/>
        <v>8.9285714285714288</v>
      </c>
      <c r="S12" s="93">
        <f t="shared" si="4"/>
        <v>87.5</v>
      </c>
      <c r="T12" s="93">
        <f t="shared" si="5"/>
        <v>96.428571428571431</v>
      </c>
      <c r="U12" s="99" t="s">
        <v>714</v>
      </c>
    </row>
    <row r="13" spans="1:21" ht="98.25" customHeight="1" x14ac:dyDescent="0.25">
      <c r="A13" s="242"/>
      <c r="B13" s="246"/>
      <c r="C13" s="12" t="s">
        <v>75</v>
      </c>
      <c r="D13" s="24">
        <v>57</v>
      </c>
      <c r="E13" s="24">
        <v>61</v>
      </c>
      <c r="F13" s="24">
        <v>1</v>
      </c>
      <c r="G13" s="24">
        <v>1</v>
      </c>
      <c r="H13" s="24">
        <v>0</v>
      </c>
      <c r="I13" s="95">
        <v>2</v>
      </c>
      <c r="J13" s="95">
        <v>0</v>
      </c>
      <c r="K13" s="95">
        <v>3</v>
      </c>
      <c r="L13" s="95">
        <v>0</v>
      </c>
      <c r="M13" s="95">
        <v>0</v>
      </c>
      <c r="N13" s="25">
        <f>F13+G13+I13+J13</f>
        <v>4</v>
      </c>
      <c r="O13" s="25">
        <f t="shared" si="1"/>
        <v>3</v>
      </c>
      <c r="P13" s="25">
        <f t="shared" si="2"/>
        <v>54</v>
      </c>
      <c r="Q13" s="93">
        <f t="shared" si="6"/>
        <v>6.557377049180328</v>
      </c>
      <c r="R13" s="93">
        <f t="shared" si="3"/>
        <v>4.918032786885246</v>
      </c>
      <c r="S13" s="93">
        <f t="shared" si="4"/>
        <v>88.52459016393442</v>
      </c>
      <c r="T13" s="93">
        <f t="shared" si="5"/>
        <v>93.442622950819668</v>
      </c>
      <c r="U13" s="99" t="s">
        <v>179</v>
      </c>
    </row>
    <row r="14" spans="1:21" ht="24.75" customHeight="1" x14ac:dyDescent="0.25">
      <c r="A14" s="242"/>
      <c r="B14" s="246"/>
      <c r="C14" s="12" t="s">
        <v>71</v>
      </c>
      <c r="D14" s="24">
        <v>1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5">
        <f t="shared" si="0"/>
        <v>0</v>
      </c>
      <c r="O14" s="25">
        <f t="shared" si="1"/>
        <v>0</v>
      </c>
      <c r="P14" s="25">
        <f t="shared" si="2"/>
        <v>0</v>
      </c>
      <c r="Q14" s="93">
        <v>0</v>
      </c>
      <c r="R14" s="93">
        <v>0</v>
      </c>
      <c r="S14" s="93">
        <v>0</v>
      </c>
      <c r="T14" s="93">
        <f t="shared" si="5"/>
        <v>0</v>
      </c>
      <c r="U14" s="98"/>
    </row>
    <row r="15" spans="1:21" ht="24.75" customHeight="1" x14ac:dyDescent="0.25">
      <c r="A15" s="242"/>
      <c r="B15" s="246"/>
      <c r="C15" s="12" t="s">
        <v>76</v>
      </c>
      <c r="D15" s="24">
        <v>1</v>
      </c>
      <c r="E15" s="24">
        <v>0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5">
        <f t="shared" si="0"/>
        <v>0</v>
      </c>
      <c r="O15" s="25">
        <f t="shared" si="1"/>
        <v>0</v>
      </c>
      <c r="P15" s="25">
        <f t="shared" si="2"/>
        <v>0</v>
      </c>
      <c r="Q15" s="93">
        <v>0</v>
      </c>
      <c r="R15" s="93">
        <v>0</v>
      </c>
      <c r="S15" s="93">
        <v>0</v>
      </c>
      <c r="T15" s="93">
        <f t="shared" si="5"/>
        <v>0</v>
      </c>
      <c r="U15" s="98"/>
    </row>
    <row r="16" spans="1:21" ht="30" x14ac:dyDescent="0.25">
      <c r="A16" s="241"/>
      <c r="B16" s="245"/>
      <c r="C16" s="12" t="s">
        <v>77</v>
      </c>
      <c r="D16" s="26">
        <v>3</v>
      </c>
      <c r="E16" s="26">
        <v>3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5">
        <v>0</v>
      </c>
      <c r="M16" s="25">
        <v>0</v>
      </c>
      <c r="N16" s="25">
        <f t="shared" si="0"/>
        <v>0</v>
      </c>
      <c r="O16" s="25">
        <f t="shared" si="1"/>
        <v>0</v>
      </c>
      <c r="P16" s="25">
        <f t="shared" si="2"/>
        <v>3</v>
      </c>
      <c r="Q16" s="93">
        <f t="shared" ref="Q16:Q30" si="7">N16/E16*100</f>
        <v>0</v>
      </c>
      <c r="R16" s="93">
        <f t="shared" ref="R16:R30" si="8">O16*100/E16</f>
        <v>0</v>
      </c>
      <c r="S16" s="93">
        <f t="shared" ref="S16:S30" si="9">P16*100/E16</f>
        <v>100</v>
      </c>
      <c r="T16" s="93">
        <f t="shared" si="5"/>
        <v>100</v>
      </c>
      <c r="U16" s="100"/>
    </row>
    <row r="17" spans="1:21" ht="45.75" customHeight="1" x14ac:dyDescent="0.25">
      <c r="A17" s="240">
        <v>4</v>
      </c>
      <c r="B17" s="243" t="s">
        <v>164</v>
      </c>
      <c r="C17" s="12" t="s">
        <v>78</v>
      </c>
      <c r="D17" s="26">
        <v>0</v>
      </c>
      <c r="E17" s="26">
        <v>2</v>
      </c>
      <c r="F17" s="25">
        <v>0</v>
      </c>
      <c r="G17" s="25">
        <v>1</v>
      </c>
      <c r="H17" s="25">
        <v>0</v>
      </c>
      <c r="I17" s="25">
        <v>1</v>
      </c>
      <c r="J17" s="25">
        <v>0</v>
      </c>
      <c r="K17" s="25">
        <v>0</v>
      </c>
      <c r="L17" s="25">
        <v>0</v>
      </c>
      <c r="M17" s="25">
        <v>0</v>
      </c>
      <c r="N17" s="25">
        <v>0</v>
      </c>
      <c r="O17" s="25">
        <v>1</v>
      </c>
      <c r="P17" s="25">
        <f t="shared" si="2"/>
        <v>1</v>
      </c>
      <c r="Q17" s="93">
        <f t="shared" si="7"/>
        <v>0</v>
      </c>
      <c r="R17" s="93">
        <f t="shared" si="8"/>
        <v>50</v>
      </c>
      <c r="S17" s="93">
        <f t="shared" si="9"/>
        <v>50</v>
      </c>
      <c r="T17" s="93">
        <f t="shared" si="5"/>
        <v>100</v>
      </c>
      <c r="U17" s="100" t="s">
        <v>173</v>
      </c>
    </row>
    <row r="18" spans="1:21" ht="30" x14ac:dyDescent="0.25">
      <c r="A18" s="242"/>
      <c r="B18" s="243"/>
      <c r="C18" s="12" t="s">
        <v>71</v>
      </c>
      <c r="D18" s="26">
        <v>2</v>
      </c>
      <c r="E18" s="26">
        <v>1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0</v>
      </c>
      <c r="M18" s="25">
        <v>0</v>
      </c>
      <c r="N18" s="25">
        <f t="shared" si="0"/>
        <v>0</v>
      </c>
      <c r="O18" s="25">
        <f t="shared" si="1"/>
        <v>0</v>
      </c>
      <c r="P18" s="25">
        <f t="shared" si="2"/>
        <v>1</v>
      </c>
      <c r="Q18" s="93">
        <f t="shared" si="7"/>
        <v>0</v>
      </c>
      <c r="R18" s="93">
        <f t="shared" si="8"/>
        <v>0</v>
      </c>
      <c r="S18" s="93">
        <f t="shared" si="9"/>
        <v>100</v>
      </c>
      <c r="T18" s="93">
        <f t="shared" si="5"/>
        <v>100</v>
      </c>
      <c r="U18" s="100"/>
    </row>
    <row r="19" spans="1:21" ht="18" x14ac:dyDescent="0.25">
      <c r="A19" s="241"/>
      <c r="B19" s="243"/>
      <c r="C19" s="12" t="s">
        <v>74</v>
      </c>
      <c r="D19" s="26">
        <v>1</v>
      </c>
      <c r="E19" s="26">
        <v>1</v>
      </c>
      <c r="F19" s="25">
        <v>0</v>
      </c>
      <c r="G19" s="25">
        <v>0</v>
      </c>
      <c r="H19" s="25">
        <v>0</v>
      </c>
      <c r="I19" s="25">
        <v>0</v>
      </c>
      <c r="J19" s="25">
        <v>0</v>
      </c>
      <c r="K19" s="25">
        <v>0</v>
      </c>
      <c r="L19" s="25">
        <v>0</v>
      </c>
      <c r="M19" s="25">
        <v>0</v>
      </c>
      <c r="N19" s="25">
        <f t="shared" si="0"/>
        <v>0</v>
      </c>
      <c r="O19" s="25">
        <f t="shared" si="1"/>
        <v>0</v>
      </c>
      <c r="P19" s="25">
        <f t="shared" si="2"/>
        <v>1</v>
      </c>
      <c r="Q19" s="93">
        <f t="shared" si="7"/>
        <v>0</v>
      </c>
      <c r="R19" s="93">
        <f t="shared" si="8"/>
        <v>0</v>
      </c>
      <c r="S19" s="93">
        <f t="shared" si="9"/>
        <v>100</v>
      </c>
      <c r="T19" s="93">
        <f t="shared" si="5"/>
        <v>100</v>
      </c>
      <c r="U19" s="100"/>
    </row>
    <row r="20" spans="1:21" ht="34.5" customHeight="1" x14ac:dyDescent="0.25">
      <c r="A20" s="240">
        <v>5</v>
      </c>
      <c r="B20" s="244" t="s">
        <v>165</v>
      </c>
      <c r="C20" s="11" t="s">
        <v>71</v>
      </c>
      <c r="D20" s="101">
        <v>1</v>
      </c>
      <c r="E20" s="101">
        <v>1</v>
      </c>
      <c r="F20" s="25">
        <v>0</v>
      </c>
      <c r="G20" s="25">
        <v>0</v>
      </c>
      <c r="H20" s="25">
        <v>0</v>
      </c>
      <c r="I20" s="25">
        <v>0</v>
      </c>
      <c r="J20" s="25">
        <v>0</v>
      </c>
      <c r="K20" s="25">
        <v>0</v>
      </c>
      <c r="L20" s="25">
        <v>0</v>
      </c>
      <c r="M20" s="25">
        <v>0</v>
      </c>
      <c r="N20" s="25">
        <v>0</v>
      </c>
      <c r="O20" s="25">
        <f t="shared" si="1"/>
        <v>0</v>
      </c>
      <c r="P20" s="25">
        <f t="shared" si="2"/>
        <v>1</v>
      </c>
      <c r="Q20" s="93">
        <f t="shared" si="7"/>
        <v>0</v>
      </c>
      <c r="R20" s="93">
        <f t="shared" si="8"/>
        <v>0</v>
      </c>
      <c r="S20" s="93">
        <f t="shared" si="9"/>
        <v>100</v>
      </c>
      <c r="T20" s="93">
        <f t="shared" si="5"/>
        <v>100</v>
      </c>
      <c r="U20" s="100"/>
    </row>
    <row r="21" spans="1:21" ht="31.5" x14ac:dyDescent="0.25">
      <c r="A21" s="242"/>
      <c r="B21" s="246"/>
      <c r="C21" s="102" t="s">
        <v>72</v>
      </c>
      <c r="D21" s="101">
        <v>3</v>
      </c>
      <c r="E21" s="101">
        <v>2</v>
      </c>
      <c r="F21" s="25">
        <v>0</v>
      </c>
      <c r="G21" s="25">
        <v>0</v>
      </c>
      <c r="H21" s="25">
        <v>0</v>
      </c>
      <c r="I21" s="25">
        <v>1</v>
      </c>
      <c r="J21" s="25">
        <v>0</v>
      </c>
      <c r="K21" s="25">
        <v>0</v>
      </c>
      <c r="L21" s="25">
        <v>0</v>
      </c>
      <c r="M21" s="25">
        <v>0</v>
      </c>
      <c r="N21" s="25">
        <f t="shared" si="0"/>
        <v>1</v>
      </c>
      <c r="O21" s="25">
        <f t="shared" si="1"/>
        <v>0</v>
      </c>
      <c r="P21" s="25">
        <f t="shared" si="2"/>
        <v>1</v>
      </c>
      <c r="Q21" s="93">
        <f t="shared" si="7"/>
        <v>50</v>
      </c>
      <c r="R21" s="93">
        <f t="shared" si="8"/>
        <v>0</v>
      </c>
      <c r="S21" s="93">
        <f t="shared" si="9"/>
        <v>50</v>
      </c>
      <c r="T21" s="93">
        <f t="shared" si="5"/>
        <v>50</v>
      </c>
      <c r="U21" s="100" t="s">
        <v>171</v>
      </c>
    </row>
    <row r="22" spans="1:21" ht="30" x14ac:dyDescent="0.25">
      <c r="A22" s="242"/>
      <c r="B22" s="246"/>
      <c r="C22" s="11" t="s">
        <v>79</v>
      </c>
      <c r="D22" s="10">
        <v>3</v>
      </c>
      <c r="E22" s="10">
        <v>1</v>
      </c>
      <c r="F22" s="25">
        <v>0</v>
      </c>
      <c r="G22" s="25">
        <v>0</v>
      </c>
      <c r="H22" s="25">
        <v>0</v>
      </c>
      <c r="I22" s="25">
        <v>1</v>
      </c>
      <c r="J22" s="25">
        <v>0</v>
      </c>
      <c r="K22" s="25">
        <v>0</v>
      </c>
      <c r="L22" s="25">
        <v>0</v>
      </c>
      <c r="M22" s="25">
        <v>0</v>
      </c>
      <c r="N22" s="25">
        <f t="shared" si="0"/>
        <v>1</v>
      </c>
      <c r="O22" s="25">
        <f t="shared" si="1"/>
        <v>0</v>
      </c>
      <c r="P22" s="25">
        <f t="shared" si="2"/>
        <v>0</v>
      </c>
      <c r="Q22" s="93">
        <f t="shared" si="7"/>
        <v>100</v>
      </c>
      <c r="R22" s="93">
        <f t="shared" si="8"/>
        <v>0</v>
      </c>
      <c r="S22" s="93">
        <f t="shared" si="9"/>
        <v>0</v>
      </c>
      <c r="T22" s="93">
        <f t="shared" si="5"/>
        <v>0</v>
      </c>
      <c r="U22" s="100" t="s">
        <v>171</v>
      </c>
    </row>
    <row r="23" spans="1:21" ht="21" customHeight="1" x14ac:dyDescent="0.25">
      <c r="A23" s="242"/>
      <c r="B23" s="246"/>
      <c r="C23" s="11" t="s">
        <v>80</v>
      </c>
      <c r="D23" s="101">
        <v>2</v>
      </c>
      <c r="E23" s="101">
        <v>2</v>
      </c>
      <c r="F23" s="25">
        <v>0</v>
      </c>
      <c r="G23" s="25">
        <v>0</v>
      </c>
      <c r="H23" s="25">
        <v>0</v>
      </c>
      <c r="I23" s="25">
        <v>0</v>
      </c>
      <c r="J23" s="25">
        <v>0</v>
      </c>
      <c r="K23" s="25">
        <v>0</v>
      </c>
      <c r="L23" s="25">
        <v>0</v>
      </c>
      <c r="M23" s="25">
        <v>0</v>
      </c>
      <c r="N23" s="25">
        <f t="shared" si="0"/>
        <v>0</v>
      </c>
      <c r="O23" s="25">
        <f t="shared" si="1"/>
        <v>0</v>
      </c>
      <c r="P23" s="25">
        <f t="shared" si="2"/>
        <v>2</v>
      </c>
      <c r="Q23" s="93">
        <f t="shared" si="7"/>
        <v>0</v>
      </c>
      <c r="R23" s="93">
        <f t="shared" si="8"/>
        <v>0</v>
      </c>
      <c r="S23" s="93">
        <f t="shared" si="9"/>
        <v>100</v>
      </c>
      <c r="T23" s="93">
        <f t="shared" si="5"/>
        <v>100</v>
      </c>
      <c r="U23" s="100"/>
    </row>
    <row r="24" spans="1:21" ht="18" x14ac:dyDescent="0.25">
      <c r="A24" s="241"/>
      <c r="B24" s="245"/>
      <c r="C24" s="87" t="s">
        <v>81</v>
      </c>
      <c r="D24" s="101"/>
      <c r="E24" s="101">
        <v>1</v>
      </c>
      <c r="F24" s="25">
        <v>0</v>
      </c>
      <c r="G24" s="25">
        <v>0</v>
      </c>
      <c r="H24" s="25">
        <v>0</v>
      </c>
      <c r="I24" s="25">
        <v>1</v>
      </c>
      <c r="J24" s="25">
        <v>0</v>
      </c>
      <c r="K24" s="25">
        <v>0</v>
      </c>
      <c r="L24" s="25">
        <v>0</v>
      </c>
      <c r="M24" s="25">
        <v>0</v>
      </c>
      <c r="N24" s="25">
        <f t="shared" si="0"/>
        <v>1</v>
      </c>
      <c r="O24" s="25">
        <f t="shared" si="1"/>
        <v>0</v>
      </c>
      <c r="P24" s="25">
        <f t="shared" si="2"/>
        <v>0</v>
      </c>
      <c r="Q24" s="93">
        <f t="shared" si="7"/>
        <v>100</v>
      </c>
      <c r="R24" s="93">
        <f t="shared" si="8"/>
        <v>0</v>
      </c>
      <c r="S24" s="93">
        <f t="shared" si="9"/>
        <v>0</v>
      </c>
      <c r="T24" s="93">
        <f t="shared" si="5"/>
        <v>0</v>
      </c>
      <c r="U24" s="100" t="s">
        <v>171</v>
      </c>
    </row>
    <row r="25" spans="1:21" ht="23.25" customHeight="1" x14ac:dyDescent="0.25">
      <c r="A25" s="240">
        <v>6</v>
      </c>
      <c r="B25" s="244" t="s">
        <v>167</v>
      </c>
      <c r="C25" s="12" t="s">
        <v>74</v>
      </c>
      <c r="D25" s="24">
        <v>6</v>
      </c>
      <c r="E25" s="24">
        <v>9</v>
      </c>
      <c r="F25" s="26">
        <v>0</v>
      </c>
      <c r="G25" s="26">
        <v>0</v>
      </c>
      <c r="H25" s="26">
        <v>0</v>
      </c>
      <c r="I25" s="25">
        <v>0</v>
      </c>
      <c r="J25" s="25">
        <v>0</v>
      </c>
      <c r="K25" s="25">
        <v>0</v>
      </c>
      <c r="L25" s="25">
        <v>0</v>
      </c>
      <c r="M25" s="25">
        <v>0</v>
      </c>
      <c r="N25" s="25">
        <f t="shared" si="0"/>
        <v>0</v>
      </c>
      <c r="O25" s="25">
        <f t="shared" si="1"/>
        <v>0</v>
      </c>
      <c r="P25" s="25">
        <f t="shared" si="2"/>
        <v>9</v>
      </c>
      <c r="Q25" s="93">
        <f t="shared" si="7"/>
        <v>0</v>
      </c>
      <c r="R25" s="93">
        <f t="shared" si="8"/>
        <v>0</v>
      </c>
      <c r="S25" s="93">
        <f t="shared" si="9"/>
        <v>100</v>
      </c>
      <c r="T25" s="93">
        <f t="shared" si="5"/>
        <v>100</v>
      </c>
      <c r="U25" s="96"/>
    </row>
    <row r="26" spans="1:21" ht="18" x14ac:dyDescent="0.25">
      <c r="A26" s="241"/>
      <c r="B26" s="245"/>
      <c r="C26" s="12" t="s">
        <v>75</v>
      </c>
      <c r="D26" s="26">
        <v>6</v>
      </c>
      <c r="E26" s="26">
        <v>8</v>
      </c>
      <c r="F26" s="26">
        <v>1</v>
      </c>
      <c r="G26" s="26">
        <v>0</v>
      </c>
      <c r="H26" s="26">
        <v>0</v>
      </c>
      <c r="I26" s="25">
        <v>0</v>
      </c>
      <c r="J26" s="25">
        <v>0</v>
      </c>
      <c r="K26" s="25">
        <v>0</v>
      </c>
      <c r="L26" s="25">
        <v>0</v>
      </c>
      <c r="M26" s="25">
        <v>0</v>
      </c>
      <c r="N26" s="25">
        <f t="shared" si="0"/>
        <v>1</v>
      </c>
      <c r="O26" s="25">
        <f t="shared" si="1"/>
        <v>0</v>
      </c>
      <c r="P26" s="25">
        <f t="shared" si="2"/>
        <v>7</v>
      </c>
      <c r="Q26" s="93">
        <f t="shared" si="7"/>
        <v>12.5</v>
      </c>
      <c r="R26" s="93">
        <f t="shared" si="8"/>
        <v>0</v>
      </c>
      <c r="S26" s="93">
        <f t="shared" si="9"/>
        <v>87.5</v>
      </c>
      <c r="T26" s="93">
        <f t="shared" si="5"/>
        <v>87.5</v>
      </c>
      <c r="U26" s="96" t="s">
        <v>147</v>
      </c>
    </row>
    <row r="27" spans="1:21" ht="21" customHeight="1" x14ac:dyDescent="0.25">
      <c r="A27" s="240">
        <v>7</v>
      </c>
      <c r="B27" s="244" t="s">
        <v>168</v>
      </c>
      <c r="C27" s="12" t="s">
        <v>74</v>
      </c>
      <c r="D27" s="26">
        <v>4</v>
      </c>
      <c r="E27" s="26">
        <v>4</v>
      </c>
      <c r="F27" s="26">
        <v>0</v>
      </c>
      <c r="G27" s="26">
        <v>0</v>
      </c>
      <c r="H27" s="26">
        <v>0</v>
      </c>
      <c r="I27" s="25">
        <v>1</v>
      </c>
      <c r="J27" s="25">
        <v>0</v>
      </c>
      <c r="K27" s="25">
        <v>0</v>
      </c>
      <c r="L27" s="25">
        <v>0</v>
      </c>
      <c r="M27" s="25">
        <v>0</v>
      </c>
      <c r="N27" s="25">
        <f>F27+G27+I27+J27</f>
        <v>1</v>
      </c>
      <c r="O27" s="25">
        <f>H27+K27</f>
        <v>0</v>
      </c>
      <c r="P27" s="25">
        <f t="shared" si="2"/>
        <v>3</v>
      </c>
      <c r="Q27" s="93">
        <f t="shared" si="7"/>
        <v>25</v>
      </c>
      <c r="R27" s="93">
        <f t="shared" si="8"/>
        <v>0</v>
      </c>
      <c r="S27" s="93">
        <f t="shared" si="9"/>
        <v>75</v>
      </c>
      <c r="T27" s="93">
        <f t="shared" si="5"/>
        <v>75</v>
      </c>
      <c r="U27" s="94" t="s">
        <v>174</v>
      </c>
    </row>
    <row r="28" spans="1:21" ht="21" customHeight="1" x14ac:dyDescent="0.25">
      <c r="A28" s="242"/>
      <c r="B28" s="246"/>
      <c r="C28" s="12" t="s">
        <v>75</v>
      </c>
      <c r="D28" s="26">
        <v>4</v>
      </c>
      <c r="E28" s="26">
        <v>4</v>
      </c>
      <c r="F28" s="26">
        <v>0</v>
      </c>
      <c r="G28" s="26">
        <v>0</v>
      </c>
      <c r="H28" s="26">
        <v>0</v>
      </c>
      <c r="I28" s="25">
        <v>2</v>
      </c>
      <c r="J28" s="25">
        <v>0</v>
      </c>
      <c r="K28" s="25">
        <v>0</v>
      </c>
      <c r="L28" s="25">
        <v>0</v>
      </c>
      <c r="M28" s="25">
        <v>0</v>
      </c>
      <c r="N28" s="25">
        <f>F28+G28+I28+J28</f>
        <v>2</v>
      </c>
      <c r="O28" s="25">
        <f>H28+K28</f>
        <v>0</v>
      </c>
      <c r="P28" s="25">
        <f t="shared" si="2"/>
        <v>2</v>
      </c>
      <c r="Q28" s="93">
        <f t="shared" si="7"/>
        <v>50</v>
      </c>
      <c r="R28" s="93">
        <f t="shared" si="8"/>
        <v>0</v>
      </c>
      <c r="S28" s="93">
        <f t="shared" si="9"/>
        <v>50</v>
      </c>
      <c r="T28" s="93">
        <f t="shared" si="5"/>
        <v>50</v>
      </c>
      <c r="U28" s="100" t="s">
        <v>175</v>
      </c>
    </row>
    <row r="29" spans="1:21" ht="30" x14ac:dyDescent="0.25">
      <c r="A29" s="242"/>
      <c r="B29" s="246"/>
      <c r="C29" s="12" t="s">
        <v>76</v>
      </c>
      <c r="D29" s="26">
        <v>2</v>
      </c>
      <c r="E29" s="26">
        <v>2</v>
      </c>
      <c r="F29" s="26">
        <v>0</v>
      </c>
      <c r="G29" s="26">
        <v>0</v>
      </c>
      <c r="H29" s="26">
        <v>0</v>
      </c>
      <c r="I29" s="25">
        <v>0</v>
      </c>
      <c r="J29" s="25">
        <v>0</v>
      </c>
      <c r="K29" s="25">
        <v>0</v>
      </c>
      <c r="L29" s="25">
        <v>0</v>
      </c>
      <c r="M29" s="25">
        <v>0</v>
      </c>
      <c r="N29" s="25">
        <f t="shared" si="0"/>
        <v>0</v>
      </c>
      <c r="O29" s="25">
        <f t="shared" si="1"/>
        <v>0</v>
      </c>
      <c r="P29" s="25">
        <f t="shared" si="2"/>
        <v>2</v>
      </c>
      <c r="Q29" s="93">
        <f t="shared" si="7"/>
        <v>0</v>
      </c>
      <c r="R29" s="93">
        <f t="shared" si="8"/>
        <v>0</v>
      </c>
      <c r="S29" s="93">
        <f t="shared" si="9"/>
        <v>100</v>
      </c>
      <c r="T29" s="93">
        <f t="shared" si="5"/>
        <v>100</v>
      </c>
      <c r="U29" s="94"/>
    </row>
    <row r="30" spans="1:21" ht="60" customHeight="1" x14ac:dyDescent="0.25">
      <c r="A30" s="241"/>
      <c r="B30" s="245"/>
      <c r="C30" s="12" t="s">
        <v>71</v>
      </c>
      <c r="D30" s="26">
        <v>2</v>
      </c>
      <c r="E30" s="26">
        <v>2</v>
      </c>
      <c r="F30" s="26">
        <v>0</v>
      </c>
      <c r="G30" s="26">
        <v>0</v>
      </c>
      <c r="H30" s="26">
        <v>0</v>
      </c>
      <c r="I30" s="25">
        <v>0</v>
      </c>
      <c r="J30" s="25">
        <v>0</v>
      </c>
      <c r="K30" s="25">
        <v>0</v>
      </c>
      <c r="L30" s="25">
        <v>0</v>
      </c>
      <c r="M30" s="25">
        <v>0</v>
      </c>
      <c r="N30" s="25">
        <f t="shared" si="0"/>
        <v>0</v>
      </c>
      <c r="O30" s="25">
        <f t="shared" si="1"/>
        <v>0</v>
      </c>
      <c r="P30" s="25">
        <f t="shared" si="2"/>
        <v>2</v>
      </c>
      <c r="Q30" s="93">
        <f t="shared" si="7"/>
        <v>0</v>
      </c>
      <c r="R30" s="93">
        <f t="shared" si="8"/>
        <v>0</v>
      </c>
      <c r="S30" s="93">
        <f t="shared" si="9"/>
        <v>100</v>
      </c>
      <c r="T30" s="93">
        <f t="shared" si="5"/>
        <v>100</v>
      </c>
      <c r="U30" s="96"/>
    </row>
    <row r="31" spans="1:21" ht="30" customHeight="1" x14ac:dyDescent="0.25">
      <c r="A31" s="23">
        <v>24</v>
      </c>
      <c r="B31" s="92" t="s">
        <v>166</v>
      </c>
      <c r="C31" s="12" t="s">
        <v>74</v>
      </c>
      <c r="D31" s="81">
        <v>0</v>
      </c>
      <c r="E31" s="81">
        <v>0</v>
      </c>
      <c r="F31" s="81">
        <v>0</v>
      </c>
      <c r="G31" s="81">
        <v>0</v>
      </c>
      <c r="H31" s="81">
        <v>0</v>
      </c>
      <c r="I31" s="81">
        <v>0</v>
      </c>
      <c r="J31" s="81">
        <v>0</v>
      </c>
      <c r="K31" s="81">
        <v>0</v>
      </c>
      <c r="L31" s="81">
        <v>0</v>
      </c>
      <c r="M31" s="81">
        <v>0</v>
      </c>
      <c r="N31" s="81">
        <v>0</v>
      </c>
      <c r="O31" s="81">
        <v>0</v>
      </c>
      <c r="P31" s="81">
        <v>0</v>
      </c>
      <c r="Q31" s="103">
        <v>0</v>
      </c>
      <c r="R31" s="103">
        <v>0</v>
      </c>
      <c r="S31" s="103">
        <v>0</v>
      </c>
      <c r="T31" s="103">
        <f t="shared" si="5"/>
        <v>0</v>
      </c>
      <c r="U31" s="104"/>
    </row>
    <row r="32" spans="1:21" ht="35.25" customHeight="1" x14ac:dyDescent="0.25">
      <c r="A32" s="10">
        <v>25</v>
      </c>
      <c r="B32" s="92" t="s">
        <v>169</v>
      </c>
      <c r="C32" s="12" t="s">
        <v>75</v>
      </c>
      <c r="D32" s="81">
        <v>0</v>
      </c>
      <c r="E32" s="81">
        <v>0</v>
      </c>
      <c r="F32" s="81">
        <v>0</v>
      </c>
      <c r="G32" s="81">
        <v>0</v>
      </c>
      <c r="H32" s="81">
        <v>0</v>
      </c>
      <c r="I32" s="81">
        <v>0</v>
      </c>
      <c r="J32" s="81">
        <v>0</v>
      </c>
      <c r="K32" s="81">
        <v>0</v>
      </c>
      <c r="L32" s="81">
        <v>0</v>
      </c>
      <c r="M32" s="81">
        <v>0</v>
      </c>
      <c r="N32" s="81">
        <v>0</v>
      </c>
      <c r="O32" s="81">
        <v>0</v>
      </c>
      <c r="P32" s="81">
        <v>0</v>
      </c>
      <c r="Q32" s="103">
        <v>0</v>
      </c>
      <c r="R32" s="103">
        <v>0</v>
      </c>
      <c r="S32" s="103">
        <v>0</v>
      </c>
      <c r="T32" s="103">
        <f t="shared" si="5"/>
        <v>0</v>
      </c>
      <c r="U32" s="16"/>
    </row>
    <row r="33" spans="1:21" ht="24.75" customHeight="1" x14ac:dyDescent="0.25">
      <c r="A33" s="23">
        <v>26</v>
      </c>
      <c r="B33" s="92" t="s">
        <v>170</v>
      </c>
      <c r="C33" s="12" t="s">
        <v>76</v>
      </c>
      <c r="D33" s="81">
        <v>0</v>
      </c>
      <c r="E33" s="81">
        <v>0</v>
      </c>
      <c r="F33" s="81">
        <v>0</v>
      </c>
      <c r="G33" s="81">
        <v>0</v>
      </c>
      <c r="H33" s="81">
        <v>0</v>
      </c>
      <c r="I33" s="81">
        <v>0</v>
      </c>
      <c r="J33" s="81">
        <v>0</v>
      </c>
      <c r="K33" s="81">
        <v>0</v>
      </c>
      <c r="L33" s="81">
        <v>0</v>
      </c>
      <c r="M33" s="81">
        <v>0</v>
      </c>
      <c r="N33" s="81">
        <v>0</v>
      </c>
      <c r="O33" s="81">
        <v>0</v>
      </c>
      <c r="P33" s="81">
        <v>0</v>
      </c>
      <c r="Q33" s="103">
        <v>0</v>
      </c>
      <c r="R33" s="103">
        <v>0</v>
      </c>
      <c r="S33" s="103">
        <v>0</v>
      </c>
      <c r="T33" s="103">
        <f t="shared" si="5"/>
        <v>0</v>
      </c>
      <c r="U33" s="16"/>
    </row>
  </sheetData>
  <mergeCells count="26">
    <mergeCell ref="A3:U3"/>
    <mergeCell ref="A4:A5"/>
    <mergeCell ref="B4:B5"/>
    <mergeCell ref="D4:E4"/>
    <mergeCell ref="F4:M4"/>
    <mergeCell ref="N4:N5"/>
    <mergeCell ref="O4:O5"/>
    <mergeCell ref="P4:P5"/>
    <mergeCell ref="Q4:Q5"/>
    <mergeCell ref="R4:R5"/>
    <mergeCell ref="S4:S5"/>
    <mergeCell ref="T4:T5"/>
    <mergeCell ref="U4:U5"/>
    <mergeCell ref="A7:B7"/>
    <mergeCell ref="B9:B11"/>
    <mergeCell ref="B12:B16"/>
    <mergeCell ref="A9:A11"/>
    <mergeCell ref="A12:A16"/>
    <mergeCell ref="A25:A26"/>
    <mergeCell ref="A27:A30"/>
    <mergeCell ref="B17:B19"/>
    <mergeCell ref="B25:B26"/>
    <mergeCell ref="B27:B30"/>
    <mergeCell ref="B20:B24"/>
    <mergeCell ref="A17:A19"/>
    <mergeCell ref="A20:A24"/>
  </mergeCells>
  <phoneticPr fontId="27" type="noConversion"/>
  <dataValidations count="3">
    <dataValidation type="whole" allowBlank="1" showInputMessage="1" showErrorMessage="1" errorTitle="Value Between 0 to 200000" sqref="P65321:P65374" xr:uid="{7D4ED7E0-3A2E-4ECB-8D07-C05115323C17}">
      <formula1>0</formula1>
      <formula2>200000</formula2>
    </dataValidation>
    <dataValidation type="whole" allowBlank="1" showInputMessage="1" showErrorMessage="1" sqref="D65321:M65374" xr:uid="{95B76AFC-9E3F-4766-B5A8-5B2C07B38400}">
      <formula1>0</formula1>
      <formula2>50000</formula2>
    </dataValidation>
    <dataValidation type="whole" allowBlank="1" showInputMessage="1" showErrorMessage="1" errorTitle="Wrong data" error="Enter  only number " sqref="D24:E24 D16:E19 F16:M24" xr:uid="{5E43786F-2AF1-4653-9CAD-504B6E9F6E07}">
      <formula1>0</formula1>
      <formula2>9.99999999999999E+42</formula2>
    </dataValidation>
  </dataValidations>
  <printOptions horizontalCentered="1"/>
  <pageMargins left="0.25" right="0.25" top="0.25" bottom="0.25" header="0.3" footer="0.3"/>
  <pageSetup paperSize="9" scale="2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320AA-FF01-45BC-B515-5B71052D3BDB}">
  <sheetPr>
    <tabColor rgb="FFFF0000"/>
  </sheetPr>
  <dimension ref="A1:AL137"/>
  <sheetViews>
    <sheetView view="pageBreakPreview" zoomScale="80" zoomScaleNormal="70" zoomScaleSheetLayoutView="80" workbookViewId="0">
      <pane ySplit="3" topLeftCell="A4" activePane="bottomLeft" state="frozen"/>
      <selection activeCell="F14" sqref="F14"/>
      <selection pane="bottomLeft" activeCell="J6" sqref="J6"/>
    </sheetView>
  </sheetViews>
  <sheetFormatPr defaultColWidth="9.140625" defaultRowHeight="15" x14ac:dyDescent="0.2"/>
  <cols>
    <col min="1" max="1" width="8.7109375" style="4" customWidth="1"/>
    <col min="2" max="2" width="48.5703125" style="21" customWidth="1"/>
    <col min="3" max="3" width="11.42578125" style="3" customWidth="1"/>
    <col min="4" max="4" width="11.140625" style="3" customWidth="1"/>
    <col min="5" max="5" width="7.28515625" style="3" customWidth="1"/>
    <col min="6" max="6" width="5.7109375" style="3" customWidth="1"/>
    <col min="7" max="7" width="6.7109375" style="3" customWidth="1"/>
    <col min="8" max="8" width="8.140625" style="3" customWidth="1"/>
    <col min="9" max="9" width="12.5703125" style="3" customWidth="1"/>
    <col min="10" max="10" width="89.7109375" style="2" customWidth="1"/>
    <col min="11" max="11" width="6.140625" style="2" customWidth="1"/>
    <col min="12" max="30" width="9.140625" style="2"/>
    <col min="31" max="31" width="9.140625" style="2" customWidth="1"/>
    <col min="32" max="16384" width="9.140625" style="2"/>
  </cols>
  <sheetData>
    <row r="1" spans="1:38" ht="24.75" customHeight="1" x14ac:dyDescent="0.25">
      <c r="A1" s="251" t="s">
        <v>148</v>
      </c>
      <c r="B1" s="251"/>
      <c r="C1" s="251"/>
      <c r="D1" s="251"/>
      <c r="E1" s="251"/>
      <c r="F1" s="251"/>
      <c r="G1" s="251"/>
      <c r="H1" s="251"/>
      <c r="I1" s="251"/>
      <c r="J1" s="251"/>
    </row>
    <row r="2" spans="1:38" s="28" customFormat="1" ht="55.5" customHeight="1" x14ac:dyDescent="0.25">
      <c r="A2" s="57" t="s">
        <v>82</v>
      </c>
      <c r="B2" s="231" t="s">
        <v>21</v>
      </c>
      <c r="C2" s="252" t="s">
        <v>2</v>
      </c>
      <c r="D2" s="253"/>
      <c r="E2" s="254"/>
      <c r="F2" s="254"/>
      <c r="G2" s="254"/>
      <c r="H2" s="254"/>
      <c r="I2" s="82" t="s">
        <v>45</v>
      </c>
      <c r="J2" s="27" t="s">
        <v>11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s="28" customFormat="1" ht="67.5" customHeight="1" x14ac:dyDescent="0.25">
      <c r="A3" s="57"/>
      <c r="B3" s="130"/>
      <c r="C3" s="19" t="s">
        <v>12</v>
      </c>
      <c r="D3" s="19" t="s">
        <v>13</v>
      </c>
      <c r="E3" s="82" t="s">
        <v>15</v>
      </c>
      <c r="F3" s="82" t="s">
        <v>23</v>
      </c>
      <c r="G3" s="19" t="s">
        <v>83</v>
      </c>
      <c r="H3" s="82" t="s">
        <v>20</v>
      </c>
      <c r="I3" s="82"/>
      <c r="J3" s="8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ht="18.75" customHeight="1" x14ac:dyDescent="0.25">
      <c r="A4" s="15" t="s">
        <v>26</v>
      </c>
      <c r="B4" s="58" t="s">
        <v>27</v>
      </c>
      <c r="C4" s="81" t="s">
        <v>28</v>
      </c>
      <c r="D4" s="81" t="s">
        <v>29</v>
      </c>
      <c r="E4" s="81" t="s">
        <v>31</v>
      </c>
      <c r="F4" s="81" t="s">
        <v>33</v>
      </c>
      <c r="G4" s="81" t="s">
        <v>36</v>
      </c>
      <c r="H4" s="81" t="s">
        <v>37</v>
      </c>
      <c r="I4" s="81" t="s">
        <v>40</v>
      </c>
      <c r="J4" s="28" t="s">
        <v>69</v>
      </c>
    </row>
    <row r="5" spans="1:38" ht="18.75" customHeight="1" x14ac:dyDescent="0.25">
      <c r="A5" s="60" t="s">
        <v>84</v>
      </c>
      <c r="B5" s="134"/>
      <c r="C5" s="30"/>
      <c r="D5" s="30"/>
      <c r="E5" s="30"/>
      <c r="F5" s="30"/>
      <c r="G5" s="30"/>
      <c r="H5" s="30"/>
      <c r="I5" s="30"/>
      <c r="J5" s="31"/>
    </row>
    <row r="6" spans="1:38" s="38" customFormat="1" ht="56.25" customHeight="1" x14ac:dyDescent="0.25">
      <c r="A6" s="81">
        <v>1</v>
      </c>
      <c r="B6" s="11" t="s">
        <v>180</v>
      </c>
      <c r="C6" s="109">
        <v>1611</v>
      </c>
      <c r="D6" s="110">
        <v>986</v>
      </c>
      <c r="E6" s="110">
        <v>21</v>
      </c>
      <c r="F6" s="110"/>
      <c r="G6" s="25">
        <v>13</v>
      </c>
      <c r="H6" s="32">
        <f>E6+F6+G6</f>
        <v>34</v>
      </c>
      <c r="I6" s="32">
        <f>D6-H6</f>
        <v>952</v>
      </c>
      <c r="J6" s="111" t="s">
        <v>149</v>
      </c>
    </row>
    <row r="7" spans="1:38" ht="71.25" customHeight="1" x14ac:dyDescent="0.25">
      <c r="A7" s="58">
        <v>2</v>
      </c>
      <c r="B7" s="11" t="s">
        <v>181</v>
      </c>
      <c r="C7" s="39">
        <v>2117</v>
      </c>
      <c r="D7" s="40">
        <v>1659</v>
      </c>
      <c r="E7" s="40">
        <v>20</v>
      </c>
      <c r="F7" s="40"/>
      <c r="G7" s="25">
        <v>40</v>
      </c>
      <c r="H7" s="32">
        <f t="shared" ref="H7:H78" si="0">E7+F7+G7</f>
        <v>60</v>
      </c>
      <c r="I7" s="32">
        <f t="shared" ref="I7:I71" si="1">D7-H7</f>
        <v>1599</v>
      </c>
      <c r="J7" s="111" t="s">
        <v>150</v>
      </c>
    </row>
    <row r="8" spans="1:38" ht="57.75" customHeight="1" x14ac:dyDescent="0.25">
      <c r="A8" s="81">
        <v>3</v>
      </c>
      <c r="B8" s="11" t="s">
        <v>182</v>
      </c>
      <c r="C8" s="39">
        <v>1961</v>
      </c>
      <c r="D8" s="40">
        <v>1799</v>
      </c>
      <c r="E8" s="40">
        <v>15</v>
      </c>
      <c r="F8" s="40"/>
      <c r="G8" s="25">
        <v>68</v>
      </c>
      <c r="H8" s="32">
        <f t="shared" si="0"/>
        <v>83</v>
      </c>
      <c r="I8" s="32">
        <f t="shared" si="1"/>
        <v>1716</v>
      </c>
      <c r="J8" s="111" t="s">
        <v>151</v>
      </c>
    </row>
    <row r="9" spans="1:38" ht="46.5" customHeight="1" x14ac:dyDescent="0.25">
      <c r="A9" s="58">
        <v>4</v>
      </c>
      <c r="B9" s="11" t="s">
        <v>183</v>
      </c>
      <c r="C9" s="39">
        <v>12</v>
      </c>
      <c r="D9" s="40">
        <v>22</v>
      </c>
      <c r="E9" s="40"/>
      <c r="F9" s="40"/>
      <c r="G9" s="25"/>
      <c r="H9" s="32">
        <f t="shared" si="0"/>
        <v>0</v>
      </c>
      <c r="I9" s="32">
        <f t="shared" si="1"/>
        <v>22</v>
      </c>
      <c r="J9" s="33"/>
    </row>
    <row r="10" spans="1:38" s="1" customFormat="1" ht="27" customHeight="1" x14ac:dyDescent="0.25">
      <c r="A10" s="81">
        <v>5</v>
      </c>
      <c r="B10" s="11" t="s">
        <v>184</v>
      </c>
      <c r="C10" s="25">
        <v>0</v>
      </c>
      <c r="D10" s="25">
        <v>0</v>
      </c>
      <c r="E10" s="25"/>
      <c r="F10" s="25"/>
      <c r="G10" s="25"/>
      <c r="H10" s="32">
        <f t="shared" si="0"/>
        <v>0</v>
      </c>
      <c r="I10" s="32">
        <f t="shared" si="1"/>
        <v>0</v>
      </c>
      <c r="J10" s="16"/>
    </row>
    <row r="11" spans="1:38" s="1" customFormat="1" ht="27" customHeight="1" x14ac:dyDescent="0.25">
      <c r="A11" s="58">
        <v>6</v>
      </c>
      <c r="B11" s="11" t="s">
        <v>185</v>
      </c>
      <c r="C11" s="39">
        <v>1</v>
      </c>
      <c r="D11" s="40">
        <v>6</v>
      </c>
      <c r="E11" s="40"/>
      <c r="F11" s="40"/>
      <c r="G11" s="25"/>
      <c r="H11" s="32">
        <f t="shared" si="0"/>
        <v>0</v>
      </c>
      <c r="I11" s="32">
        <f t="shared" si="1"/>
        <v>6</v>
      </c>
      <c r="J11" s="53"/>
    </row>
    <row r="12" spans="1:38" s="1" customFormat="1" ht="27" customHeight="1" x14ac:dyDescent="0.25">
      <c r="A12" s="81">
        <v>7</v>
      </c>
      <c r="B12" s="11" t="s">
        <v>186</v>
      </c>
      <c r="C12" s="39">
        <v>11</v>
      </c>
      <c r="D12" s="40">
        <v>11</v>
      </c>
      <c r="E12" s="25"/>
      <c r="F12" s="25"/>
      <c r="G12" s="25"/>
      <c r="H12" s="32">
        <f t="shared" si="0"/>
        <v>0</v>
      </c>
      <c r="I12" s="32">
        <f t="shared" si="1"/>
        <v>11</v>
      </c>
      <c r="J12" s="53"/>
    </row>
    <row r="13" spans="1:38" s="1" customFormat="1" ht="27" customHeight="1" x14ac:dyDescent="0.25">
      <c r="A13" s="58">
        <v>8</v>
      </c>
      <c r="B13" s="11" t="s">
        <v>187</v>
      </c>
      <c r="C13" s="39">
        <v>3</v>
      </c>
      <c r="D13" s="40">
        <v>3</v>
      </c>
      <c r="E13" s="25"/>
      <c r="F13" s="25"/>
      <c r="G13" s="25"/>
      <c r="H13" s="32">
        <f t="shared" si="0"/>
        <v>0</v>
      </c>
      <c r="I13" s="32">
        <f t="shared" si="1"/>
        <v>3</v>
      </c>
      <c r="J13" s="55"/>
    </row>
    <row r="14" spans="1:38" s="62" customFormat="1" ht="27" customHeight="1" x14ac:dyDescent="0.25">
      <c r="A14" s="81">
        <v>9</v>
      </c>
      <c r="B14" s="11" t="s">
        <v>188</v>
      </c>
      <c r="C14" s="39">
        <v>6</v>
      </c>
      <c r="D14" s="40">
        <v>14</v>
      </c>
      <c r="E14" s="25"/>
      <c r="F14" s="25"/>
      <c r="G14" s="25"/>
      <c r="H14" s="32">
        <f t="shared" si="0"/>
        <v>0</v>
      </c>
      <c r="I14" s="32">
        <f t="shared" si="1"/>
        <v>14</v>
      </c>
      <c r="J14" s="106" t="s">
        <v>307</v>
      </c>
    </row>
    <row r="15" spans="1:38" s="62" customFormat="1" ht="69" customHeight="1" x14ac:dyDescent="0.25">
      <c r="A15" s="58">
        <v>10</v>
      </c>
      <c r="B15" s="11" t="s">
        <v>189</v>
      </c>
      <c r="C15" s="112">
        <v>2</v>
      </c>
      <c r="D15" s="113">
        <v>35</v>
      </c>
      <c r="E15" s="113"/>
      <c r="F15" s="25"/>
      <c r="G15" s="25"/>
      <c r="H15" s="32">
        <f t="shared" si="0"/>
        <v>0</v>
      </c>
      <c r="I15" s="32">
        <f t="shared" si="1"/>
        <v>35</v>
      </c>
      <c r="J15" s="17"/>
    </row>
    <row r="16" spans="1:38" s="34" customFormat="1" ht="26.25" customHeight="1" x14ac:dyDescent="0.25">
      <c r="A16" s="61" t="s">
        <v>85</v>
      </c>
      <c r="B16" s="135"/>
      <c r="C16" s="35"/>
      <c r="D16" s="35"/>
      <c r="E16" s="35"/>
      <c r="F16" s="35"/>
      <c r="G16" s="35"/>
      <c r="H16" s="30"/>
      <c r="I16" s="30"/>
      <c r="J16" s="36"/>
    </row>
    <row r="17" spans="1:10" s="1" customFormat="1" ht="26.25" customHeight="1" x14ac:dyDescent="0.25">
      <c r="A17" s="81">
        <v>11</v>
      </c>
      <c r="B17" s="232" t="s">
        <v>190</v>
      </c>
      <c r="C17" s="39">
        <v>1</v>
      </c>
      <c r="D17" s="40">
        <v>1</v>
      </c>
      <c r="E17" s="40"/>
      <c r="F17" s="40"/>
      <c r="G17" s="37"/>
      <c r="H17" s="32">
        <f t="shared" si="0"/>
        <v>0</v>
      </c>
      <c r="I17" s="32">
        <f t="shared" si="1"/>
        <v>1</v>
      </c>
      <c r="J17" s="67"/>
    </row>
    <row r="18" spans="1:10" s="1" customFormat="1" ht="26.25" customHeight="1" x14ac:dyDescent="0.25">
      <c r="A18" s="81">
        <v>12</v>
      </c>
      <c r="B18" s="232" t="s">
        <v>191</v>
      </c>
      <c r="C18" s="39">
        <v>0</v>
      </c>
      <c r="D18" s="40">
        <v>1</v>
      </c>
      <c r="E18" s="40"/>
      <c r="F18" s="40"/>
      <c r="G18" s="37"/>
      <c r="H18" s="32">
        <f t="shared" si="0"/>
        <v>0</v>
      </c>
      <c r="I18" s="32">
        <f t="shared" si="1"/>
        <v>1</v>
      </c>
      <c r="J18" s="67"/>
    </row>
    <row r="19" spans="1:10" s="1" customFormat="1" ht="26.25" customHeight="1" x14ac:dyDescent="0.25">
      <c r="A19" s="81">
        <v>13</v>
      </c>
      <c r="B19" s="232" t="s">
        <v>192</v>
      </c>
      <c r="C19" s="39">
        <v>0</v>
      </c>
      <c r="D19" s="40">
        <v>1</v>
      </c>
      <c r="E19" s="40"/>
      <c r="F19" s="40"/>
      <c r="G19" s="37"/>
      <c r="H19" s="32">
        <f t="shared" si="0"/>
        <v>0</v>
      </c>
      <c r="I19" s="32">
        <f t="shared" si="1"/>
        <v>1</v>
      </c>
      <c r="J19" s="64"/>
    </row>
    <row r="20" spans="1:10" s="1" customFormat="1" ht="26.25" customHeight="1" x14ac:dyDescent="0.25">
      <c r="A20" s="81">
        <v>14</v>
      </c>
      <c r="B20" s="232" t="s">
        <v>193</v>
      </c>
      <c r="C20" s="39">
        <v>1</v>
      </c>
      <c r="D20" s="40">
        <v>1</v>
      </c>
      <c r="E20" s="40"/>
      <c r="F20" s="40"/>
      <c r="G20" s="37"/>
      <c r="H20" s="32">
        <f t="shared" si="0"/>
        <v>0</v>
      </c>
      <c r="I20" s="32">
        <f t="shared" si="1"/>
        <v>1</v>
      </c>
      <c r="J20" s="64"/>
    </row>
    <row r="21" spans="1:10" s="1" customFormat="1" ht="26.25" customHeight="1" x14ac:dyDescent="0.25">
      <c r="A21" s="81">
        <v>15</v>
      </c>
      <c r="B21" s="232" t="s">
        <v>194</v>
      </c>
      <c r="C21" s="39">
        <v>0</v>
      </c>
      <c r="D21" s="40">
        <v>0</v>
      </c>
      <c r="E21" s="40"/>
      <c r="F21" s="40"/>
      <c r="G21" s="37"/>
      <c r="H21" s="32">
        <f t="shared" si="0"/>
        <v>0</v>
      </c>
      <c r="I21" s="32">
        <f t="shared" si="1"/>
        <v>0</v>
      </c>
      <c r="J21" s="63"/>
    </row>
    <row r="22" spans="1:10" s="1" customFormat="1" ht="27.75" customHeight="1" x14ac:dyDescent="0.25">
      <c r="A22" s="81">
        <v>16</v>
      </c>
      <c r="B22" s="232" t="s">
        <v>195</v>
      </c>
      <c r="C22" s="39">
        <v>0</v>
      </c>
      <c r="D22" s="40">
        <v>0</v>
      </c>
      <c r="E22" s="40"/>
      <c r="F22" s="40"/>
      <c r="G22" s="37"/>
      <c r="H22" s="32">
        <f t="shared" si="0"/>
        <v>0</v>
      </c>
      <c r="I22" s="32">
        <f t="shared" si="1"/>
        <v>0</v>
      </c>
      <c r="J22" s="64"/>
    </row>
    <row r="23" spans="1:10" s="1" customFormat="1" ht="72.75" customHeight="1" x14ac:dyDescent="0.25">
      <c r="A23" s="81">
        <v>17</v>
      </c>
      <c r="B23" s="232" t="s">
        <v>196</v>
      </c>
      <c r="C23" s="39">
        <v>90</v>
      </c>
      <c r="D23" s="40">
        <v>90</v>
      </c>
      <c r="E23" s="40"/>
      <c r="F23" s="40">
        <v>4</v>
      </c>
      <c r="G23" s="37">
        <v>2</v>
      </c>
      <c r="H23" s="32">
        <f t="shared" si="0"/>
        <v>6</v>
      </c>
      <c r="I23" s="32">
        <f t="shared" si="1"/>
        <v>84</v>
      </c>
      <c r="J23" s="64" t="s">
        <v>306</v>
      </c>
    </row>
    <row r="24" spans="1:10" s="1" customFormat="1" ht="18" x14ac:dyDescent="0.25">
      <c r="A24" s="81">
        <v>18</v>
      </c>
      <c r="B24" s="232" t="s">
        <v>197</v>
      </c>
      <c r="C24" s="39">
        <v>48</v>
      </c>
      <c r="D24" s="40">
        <v>38</v>
      </c>
      <c r="E24" s="40"/>
      <c r="F24" s="40"/>
      <c r="G24" s="37"/>
      <c r="H24" s="32">
        <f t="shared" si="0"/>
        <v>0</v>
      </c>
      <c r="I24" s="32">
        <f t="shared" si="1"/>
        <v>38</v>
      </c>
      <c r="J24" s="67"/>
    </row>
    <row r="25" spans="1:10" s="1" customFormat="1" ht="23.25" customHeight="1" x14ac:dyDescent="0.25">
      <c r="A25" s="81">
        <v>19</v>
      </c>
      <c r="B25" s="232" t="s">
        <v>198</v>
      </c>
      <c r="C25" s="39">
        <v>0</v>
      </c>
      <c r="D25" s="40">
        <v>0</v>
      </c>
      <c r="E25" s="40"/>
      <c r="F25" s="40"/>
      <c r="G25" s="37"/>
      <c r="H25" s="32">
        <f t="shared" si="0"/>
        <v>0</v>
      </c>
      <c r="I25" s="32">
        <f t="shared" si="1"/>
        <v>0</v>
      </c>
      <c r="J25" s="67"/>
    </row>
    <row r="26" spans="1:10" s="1" customFormat="1" ht="23.25" customHeight="1" x14ac:dyDescent="0.25">
      <c r="A26" s="81">
        <v>20</v>
      </c>
      <c r="B26" s="232" t="s">
        <v>199</v>
      </c>
      <c r="C26" s="39">
        <v>0</v>
      </c>
      <c r="D26" s="40">
        <v>0</v>
      </c>
      <c r="E26" s="40"/>
      <c r="F26" s="40"/>
      <c r="G26" s="37"/>
      <c r="H26" s="32">
        <f t="shared" si="0"/>
        <v>0</v>
      </c>
      <c r="I26" s="32">
        <f t="shared" si="1"/>
        <v>0</v>
      </c>
      <c r="J26" s="67"/>
    </row>
    <row r="27" spans="1:10" s="18" customFormat="1" ht="18" x14ac:dyDescent="0.25">
      <c r="A27" s="81">
        <v>21</v>
      </c>
      <c r="B27" s="232" t="s">
        <v>200</v>
      </c>
      <c r="C27" s="39">
        <v>37</v>
      </c>
      <c r="D27" s="40">
        <v>13</v>
      </c>
      <c r="E27" s="40"/>
      <c r="F27" s="40"/>
      <c r="G27" s="37"/>
      <c r="H27" s="32">
        <f t="shared" si="0"/>
        <v>0</v>
      </c>
      <c r="I27" s="32">
        <f t="shared" si="1"/>
        <v>13</v>
      </c>
      <c r="J27" s="114"/>
    </row>
    <row r="28" spans="1:10" s="18" customFormat="1" ht="31.5" customHeight="1" x14ac:dyDescent="0.25">
      <c r="A28" s="81">
        <v>22</v>
      </c>
      <c r="B28" s="232" t="s">
        <v>201</v>
      </c>
      <c r="C28" s="39">
        <v>0</v>
      </c>
      <c r="D28" s="40">
        <v>0</v>
      </c>
      <c r="E28" s="40"/>
      <c r="F28" s="40"/>
      <c r="G28" s="37"/>
      <c r="H28" s="32">
        <f t="shared" si="0"/>
        <v>0</v>
      </c>
      <c r="I28" s="32">
        <f t="shared" si="1"/>
        <v>0</v>
      </c>
      <c r="J28" s="67"/>
    </row>
    <row r="29" spans="1:10" s="18" customFormat="1" ht="31.5" customHeight="1" x14ac:dyDescent="0.25">
      <c r="A29" s="81">
        <v>23</v>
      </c>
      <c r="B29" s="232" t="s">
        <v>202</v>
      </c>
      <c r="C29" s="39">
        <v>0</v>
      </c>
      <c r="D29" s="40">
        <v>0</v>
      </c>
      <c r="E29" s="40"/>
      <c r="F29" s="40"/>
      <c r="G29" s="37"/>
      <c r="H29" s="32">
        <f t="shared" si="0"/>
        <v>0</v>
      </c>
      <c r="I29" s="32">
        <f t="shared" si="1"/>
        <v>0</v>
      </c>
      <c r="J29" s="67"/>
    </row>
    <row r="30" spans="1:10" s="18" customFormat="1" ht="31.5" customHeight="1" x14ac:dyDescent="0.25">
      <c r="A30" s="81">
        <v>24</v>
      </c>
      <c r="B30" s="232" t="s">
        <v>203</v>
      </c>
      <c r="C30" s="39">
        <v>0</v>
      </c>
      <c r="D30" s="40">
        <v>0</v>
      </c>
      <c r="E30" s="40"/>
      <c r="F30" s="40"/>
      <c r="G30" s="37"/>
      <c r="H30" s="32">
        <f t="shared" si="0"/>
        <v>0</v>
      </c>
      <c r="I30" s="32">
        <f t="shared" si="1"/>
        <v>0</v>
      </c>
      <c r="J30" s="67"/>
    </row>
    <row r="31" spans="1:10" s="18" customFormat="1" ht="31.5" customHeight="1" x14ac:dyDescent="0.25">
      <c r="A31" s="81">
        <v>25</v>
      </c>
      <c r="B31" s="232" t="s">
        <v>204</v>
      </c>
      <c r="C31" s="115">
        <v>0</v>
      </c>
      <c r="D31" s="40">
        <v>2</v>
      </c>
      <c r="E31" s="40"/>
      <c r="F31" s="40"/>
      <c r="G31" s="37"/>
      <c r="H31" s="32">
        <f t="shared" si="0"/>
        <v>0</v>
      </c>
      <c r="I31" s="32">
        <f t="shared" si="1"/>
        <v>2</v>
      </c>
      <c r="J31" s="67"/>
    </row>
    <row r="32" spans="1:10" s="18" customFormat="1" ht="31.5" customHeight="1" x14ac:dyDescent="0.25">
      <c r="A32" s="81">
        <v>26</v>
      </c>
      <c r="B32" s="232" t="s">
        <v>205</v>
      </c>
      <c r="C32" s="115">
        <v>0</v>
      </c>
      <c r="D32" s="40">
        <v>0</v>
      </c>
      <c r="E32" s="40"/>
      <c r="F32" s="40"/>
      <c r="G32" s="37"/>
      <c r="H32" s="32">
        <f t="shared" si="0"/>
        <v>0</v>
      </c>
      <c r="I32" s="32">
        <f t="shared" si="1"/>
        <v>0</v>
      </c>
      <c r="J32" s="67"/>
    </row>
    <row r="33" spans="1:10" s="18" customFormat="1" ht="31.5" customHeight="1" x14ac:dyDescent="0.25">
      <c r="A33" s="81">
        <v>27</v>
      </c>
      <c r="B33" s="232" t="s">
        <v>206</v>
      </c>
      <c r="C33" s="115">
        <v>0</v>
      </c>
      <c r="D33" s="40">
        <v>0</v>
      </c>
      <c r="E33" s="40"/>
      <c r="F33" s="40"/>
      <c r="G33" s="37"/>
      <c r="H33" s="32">
        <f t="shared" si="0"/>
        <v>0</v>
      </c>
      <c r="I33" s="32">
        <f t="shared" si="1"/>
        <v>0</v>
      </c>
      <c r="J33" s="64"/>
    </row>
    <row r="34" spans="1:10" s="1" customFormat="1" ht="36.75" customHeight="1" x14ac:dyDescent="0.25">
      <c r="A34" s="81">
        <v>28</v>
      </c>
      <c r="B34" s="232" t="s">
        <v>207</v>
      </c>
      <c r="C34" s="115">
        <v>0</v>
      </c>
      <c r="D34" s="40">
        <v>0</v>
      </c>
      <c r="E34" s="40"/>
      <c r="F34" s="40"/>
      <c r="G34" s="37"/>
      <c r="H34" s="32">
        <f t="shared" si="0"/>
        <v>0</v>
      </c>
      <c r="I34" s="32">
        <f t="shared" si="1"/>
        <v>0</v>
      </c>
      <c r="J34" s="64"/>
    </row>
    <row r="35" spans="1:10" s="1" customFormat="1" ht="24.75" customHeight="1" x14ac:dyDescent="0.25">
      <c r="A35" s="81">
        <v>29</v>
      </c>
      <c r="B35" s="232" t="s">
        <v>208</v>
      </c>
      <c r="C35" s="116">
        <v>4</v>
      </c>
      <c r="D35" s="40">
        <v>10</v>
      </c>
      <c r="E35" s="40"/>
      <c r="F35" s="40"/>
      <c r="G35" s="37"/>
      <c r="H35" s="32">
        <f t="shared" si="0"/>
        <v>0</v>
      </c>
      <c r="I35" s="32">
        <f t="shared" si="1"/>
        <v>10</v>
      </c>
      <c r="J35" s="64"/>
    </row>
    <row r="36" spans="1:10" s="1" customFormat="1" ht="24.75" customHeight="1" x14ac:dyDescent="0.25">
      <c r="A36" s="81">
        <v>30</v>
      </c>
      <c r="B36" s="232" t="s">
        <v>209</v>
      </c>
      <c r="C36" s="41">
        <v>4</v>
      </c>
      <c r="D36" s="40">
        <v>5</v>
      </c>
      <c r="E36" s="40"/>
      <c r="F36" s="40"/>
      <c r="G36" s="37"/>
      <c r="H36" s="32">
        <f t="shared" si="0"/>
        <v>0</v>
      </c>
      <c r="I36" s="32">
        <f t="shared" si="1"/>
        <v>5</v>
      </c>
      <c r="J36" s="117"/>
    </row>
    <row r="37" spans="1:10" s="62" customFormat="1" ht="24.75" customHeight="1" x14ac:dyDescent="0.25">
      <c r="A37" s="81">
        <v>31</v>
      </c>
      <c r="B37" s="232" t="s">
        <v>210</v>
      </c>
      <c r="C37" s="39">
        <v>0</v>
      </c>
      <c r="D37" s="40">
        <v>0</v>
      </c>
      <c r="E37" s="40"/>
      <c r="F37" s="40"/>
      <c r="G37" s="37"/>
      <c r="H37" s="32">
        <f t="shared" si="0"/>
        <v>0</v>
      </c>
      <c r="I37" s="32">
        <f t="shared" si="1"/>
        <v>0</v>
      </c>
      <c r="J37" s="63"/>
    </row>
    <row r="38" spans="1:10" s="62" customFormat="1" ht="41.25" customHeight="1" x14ac:dyDescent="0.25">
      <c r="A38" s="81">
        <v>32</v>
      </c>
      <c r="B38" s="232" t="s">
        <v>211</v>
      </c>
      <c r="C38" s="39">
        <v>31</v>
      </c>
      <c r="D38" s="40">
        <v>18</v>
      </c>
      <c r="E38" s="40"/>
      <c r="F38" s="40">
        <v>1</v>
      </c>
      <c r="G38" s="37">
        <v>1</v>
      </c>
      <c r="H38" s="32">
        <f t="shared" si="0"/>
        <v>2</v>
      </c>
      <c r="I38" s="32">
        <f t="shared" si="1"/>
        <v>16</v>
      </c>
      <c r="J38" s="118" t="s">
        <v>305</v>
      </c>
    </row>
    <row r="39" spans="1:10" s="62" customFormat="1" ht="24.75" customHeight="1" x14ac:dyDescent="0.25">
      <c r="A39" s="81">
        <v>33</v>
      </c>
      <c r="B39" s="232" t="s">
        <v>212</v>
      </c>
      <c r="C39" s="41">
        <v>0</v>
      </c>
      <c r="D39" s="40">
        <v>0</v>
      </c>
      <c r="E39" s="40"/>
      <c r="F39" s="40"/>
      <c r="G39" s="37"/>
      <c r="H39" s="32">
        <f t="shared" si="0"/>
        <v>0</v>
      </c>
      <c r="I39" s="32">
        <f t="shared" si="1"/>
        <v>0</v>
      </c>
      <c r="J39" s="64"/>
    </row>
    <row r="40" spans="1:10" s="18" customFormat="1" ht="24.75" customHeight="1" x14ac:dyDescent="0.25">
      <c r="A40" s="81">
        <v>34</v>
      </c>
      <c r="B40" s="232" t="s">
        <v>213</v>
      </c>
      <c r="C40" s="24">
        <v>10</v>
      </c>
      <c r="D40" s="42">
        <v>17</v>
      </c>
      <c r="E40" s="43"/>
      <c r="F40" s="43"/>
      <c r="G40" s="37">
        <v>1</v>
      </c>
      <c r="H40" s="32">
        <f t="shared" si="0"/>
        <v>1</v>
      </c>
      <c r="I40" s="32">
        <f t="shared" si="1"/>
        <v>16</v>
      </c>
      <c r="J40" s="65" t="s">
        <v>86</v>
      </c>
    </row>
    <row r="41" spans="1:10" s="18" customFormat="1" ht="24.75" customHeight="1" x14ac:dyDescent="0.25">
      <c r="A41" s="81">
        <v>35</v>
      </c>
      <c r="B41" s="232" t="s">
        <v>214</v>
      </c>
      <c r="C41" s="39">
        <v>55</v>
      </c>
      <c r="D41" s="39">
        <v>61</v>
      </c>
      <c r="E41" s="40"/>
      <c r="F41" s="40"/>
      <c r="G41" s="37"/>
      <c r="H41" s="32">
        <f t="shared" si="0"/>
        <v>0</v>
      </c>
      <c r="I41" s="32">
        <f t="shared" si="1"/>
        <v>61</v>
      </c>
      <c r="J41" s="66"/>
    </row>
    <row r="42" spans="1:10" s="18" customFormat="1" ht="41.25" customHeight="1" x14ac:dyDescent="0.25">
      <c r="A42" s="81">
        <v>36</v>
      </c>
      <c r="B42" s="232" t="s">
        <v>215</v>
      </c>
      <c r="C42" s="39">
        <v>0</v>
      </c>
      <c r="D42" s="39">
        <v>0</v>
      </c>
      <c r="E42" s="40"/>
      <c r="F42" s="40"/>
      <c r="G42" s="37"/>
      <c r="H42" s="32">
        <f t="shared" si="0"/>
        <v>0</v>
      </c>
      <c r="I42" s="32">
        <f t="shared" si="1"/>
        <v>0</v>
      </c>
      <c r="J42" s="67"/>
    </row>
    <row r="43" spans="1:10" s="18" customFormat="1" ht="24.75" customHeight="1" x14ac:dyDescent="0.25">
      <c r="A43" s="81">
        <v>37</v>
      </c>
      <c r="B43" s="232" t="s">
        <v>216</v>
      </c>
      <c r="C43" s="39">
        <v>0</v>
      </c>
      <c r="D43" s="39">
        <v>0</v>
      </c>
      <c r="E43" s="40"/>
      <c r="F43" s="40"/>
      <c r="G43" s="37"/>
      <c r="H43" s="32">
        <f t="shared" si="0"/>
        <v>0</v>
      </c>
      <c r="I43" s="32">
        <f t="shared" si="1"/>
        <v>0</v>
      </c>
      <c r="J43" s="67"/>
    </row>
    <row r="44" spans="1:10" s="18" customFormat="1" ht="24.75" customHeight="1" x14ac:dyDescent="0.25">
      <c r="A44" s="81">
        <v>38</v>
      </c>
      <c r="B44" s="232" t="s">
        <v>217</v>
      </c>
      <c r="C44" s="39">
        <v>2</v>
      </c>
      <c r="D44" s="39">
        <v>4</v>
      </c>
      <c r="E44" s="40"/>
      <c r="F44" s="40"/>
      <c r="G44" s="37"/>
      <c r="H44" s="32">
        <f t="shared" si="0"/>
        <v>0</v>
      </c>
      <c r="I44" s="32">
        <f t="shared" si="1"/>
        <v>4</v>
      </c>
      <c r="J44" s="64"/>
    </row>
    <row r="45" spans="1:10" s="18" customFormat="1" ht="24.75" customHeight="1" x14ac:dyDescent="0.25">
      <c r="A45" s="81">
        <v>39</v>
      </c>
      <c r="B45" s="232" t="s">
        <v>218</v>
      </c>
      <c r="C45" s="39">
        <v>0</v>
      </c>
      <c r="D45" s="39">
        <v>0</v>
      </c>
      <c r="E45" s="40"/>
      <c r="F45" s="40"/>
      <c r="G45" s="37"/>
      <c r="H45" s="32">
        <f t="shared" si="0"/>
        <v>0</v>
      </c>
      <c r="I45" s="32">
        <f t="shared" si="1"/>
        <v>0</v>
      </c>
      <c r="J45" s="64"/>
    </row>
    <row r="46" spans="1:10" s="62" customFormat="1" ht="24.75" customHeight="1" x14ac:dyDescent="0.25">
      <c r="A46" s="81">
        <v>40</v>
      </c>
      <c r="B46" s="232" t="s">
        <v>219</v>
      </c>
      <c r="C46" s="39">
        <v>0</v>
      </c>
      <c r="D46" s="39">
        <v>0</v>
      </c>
      <c r="E46" s="40"/>
      <c r="F46" s="40"/>
      <c r="G46" s="37"/>
      <c r="H46" s="32">
        <f t="shared" si="0"/>
        <v>0</v>
      </c>
      <c r="I46" s="32">
        <f t="shared" si="1"/>
        <v>0</v>
      </c>
      <c r="J46" s="64"/>
    </row>
    <row r="47" spans="1:10" s="1" customFormat="1" ht="24.75" customHeight="1" x14ac:dyDescent="0.25">
      <c r="A47" s="81">
        <v>41</v>
      </c>
      <c r="B47" s="232" t="s">
        <v>220</v>
      </c>
      <c r="C47" s="39">
        <v>0</v>
      </c>
      <c r="D47" s="39">
        <v>6</v>
      </c>
      <c r="E47" s="40"/>
      <c r="F47" s="40"/>
      <c r="G47" s="37"/>
      <c r="H47" s="32">
        <f t="shared" si="0"/>
        <v>0</v>
      </c>
      <c r="I47" s="32">
        <f t="shared" si="1"/>
        <v>6</v>
      </c>
      <c r="J47" s="64"/>
    </row>
    <row r="48" spans="1:10" s="1" customFormat="1" ht="24.75" customHeight="1" x14ac:dyDescent="0.25">
      <c r="A48" s="81">
        <v>42</v>
      </c>
      <c r="B48" s="232" t="s">
        <v>221</v>
      </c>
      <c r="C48" s="39">
        <v>0</v>
      </c>
      <c r="D48" s="39">
        <v>0</v>
      </c>
      <c r="E48" s="40"/>
      <c r="F48" s="40"/>
      <c r="G48" s="37"/>
      <c r="H48" s="32">
        <f t="shared" si="0"/>
        <v>0</v>
      </c>
      <c r="I48" s="32">
        <f t="shared" si="1"/>
        <v>0</v>
      </c>
      <c r="J48" s="64"/>
    </row>
    <row r="49" spans="1:10" s="1" customFormat="1" ht="35.25" customHeight="1" x14ac:dyDescent="0.25">
      <c r="A49" s="81">
        <v>43</v>
      </c>
      <c r="B49" s="232" t="s">
        <v>222</v>
      </c>
      <c r="C49" s="39">
        <v>0</v>
      </c>
      <c r="D49" s="39">
        <v>0</v>
      </c>
      <c r="E49" s="40"/>
      <c r="F49" s="40"/>
      <c r="G49" s="37"/>
      <c r="H49" s="32">
        <f t="shared" si="0"/>
        <v>0</v>
      </c>
      <c r="I49" s="32">
        <f t="shared" si="1"/>
        <v>0</v>
      </c>
      <c r="J49" s="64"/>
    </row>
    <row r="50" spans="1:10" s="1" customFormat="1" ht="35.25" customHeight="1" x14ac:dyDescent="0.25">
      <c r="A50" s="81">
        <v>44</v>
      </c>
      <c r="B50" s="232" t="s">
        <v>223</v>
      </c>
      <c r="C50" s="39">
        <v>0</v>
      </c>
      <c r="D50" s="39">
        <v>0</v>
      </c>
      <c r="E50" s="40"/>
      <c r="F50" s="40"/>
      <c r="G50" s="37"/>
      <c r="H50" s="32">
        <f t="shared" si="0"/>
        <v>0</v>
      </c>
      <c r="I50" s="32">
        <f t="shared" si="1"/>
        <v>0</v>
      </c>
      <c r="J50" s="64"/>
    </row>
    <row r="51" spans="1:10" s="1" customFormat="1" ht="28.5" customHeight="1" x14ac:dyDescent="0.25">
      <c r="A51" s="81">
        <v>45</v>
      </c>
      <c r="B51" s="232" t="s">
        <v>224</v>
      </c>
      <c r="C51" s="39">
        <v>0</v>
      </c>
      <c r="D51" s="39">
        <v>0</v>
      </c>
      <c r="E51" s="40"/>
      <c r="F51" s="40"/>
      <c r="G51" s="37"/>
      <c r="H51" s="32">
        <f t="shared" si="0"/>
        <v>0</v>
      </c>
      <c r="I51" s="32">
        <f t="shared" si="1"/>
        <v>0</v>
      </c>
      <c r="J51" s="64"/>
    </row>
    <row r="52" spans="1:10" s="1" customFormat="1" ht="28.5" customHeight="1" x14ac:dyDescent="0.25">
      <c r="A52" s="81">
        <v>46</v>
      </c>
      <c r="B52" s="232" t="s">
        <v>225</v>
      </c>
      <c r="C52" s="115">
        <v>91</v>
      </c>
      <c r="D52" s="40">
        <v>86</v>
      </c>
      <c r="E52" s="40"/>
      <c r="F52" s="40"/>
      <c r="G52" s="37"/>
      <c r="H52" s="32">
        <f t="shared" si="0"/>
        <v>0</v>
      </c>
      <c r="I52" s="32">
        <f t="shared" si="1"/>
        <v>86</v>
      </c>
      <c r="J52" s="119"/>
    </row>
    <row r="53" spans="1:10" s="1" customFormat="1" ht="33.75" customHeight="1" x14ac:dyDescent="0.25">
      <c r="A53" s="81">
        <v>47</v>
      </c>
      <c r="B53" s="232" t="s">
        <v>226</v>
      </c>
      <c r="C53" s="115">
        <v>6</v>
      </c>
      <c r="D53" s="40">
        <v>10</v>
      </c>
      <c r="E53" s="42"/>
      <c r="F53" s="40"/>
      <c r="G53" s="37"/>
      <c r="H53" s="32">
        <f t="shared" si="0"/>
        <v>0</v>
      </c>
      <c r="I53" s="32">
        <f t="shared" si="1"/>
        <v>10</v>
      </c>
      <c r="J53" s="117"/>
    </row>
    <row r="54" spans="1:10" s="1" customFormat="1" ht="53.25" customHeight="1" x14ac:dyDescent="0.25">
      <c r="A54" s="81">
        <v>48</v>
      </c>
      <c r="B54" s="232" t="s">
        <v>227</v>
      </c>
      <c r="C54" s="115">
        <v>224</v>
      </c>
      <c r="D54" s="40">
        <v>129</v>
      </c>
      <c r="E54" s="40">
        <v>1</v>
      </c>
      <c r="F54" s="40"/>
      <c r="G54" s="37">
        <v>6</v>
      </c>
      <c r="H54" s="32">
        <f t="shared" si="0"/>
        <v>7</v>
      </c>
      <c r="I54" s="32">
        <f t="shared" si="1"/>
        <v>122</v>
      </c>
      <c r="J54" s="67" t="s">
        <v>154</v>
      </c>
    </row>
    <row r="55" spans="1:10" s="1" customFormat="1" ht="35.25" customHeight="1" x14ac:dyDescent="0.25">
      <c r="A55" s="81">
        <v>49</v>
      </c>
      <c r="B55" s="232" t="s">
        <v>228</v>
      </c>
      <c r="C55" s="115">
        <v>27</v>
      </c>
      <c r="D55" s="40">
        <v>16</v>
      </c>
      <c r="E55" s="40"/>
      <c r="F55" s="40"/>
      <c r="G55" s="37">
        <v>1</v>
      </c>
      <c r="H55" s="32">
        <f t="shared" si="0"/>
        <v>1</v>
      </c>
      <c r="I55" s="32">
        <f t="shared" si="1"/>
        <v>15</v>
      </c>
      <c r="J55" s="64" t="s">
        <v>155</v>
      </c>
    </row>
    <row r="56" spans="1:10" s="1" customFormat="1" ht="25.5" customHeight="1" x14ac:dyDescent="0.25">
      <c r="A56" s="81">
        <v>50</v>
      </c>
      <c r="B56" s="232" t="s">
        <v>229</v>
      </c>
      <c r="C56" s="115">
        <v>0</v>
      </c>
      <c r="D56" s="40">
        <v>4</v>
      </c>
      <c r="E56" s="40"/>
      <c r="F56" s="40"/>
      <c r="G56" s="37"/>
      <c r="H56" s="32">
        <f t="shared" si="0"/>
        <v>0</v>
      </c>
      <c r="I56" s="32">
        <f t="shared" si="1"/>
        <v>4</v>
      </c>
      <c r="J56" s="64"/>
    </row>
    <row r="57" spans="1:10" s="73" customFormat="1" ht="25.5" customHeight="1" x14ac:dyDescent="0.25">
      <c r="A57" s="81">
        <v>51</v>
      </c>
      <c r="B57" s="232" t="s">
        <v>230</v>
      </c>
      <c r="C57" s="115">
        <v>4</v>
      </c>
      <c r="D57" s="40">
        <v>3</v>
      </c>
      <c r="E57" s="40"/>
      <c r="F57" s="40"/>
      <c r="G57" s="37"/>
      <c r="H57" s="32">
        <f t="shared" si="0"/>
        <v>0</v>
      </c>
      <c r="I57" s="32">
        <f t="shared" si="1"/>
        <v>3</v>
      </c>
      <c r="J57" s="64"/>
    </row>
    <row r="58" spans="1:10" s="73" customFormat="1" ht="25.5" customHeight="1" x14ac:dyDescent="0.25">
      <c r="A58" s="81">
        <v>52</v>
      </c>
      <c r="B58" s="232" t="s">
        <v>231</v>
      </c>
      <c r="C58" s="115">
        <v>13</v>
      </c>
      <c r="D58" s="40">
        <v>6</v>
      </c>
      <c r="E58" s="40"/>
      <c r="F58" s="40"/>
      <c r="G58" s="37"/>
      <c r="H58" s="32">
        <f t="shared" si="0"/>
        <v>0</v>
      </c>
      <c r="I58" s="32">
        <f t="shared" si="1"/>
        <v>6</v>
      </c>
      <c r="J58" s="64"/>
    </row>
    <row r="59" spans="1:10" s="73" customFormat="1" ht="18" x14ac:dyDescent="0.25">
      <c r="A59" s="81">
        <v>53</v>
      </c>
      <c r="B59" s="232" t="s">
        <v>232</v>
      </c>
      <c r="C59" s="120">
        <v>11</v>
      </c>
      <c r="D59" s="40">
        <v>4</v>
      </c>
      <c r="E59" s="40"/>
      <c r="F59" s="40"/>
      <c r="G59" s="37"/>
      <c r="H59" s="32">
        <f t="shared" si="0"/>
        <v>0</v>
      </c>
      <c r="I59" s="32">
        <f t="shared" si="1"/>
        <v>4</v>
      </c>
      <c r="J59" s="64"/>
    </row>
    <row r="60" spans="1:10" s="1" customFormat="1" ht="25.5" customHeight="1" x14ac:dyDescent="0.25">
      <c r="A60" s="81">
        <v>54</v>
      </c>
      <c r="B60" s="232" t="s">
        <v>233</v>
      </c>
      <c r="C60" s="25"/>
      <c r="D60" s="25"/>
      <c r="E60" s="25"/>
      <c r="F60" s="25"/>
      <c r="G60" s="37"/>
      <c r="H60" s="32">
        <f t="shared" si="0"/>
        <v>0</v>
      </c>
      <c r="I60" s="32">
        <f t="shared" si="1"/>
        <v>0</v>
      </c>
      <c r="J60" s="64"/>
    </row>
    <row r="61" spans="1:10" s="45" customFormat="1" ht="30.75" customHeight="1" x14ac:dyDescent="0.25">
      <c r="A61" s="79" t="s">
        <v>87</v>
      </c>
      <c r="B61" s="135"/>
      <c r="C61" s="44"/>
      <c r="D61" s="44"/>
      <c r="E61" s="44"/>
      <c r="F61" s="44"/>
      <c r="G61" s="35"/>
      <c r="H61" s="30"/>
      <c r="I61" s="30"/>
      <c r="J61" s="36"/>
    </row>
    <row r="62" spans="1:10" s="1" customFormat="1" ht="30.75" customHeight="1" x14ac:dyDescent="0.25">
      <c r="A62" s="58">
        <v>55</v>
      </c>
      <c r="B62" s="233" t="s">
        <v>234</v>
      </c>
      <c r="C62" s="39">
        <v>5</v>
      </c>
      <c r="D62" s="40">
        <v>1</v>
      </c>
      <c r="E62" s="40"/>
      <c r="F62" s="40"/>
      <c r="G62" s="37"/>
      <c r="H62" s="32">
        <f t="shared" si="0"/>
        <v>0</v>
      </c>
      <c r="I62" s="32">
        <f t="shared" si="1"/>
        <v>1</v>
      </c>
      <c r="J62" s="64"/>
    </row>
    <row r="63" spans="1:10" s="1" customFormat="1" ht="30.75" customHeight="1" x14ac:dyDescent="0.25">
      <c r="A63" s="81">
        <v>56</v>
      </c>
      <c r="B63" s="233" t="s">
        <v>235</v>
      </c>
      <c r="C63" s="39">
        <v>4</v>
      </c>
      <c r="D63" s="40">
        <v>97</v>
      </c>
      <c r="E63" s="40"/>
      <c r="F63" s="40"/>
      <c r="G63" s="37">
        <v>2</v>
      </c>
      <c r="H63" s="32">
        <f t="shared" si="0"/>
        <v>2</v>
      </c>
      <c r="I63" s="32">
        <f t="shared" si="1"/>
        <v>95</v>
      </c>
      <c r="J63" s="63" t="s">
        <v>88</v>
      </c>
    </row>
    <row r="64" spans="1:10" s="1" customFormat="1" ht="37.5" customHeight="1" x14ac:dyDescent="0.25">
      <c r="A64" s="58">
        <v>57</v>
      </c>
      <c r="B64" s="233" t="s">
        <v>236</v>
      </c>
      <c r="C64" s="39">
        <v>136</v>
      </c>
      <c r="D64" s="40">
        <v>100</v>
      </c>
      <c r="E64" s="40"/>
      <c r="F64" s="40"/>
      <c r="G64" s="37">
        <v>1</v>
      </c>
      <c r="H64" s="32">
        <f t="shared" si="0"/>
        <v>1</v>
      </c>
      <c r="I64" s="32">
        <f t="shared" si="1"/>
        <v>99</v>
      </c>
      <c r="J64" s="121" t="s">
        <v>89</v>
      </c>
    </row>
    <row r="65" spans="1:10" s="1" customFormat="1" ht="54" x14ac:dyDescent="0.25">
      <c r="A65" s="81">
        <v>58</v>
      </c>
      <c r="B65" s="233" t="s">
        <v>237</v>
      </c>
      <c r="C65" s="24">
        <v>141</v>
      </c>
      <c r="D65" s="42">
        <v>46</v>
      </c>
      <c r="E65" s="42">
        <v>1</v>
      </c>
      <c r="F65" s="42"/>
      <c r="G65" s="37">
        <v>5</v>
      </c>
      <c r="H65" s="32">
        <f t="shared" si="0"/>
        <v>6</v>
      </c>
      <c r="I65" s="32">
        <f t="shared" si="1"/>
        <v>40</v>
      </c>
      <c r="J65" s="122" t="s">
        <v>90</v>
      </c>
    </row>
    <row r="66" spans="1:10" s="1" customFormat="1" ht="30.75" customHeight="1" x14ac:dyDescent="0.25">
      <c r="A66" s="58">
        <v>59</v>
      </c>
      <c r="B66" s="233" t="s">
        <v>238</v>
      </c>
      <c r="C66" s="24">
        <v>37</v>
      </c>
      <c r="D66" s="42">
        <v>5</v>
      </c>
      <c r="E66" s="42"/>
      <c r="F66" s="42"/>
      <c r="G66" s="37">
        <v>2</v>
      </c>
      <c r="H66" s="32">
        <f t="shared" si="0"/>
        <v>2</v>
      </c>
      <c r="I66" s="32">
        <f t="shared" si="1"/>
        <v>3</v>
      </c>
      <c r="J66" s="122" t="s">
        <v>91</v>
      </c>
    </row>
    <row r="67" spans="1:10" s="1" customFormat="1" ht="30.75" customHeight="1" x14ac:dyDescent="0.25">
      <c r="A67" s="81">
        <v>60</v>
      </c>
      <c r="B67" s="233" t="s">
        <v>239</v>
      </c>
      <c r="C67" s="115">
        <v>11</v>
      </c>
      <c r="D67" s="40">
        <v>43</v>
      </c>
      <c r="E67" s="40"/>
      <c r="F67" s="40"/>
      <c r="G67" s="37">
        <v>1</v>
      </c>
      <c r="H67" s="32">
        <f t="shared" si="0"/>
        <v>1</v>
      </c>
      <c r="I67" s="32">
        <f t="shared" si="1"/>
        <v>42</v>
      </c>
      <c r="J67" s="123" t="s">
        <v>92</v>
      </c>
    </row>
    <row r="68" spans="1:10" s="62" customFormat="1" ht="30.75" customHeight="1" x14ac:dyDescent="0.25">
      <c r="A68" s="58">
        <v>61</v>
      </c>
      <c r="B68" s="233" t="s">
        <v>240</v>
      </c>
      <c r="C68" s="115">
        <v>0</v>
      </c>
      <c r="D68" s="40">
        <v>1</v>
      </c>
      <c r="E68" s="40"/>
      <c r="F68" s="40"/>
      <c r="G68" s="37"/>
      <c r="H68" s="32">
        <f t="shared" si="0"/>
        <v>0</v>
      </c>
      <c r="I68" s="32">
        <f t="shared" si="1"/>
        <v>1</v>
      </c>
      <c r="J68" s="123"/>
    </row>
    <row r="69" spans="1:10" ht="30.75" customHeight="1" x14ac:dyDescent="0.25">
      <c r="A69" s="61" t="s">
        <v>93</v>
      </c>
      <c r="B69" s="135"/>
      <c r="C69" s="44"/>
      <c r="D69" s="44"/>
      <c r="E69" s="44"/>
      <c r="F69" s="44"/>
      <c r="G69" s="35"/>
      <c r="H69" s="30"/>
      <c r="I69" s="30"/>
      <c r="J69" s="36"/>
    </row>
    <row r="70" spans="1:10" s="1" customFormat="1" ht="42.75" customHeight="1" x14ac:dyDescent="0.25">
      <c r="A70" s="81">
        <v>62</v>
      </c>
      <c r="B70" s="233" t="s">
        <v>241</v>
      </c>
      <c r="C70" s="39">
        <v>13</v>
      </c>
      <c r="D70" s="40">
        <v>10</v>
      </c>
      <c r="E70" s="40">
        <v>1</v>
      </c>
      <c r="F70" s="40">
        <v>2</v>
      </c>
      <c r="G70" s="37"/>
      <c r="H70" s="32">
        <f t="shared" si="0"/>
        <v>3</v>
      </c>
      <c r="I70" s="32">
        <f t="shared" si="1"/>
        <v>7</v>
      </c>
      <c r="J70" s="67" t="s">
        <v>94</v>
      </c>
    </row>
    <row r="71" spans="1:10" s="1" customFormat="1" ht="107.25" customHeight="1" x14ac:dyDescent="0.25">
      <c r="A71" s="58">
        <v>63</v>
      </c>
      <c r="B71" s="233" t="s">
        <v>242</v>
      </c>
      <c r="C71" s="39">
        <v>99</v>
      </c>
      <c r="D71" s="40">
        <v>100</v>
      </c>
      <c r="E71" s="40">
        <v>4</v>
      </c>
      <c r="F71" s="40"/>
      <c r="G71" s="37">
        <v>2</v>
      </c>
      <c r="H71" s="32">
        <f t="shared" si="0"/>
        <v>6</v>
      </c>
      <c r="I71" s="32">
        <f t="shared" si="1"/>
        <v>94</v>
      </c>
      <c r="J71" s="64" t="s">
        <v>152</v>
      </c>
    </row>
    <row r="72" spans="1:10" s="62" customFormat="1" ht="18" x14ac:dyDescent="0.25">
      <c r="A72" s="81">
        <v>64</v>
      </c>
      <c r="B72" s="233" t="s">
        <v>243</v>
      </c>
      <c r="C72" s="39">
        <v>5</v>
      </c>
      <c r="D72" s="40">
        <v>8</v>
      </c>
      <c r="E72" s="40"/>
      <c r="F72" s="40"/>
      <c r="G72" s="37"/>
      <c r="H72" s="32">
        <f>E72+F72+G72</f>
        <v>0</v>
      </c>
      <c r="I72" s="32">
        <f t="shared" ref="I72:I135" si="2">D72-H72</f>
        <v>8</v>
      </c>
      <c r="J72" s="124"/>
    </row>
    <row r="73" spans="1:10" ht="18" x14ac:dyDescent="0.25">
      <c r="A73" s="79" t="s">
        <v>95</v>
      </c>
      <c r="B73" s="80"/>
      <c r="C73" s="46"/>
      <c r="D73" s="46"/>
      <c r="E73" s="46"/>
      <c r="F73" s="46"/>
      <c r="G73" s="30"/>
      <c r="H73" s="30"/>
      <c r="I73" s="30"/>
      <c r="J73" s="31"/>
    </row>
    <row r="74" spans="1:10" s="1" customFormat="1" ht="60" customHeight="1" x14ac:dyDescent="0.25">
      <c r="A74" s="81">
        <v>65</v>
      </c>
      <c r="B74" s="234" t="s">
        <v>244</v>
      </c>
      <c r="C74" s="39">
        <v>204</v>
      </c>
      <c r="D74" s="40">
        <v>207</v>
      </c>
      <c r="E74" s="40">
        <v>1</v>
      </c>
      <c r="F74" s="40"/>
      <c r="G74" s="37">
        <v>3</v>
      </c>
      <c r="H74" s="32">
        <f t="shared" si="0"/>
        <v>4</v>
      </c>
      <c r="I74" s="32">
        <f t="shared" si="2"/>
        <v>203</v>
      </c>
      <c r="J74" s="64" t="s">
        <v>156</v>
      </c>
    </row>
    <row r="75" spans="1:10" s="1" customFormat="1" ht="57" customHeight="1" x14ac:dyDescent="0.25">
      <c r="A75" s="81">
        <v>66</v>
      </c>
      <c r="B75" s="232" t="s">
        <v>245</v>
      </c>
      <c r="C75" s="39">
        <v>88</v>
      </c>
      <c r="D75" s="40">
        <v>80</v>
      </c>
      <c r="E75" s="40"/>
      <c r="F75" s="40"/>
      <c r="G75" s="37"/>
      <c r="H75" s="32">
        <f t="shared" si="0"/>
        <v>0</v>
      </c>
      <c r="I75" s="32">
        <f t="shared" si="2"/>
        <v>80</v>
      </c>
      <c r="J75" s="121"/>
    </row>
    <row r="76" spans="1:10" s="34" customFormat="1" ht="15.75" customHeight="1" x14ac:dyDescent="0.25">
      <c r="A76" s="61" t="s">
        <v>96</v>
      </c>
      <c r="B76" s="135"/>
      <c r="C76" s="44"/>
      <c r="D76" s="44"/>
      <c r="E76" s="44"/>
      <c r="F76" s="44"/>
      <c r="G76" s="35"/>
      <c r="H76" s="30"/>
      <c r="I76" s="30"/>
      <c r="J76" s="36"/>
    </row>
    <row r="77" spans="1:10" s="1" customFormat="1" ht="35.25" customHeight="1" x14ac:dyDescent="0.25">
      <c r="A77" s="81">
        <v>67</v>
      </c>
      <c r="B77" s="233" t="s">
        <v>246</v>
      </c>
      <c r="C77" s="116">
        <v>119</v>
      </c>
      <c r="D77" s="116">
        <v>99</v>
      </c>
      <c r="E77" s="116"/>
      <c r="F77" s="116"/>
      <c r="G77" s="37">
        <v>1</v>
      </c>
      <c r="H77" s="32">
        <f t="shared" si="0"/>
        <v>1</v>
      </c>
      <c r="I77" s="32">
        <f t="shared" si="2"/>
        <v>98</v>
      </c>
      <c r="J77" s="63" t="s">
        <v>97</v>
      </c>
    </row>
    <row r="78" spans="1:10" s="1" customFormat="1" ht="48.75" customHeight="1" x14ac:dyDescent="0.25">
      <c r="A78" s="58">
        <v>68</v>
      </c>
      <c r="B78" s="233" t="s">
        <v>247</v>
      </c>
      <c r="C78" s="115">
        <v>33</v>
      </c>
      <c r="D78" s="40">
        <v>133</v>
      </c>
      <c r="E78" s="40"/>
      <c r="F78" s="40"/>
      <c r="G78" s="37">
        <v>3</v>
      </c>
      <c r="H78" s="32">
        <f t="shared" si="0"/>
        <v>3</v>
      </c>
      <c r="I78" s="32">
        <f t="shared" si="2"/>
        <v>130</v>
      </c>
      <c r="J78" s="64" t="s">
        <v>98</v>
      </c>
    </row>
    <row r="79" spans="1:10" s="1" customFormat="1" ht="34.5" customHeight="1" x14ac:dyDescent="0.25">
      <c r="A79" s="81">
        <v>69</v>
      </c>
      <c r="B79" s="233" t="s">
        <v>248</v>
      </c>
      <c r="C79" s="47">
        <v>415</v>
      </c>
      <c r="D79" s="40">
        <v>318</v>
      </c>
      <c r="E79" s="40"/>
      <c r="F79" s="40"/>
      <c r="G79" s="37">
        <v>3</v>
      </c>
      <c r="H79" s="32">
        <f t="shared" ref="H79:H137" si="3">E79+F79+G79</f>
        <v>3</v>
      </c>
      <c r="I79" s="32">
        <f t="shared" si="2"/>
        <v>315</v>
      </c>
      <c r="J79" s="63" t="s">
        <v>99</v>
      </c>
    </row>
    <row r="80" spans="1:10" s="1" customFormat="1" ht="26.25" customHeight="1" x14ac:dyDescent="0.25">
      <c r="A80" s="58">
        <v>70</v>
      </c>
      <c r="B80" s="233" t="s">
        <v>249</v>
      </c>
      <c r="C80" s="47">
        <v>2</v>
      </c>
      <c r="D80" s="40">
        <v>21</v>
      </c>
      <c r="E80" s="40"/>
      <c r="F80" s="40"/>
      <c r="G80" s="37"/>
      <c r="H80" s="32">
        <f t="shared" si="3"/>
        <v>0</v>
      </c>
      <c r="I80" s="32">
        <f t="shared" si="2"/>
        <v>21</v>
      </c>
      <c r="J80" s="56"/>
    </row>
    <row r="81" spans="1:38" s="1" customFormat="1" ht="26.25" customHeight="1" x14ac:dyDescent="0.25">
      <c r="A81" s="81">
        <v>71</v>
      </c>
      <c r="B81" s="233" t="s">
        <v>250</v>
      </c>
      <c r="C81" s="47">
        <v>6</v>
      </c>
      <c r="D81" s="40">
        <v>19</v>
      </c>
      <c r="E81" s="40"/>
      <c r="F81" s="40"/>
      <c r="G81" s="37"/>
      <c r="H81" s="32">
        <f t="shared" si="3"/>
        <v>0</v>
      </c>
      <c r="I81" s="32">
        <f t="shared" si="2"/>
        <v>19</v>
      </c>
      <c r="J81" s="68"/>
    </row>
    <row r="82" spans="1:38" s="1" customFormat="1" ht="61.5" customHeight="1" x14ac:dyDescent="0.25">
      <c r="A82" s="58">
        <v>72</v>
      </c>
      <c r="B82" s="233" t="s">
        <v>251</v>
      </c>
      <c r="C82" s="47">
        <v>88</v>
      </c>
      <c r="D82" s="40">
        <v>179</v>
      </c>
      <c r="E82" s="40"/>
      <c r="F82" s="40"/>
      <c r="G82" s="37"/>
      <c r="H82" s="32">
        <f t="shared" si="3"/>
        <v>0</v>
      </c>
      <c r="I82" s="32">
        <f t="shared" si="2"/>
        <v>179</v>
      </c>
      <c r="J82" s="63"/>
    </row>
    <row r="83" spans="1:38" s="1" customFormat="1" ht="36" customHeight="1" x14ac:dyDescent="0.25">
      <c r="A83" s="81">
        <v>73</v>
      </c>
      <c r="B83" s="233" t="s">
        <v>252</v>
      </c>
      <c r="C83" s="47">
        <v>0</v>
      </c>
      <c r="D83" s="40">
        <v>0</v>
      </c>
      <c r="E83" s="40"/>
      <c r="F83" s="40"/>
      <c r="G83" s="37"/>
      <c r="H83" s="32">
        <f t="shared" si="3"/>
        <v>0</v>
      </c>
      <c r="I83" s="32">
        <f t="shared" si="2"/>
        <v>0</v>
      </c>
      <c r="J83" s="53"/>
    </row>
    <row r="84" spans="1:38" s="1" customFormat="1" ht="26.25" customHeight="1" x14ac:dyDescent="0.25">
      <c r="A84" s="58">
        <v>74</v>
      </c>
      <c r="B84" s="233" t="s">
        <v>253</v>
      </c>
      <c r="C84" s="47">
        <v>0</v>
      </c>
      <c r="D84" s="40">
        <v>0</v>
      </c>
      <c r="E84" s="40"/>
      <c r="F84" s="40"/>
      <c r="G84" s="37"/>
      <c r="H84" s="32">
        <f t="shared" si="3"/>
        <v>0</v>
      </c>
      <c r="I84" s="32">
        <f t="shared" si="2"/>
        <v>0</v>
      </c>
      <c r="J84" s="53"/>
    </row>
    <row r="85" spans="1:38" s="62" customFormat="1" ht="26.25" customHeight="1" x14ac:dyDescent="0.25">
      <c r="A85" s="81">
        <v>75</v>
      </c>
      <c r="B85" s="233" t="s">
        <v>254</v>
      </c>
      <c r="C85" s="47">
        <v>3</v>
      </c>
      <c r="D85" s="40">
        <v>8</v>
      </c>
      <c r="E85" s="40"/>
      <c r="F85" s="40"/>
      <c r="G85" s="37"/>
      <c r="H85" s="32">
        <f t="shared" si="3"/>
        <v>0</v>
      </c>
      <c r="I85" s="32">
        <f t="shared" si="2"/>
        <v>8</v>
      </c>
      <c r="J85" s="53"/>
    </row>
    <row r="86" spans="1:38" s="62" customFormat="1" ht="26.25" customHeight="1" x14ac:dyDescent="0.25">
      <c r="A86" s="58">
        <v>76</v>
      </c>
      <c r="B86" s="233" t="s">
        <v>255</v>
      </c>
      <c r="C86" s="47">
        <v>9</v>
      </c>
      <c r="D86" s="40">
        <v>26</v>
      </c>
      <c r="E86" s="40"/>
      <c r="F86" s="40"/>
      <c r="G86" s="37"/>
      <c r="H86" s="32">
        <f t="shared" si="3"/>
        <v>0</v>
      </c>
      <c r="I86" s="32">
        <f t="shared" si="2"/>
        <v>26</v>
      </c>
      <c r="J86" s="53"/>
    </row>
    <row r="87" spans="1:38" s="1" customFormat="1" ht="26.25" customHeight="1" x14ac:dyDescent="0.25">
      <c r="A87" s="81">
        <v>77</v>
      </c>
      <c r="B87" s="233" t="s">
        <v>256</v>
      </c>
      <c r="C87" s="47">
        <v>3</v>
      </c>
      <c r="D87" s="40">
        <v>53</v>
      </c>
      <c r="E87" s="40"/>
      <c r="F87" s="40"/>
      <c r="G87" s="37"/>
      <c r="H87" s="32">
        <f t="shared" si="3"/>
        <v>0</v>
      </c>
      <c r="I87" s="32">
        <f t="shared" si="2"/>
        <v>53</v>
      </c>
      <c r="J87" s="17"/>
    </row>
    <row r="88" spans="1:38" s="1" customFormat="1" ht="35.25" customHeight="1" x14ac:dyDescent="0.25">
      <c r="A88" s="58">
        <v>78</v>
      </c>
      <c r="B88" s="233" t="s">
        <v>257</v>
      </c>
      <c r="C88" s="115">
        <v>4</v>
      </c>
      <c r="D88" s="40">
        <v>150</v>
      </c>
      <c r="E88" s="40"/>
      <c r="F88" s="40"/>
      <c r="G88" s="37"/>
      <c r="H88" s="32">
        <f t="shared" si="3"/>
        <v>0</v>
      </c>
      <c r="I88" s="32">
        <f t="shared" si="2"/>
        <v>150</v>
      </c>
      <c r="J88" s="68"/>
    </row>
    <row r="89" spans="1:38" s="1" customFormat="1" ht="25.5" customHeight="1" x14ac:dyDescent="0.25">
      <c r="A89" s="81">
        <v>79</v>
      </c>
      <c r="B89" s="233" t="s">
        <v>258</v>
      </c>
      <c r="C89" s="47">
        <v>1</v>
      </c>
      <c r="D89" s="40">
        <v>3</v>
      </c>
      <c r="E89" s="40"/>
      <c r="F89" s="40"/>
      <c r="G89" s="37"/>
      <c r="H89" s="32">
        <f t="shared" si="3"/>
        <v>0</v>
      </c>
      <c r="I89" s="32">
        <f t="shared" si="2"/>
        <v>3</v>
      </c>
      <c r="J89" s="69"/>
    </row>
    <row r="90" spans="1:38" s="1" customFormat="1" ht="25.5" customHeight="1" x14ac:dyDescent="0.25">
      <c r="A90" s="58">
        <v>80</v>
      </c>
      <c r="B90" s="233" t="s">
        <v>259</v>
      </c>
      <c r="C90" s="47">
        <v>1</v>
      </c>
      <c r="D90" s="40">
        <v>2</v>
      </c>
      <c r="E90" s="40"/>
      <c r="F90" s="40"/>
      <c r="G90" s="37"/>
      <c r="H90" s="32">
        <f t="shared" si="3"/>
        <v>0</v>
      </c>
      <c r="I90" s="32">
        <f t="shared" si="2"/>
        <v>2</v>
      </c>
      <c r="J90" s="16"/>
    </row>
    <row r="91" spans="1:38" s="1" customFormat="1" ht="25.5" customHeight="1" x14ac:dyDescent="0.25">
      <c r="A91" s="81">
        <v>81</v>
      </c>
      <c r="B91" s="233" t="s">
        <v>260</v>
      </c>
      <c r="C91" s="47">
        <v>0</v>
      </c>
      <c r="D91" s="40">
        <v>2</v>
      </c>
      <c r="E91" s="40"/>
      <c r="F91" s="40"/>
      <c r="G91" s="37"/>
      <c r="H91" s="32">
        <f t="shared" si="3"/>
        <v>0</v>
      </c>
      <c r="I91" s="32">
        <f t="shared" si="2"/>
        <v>2</v>
      </c>
      <c r="J91" s="70"/>
    </row>
    <row r="92" spans="1:38" s="1" customFormat="1" ht="31.5" customHeight="1" x14ac:dyDescent="0.25">
      <c r="A92" s="58">
        <v>82</v>
      </c>
      <c r="B92" s="233" t="s">
        <v>261</v>
      </c>
      <c r="C92" s="47">
        <v>105</v>
      </c>
      <c r="D92" s="40">
        <v>99</v>
      </c>
      <c r="E92" s="40"/>
      <c r="F92" s="40"/>
      <c r="G92" s="37"/>
      <c r="H92" s="32">
        <f t="shared" si="3"/>
        <v>0</v>
      </c>
      <c r="I92" s="32">
        <f t="shared" si="2"/>
        <v>99</v>
      </c>
      <c r="J92" s="9"/>
    </row>
    <row r="93" spans="1:38" s="1" customFormat="1" ht="27" customHeight="1" x14ac:dyDescent="0.25">
      <c r="A93" s="81">
        <v>83</v>
      </c>
      <c r="B93" s="233" t="s">
        <v>262</v>
      </c>
      <c r="C93" s="47">
        <v>0</v>
      </c>
      <c r="D93" s="40">
        <v>0</v>
      </c>
      <c r="E93" s="40"/>
      <c r="F93" s="40"/>
      <c r="G93" s="37"/>
      <c r="H93" s="32">
        <f t="shared" si="3"/>
        <v>0</v>
      </c>
      <c r="I93" s="32">
        <f t="shared" si="2"/>
        <v>0</v>
      </c>
      <c r="J93" s="16"/>
    </row>
    <row r="94" spans="1:38" s="1" customFormat="1" ht="27" customHeight="1" x14ac:dyDescent="0.25">
      <c r="A94" s="58">
        <v>84</v>
      </c>
      <c r="B94" s="233" t="s">
        <v>263</v>
      </c>
      <c r="C94" s="47">
        <v>2</v>
      </c>
      <c r="D94" s="40">
        <v>11</v>
      </c>
      <c r="E94" s="40"/>
      <c r="F94" s="40"/>
      <c r="G94" s="37"/>
      <c r="H94" s="32">
        <f t="shared" si="3"/>
        <v>0</v>
      </c>
      <c r="I94" s="32">
        <f t="shared" si="2"/>
        <v>11</v>
      </c>
      <c r="J94" s="16"/>
    </row>
    <row r="95" spans="1:38" s="1" customFormat="1" ht="27" customHeight="1" x14ac:dyDescent="0.2">
      <c r="A95" s="59" t="s">
        <v>100</v>
      </c>
      <c r="B95" s="21"/>
      <c r="C95" s="48"/>
      <c r="D95" s="48"/>
      <c r="E95" s="48"/>
      <c r="F95" s="48"/>
      <c r="G95" s="49"/>
      <c r="H95" s="3"/>
      <c r="I95" s="3"/>
      <c r="J95" s="71"/>
    </row>
    <row r="96" spans="1:38" s="127" customFormat="1" ht="27" customHeight="1" x14ac:dyDescent="0.25">
      <c r="A96" s="81">
        <v>85</v>
      </c>
      <c r="B96" s="233" t="s">
        <v>264</v>
      </c>
      <c r="C96" s="115">
        <v>17</v>
      </c>
      <c r="D96" s="40">
        <v>14</v>
      </c>
      <c r="E96" s="40">
        <v>1</v>
      </c>
      <c r="F96" s="40"/>
      <c r="G96" s="37"/>
      <c r="H96" s="32">
        <f t="shared" si="3"/>
        <v>1</v>
      </c>
      <c r="I96" s="32">
        <f t="shared" si="2"/>
        <v>13</v>
      </c>
      <c r="J96" s="125" t="s">
        <v>101</v>
      </c>
      <c r="K96" s="126"/>
      <c r="L96" s="126"/>
      <c r="M96" s="126"/>
      <c r="N96" s="126"/>
      <c r="O96" s="126"/>
      <c r="P96" s="126"/>
      <c r="Q96" s="126"/>
      <c r="R96" s="126"/>
      <c r="S96" s="126"/>
      <c r="T96" s="126"/>
      <c r="U96" s="126"/>
      <c r="V96" s="126"/>
      <c r="W96" s="126"/>
      <c r="X96" s="126"/>
      <c r="Y96" s="126"/>
      <c r="Z96" s="126"/>
      <c r="AA96" s="126"/>
      <c r="AB96" s="126"/>
      <c r="AC96" s="126"/>
      <c r="AD96" s="126"/>
      <c r="AE96" s="126"/>
      <c r="AF96" s="126"/>
      <c r="AG96" s="126"/>
      <c r="AH96" s="126"/>
      <c r="AI96" s="126"/>
      <c r="AJ96" s="126"/>
      <c r="AK96" s="126"/>
      <c r="AL96" s="126"/>
    </row>
    <row r="97" spans="1:10" s="1" customFormat="1" ht="55.5" customHeight="1" x14ac:dyDescent="0.25">
      <c r="A97" s="81">
        <v>86</v>
      </c>
      <c r="B97" s="233" t="s">
        <v>265</v>
      </c>
      <c r="C97" s="39">
        <v>14</v>
      </c>
      <c r="D97" s="40">
        <v>6</v>
      </c>
      <c r="E97" s="40"/>
      <c r="F97" s="40"/>
      <c r="G97" s="37"/>
      <c r="H97" s="32">
        <f t="shared" si="3"/>
        <v>0</v>
      </c>
      <c r="I97" s="32">
        <f t="shared" si="2"/>
        <v>6</v>
      </c>
      <c r="J97" s="7"/>
    </row>
    <row r="98" spans="1:10" ht="18" x14ac:dyDescent="0.25">
      <c r="A98" s="61" t="s">
        <v>102</v>
      </c>
      <c r="B98" s="135"/>
      <c r="C98" s="44"/>
      <c r="D98" s="44"/>
      <c r="E98" s="44"/>
      <c r="F98" s="44"/>
      <c r="G98" s="35"/>
      <c r="H98" s="30"/>
      <c r="I98" s="81"/>
      <c r="J98" s="36"/>
    </row>
    <row r="99" spans="1:10" s="1" customFormat="1" ht="28.5" customHeight="1" x14ac:dyDescent="0.25">
      <c r="A99" s="81">
        <v>87</v>
      </c>
      <c r="B99" s="233" t="s">
        <v>266</v>
      </c>
      <c r="C99" s="50">
        <v>1</v>
      </c>
      <c r="D99" s="51">
        <v>16</v>
      </c>
      <c r="E99" s="51">
        <v>0</v>
      </c>
      <c r="F99" s="51"/>
      <c r="G99" s="37"/>
      <c r="H99" s="32">
        <f t="shared" si="3"/>
        <v>0</v>
      </c>
      <c r="I99" s="32">
        <f t="shared" si="2"/>
        <v>16</v>
      </c>
      <c r="J99" s="16"/>
    </row>
    <row r="100" spans="1:10" s="1" customFormat="1" ht="28.5" customHeight="1" x14ac:dyDescent="0.25">
      <c r="A100" s="81">
        <v>88</v>
      </c>
      <c r="B100" s="233" t="s">
        <v>267</v>
      </c>
      <c r="C100" s="50">
        <v>10</v>
      </c>
      <c r="D100" s="51">
        <v>9</v>
      </c>
      <c r="E100" s="51">
        <v>0</v>
      </c>
      <c r="F100" s="51"/>
      <c r="G100" s="37"/>
      <c r="H100" s="32">
        <f t="shared" si="3"/>
        <v>0</v>
      </c>
      <c r="I100" s="32">
        <f t="shared" si="2"/>
        <v>9</v>
      </c>
      <c r="J100" s="16"/>
    </row>
    <row r="101" spans="1:10" s="1" customFormat="1" ht="18" x14ac:dyDescent="0.25">
      <c r="A101" s="81">
        <v>89</v>
      </c>
      <c r="B101" s="233" t="s">
        <v>268</v>
      </c>
      <c r="C101" s="50">
        <v>6</v>
      </c>
      <c r="D101" s="51">
        <v>14</v>
      </c>
      <c r="E101" s="51">
        <v>1</v>
      </c>
      <c r="F101" s="51"/>
      <c r="G101" s="37"/>
      <c r="H101" s="32">
        <f t="shared" si="3"/>
        <v>1</v>
      </c>
      <c r="I101" s="32">
        <f t="shared" si="2"/>
        <v>13</v>
      </c>
      <c r="J101" s="128" t="s">
        <v>153</v>
      </c>
    </row>
    <row r="102" spans="1:10" s="1" customFormat="1" ht="39.75" customHeight="1" x14ac:dyDescent="0.25">
      <c r="A102" s="81">
        <v>90</v>
      </c>
      <c r="B102" s="233" t="s">
        <v>269</v>
      </c>
      <c r="C102" s="50">
        <v>2</v>
      </c>
      <c r="D102" s="40">
        <v>3</v>
      </c>
      <c r="E102" s="40">
        <v>1</v>
      </c>
      <c r="F102" s="40"/>
      <c r="G102" s="37"/>
      <c r="H102" s="32">
        <f t="shared" si="3"/>
        <v>1</v>
      </c>
      <c r="I102" s="32">
        <f t="shared" si="2"/>
        <v>2</v>
      </c>
      <c r="J102" s="65" t="s">
        <v>103</v>
      </c>
    </row>
    <row r="103" spans="1:10" s="1" customFormat="1" ht="28.5" customHeight="1" x14ac:dyDescent="0.25">
      <c r="A103" s="81">
        <v>91</v>
      </c>
      <c r="B103" s="233" t="s">
        <v>270</v>
      </c>
      <c r="C103" s="50">
        <v>1</v>
      </c>
      <c r="D103" s="40">
        <v>2</v>
      </c>
      <c r="E103" s="40"/>
      <c r="F103" s="40"/>
      <c r="G103" s="37"/>
      <c r="H103" s="32">
        <f t="shared" si="3"/>
        <v>0</v>
      </c>
      <c r="I103" s="32">
        <f t="shared" si="2"/>
        <v>2</v>
      </c>
      <c r="J103" s="16"/>
    </row>
    <row r="104" spans="1:10" s="1" customFormat="1" ht="28.5" customHeight="1" x14ac:dyDescent="0.25">
      <c r="A104" s="81">
        <v>92</v>
      </c>
      <c r="B104" s="233" t="s">
        <v>271</v>
      </c>
      <c r="C104" s="50">
        <v>39</v>
      </c>
      <c r="D104" s="40">
        <v>42</v>
      </c>
      <c r="E104" s="40"/>
      <c r="F104" s="40"/>
      <c r="G104" s="37">
        <v>2</v>
      </c>
      <c r="H104" s="32">
        <f t="shared" si="3"/>
        <v>2</v>
      </c>
      <c r="I104" s="32">
        <f t="shared" si="2"/>
        <v>40</v>
      </c>
      <c r="J104" s="16" t="s">
        <v>104</v>
      </c>
    </row>
    <row r="105" spans="1:10" s="1" customFormat="1" ht="39.75" customHeight="1" x14ac:dyDescent="0.25">
      <c r="A105" s="81">
        <v>93</v>
      </c>
      <c r="B105" s="233" t="s">
        <v>272</v>
      </c>
      <c r="C105" s="50">
        <v>0</v>
      </c>
      <c r="D105" s="40">
        <v>3</v>
      </c>
      <c r="E105" s="40"/>
      <c r="F105" s="40"/>
      <c r="G105" s="37"/>
      <c r="H105" s="32">
        <f t="shared" si="3"/>
        <v>0</v>
      </c>
      <c r="I105" s="32">
        <f t="shared" si="2"/>
        <v>3</v>
      </c>
      <c r="J105" s="16"/>
    </row>
    <row r="106" spans="1:10" s="1" customFormat="1" ht="28.5" customHeight="1" x14ac:dyDescent="0.25">
      <c r="A106" s="81">
        <v>94</v>
      </c>
      <c r="B106" s="233" t="s">
        <v>273</v>
      </c>
      <c r="C106" s="26"/>
      <c r="D106" s="52">
        <v>5</v>
      </c>
      <c r="E106" s="25"/>
      <c r="F106" s="25"/>
      <c r="G106" s="37"/>
      <c r="H106" s="32">
        <f t="shared" si="3"/>
        <v>0</v>
      </c>
      <c r="I106" s="32">
        <f t="shared" si="2"/>
        <v>5</v>
      </c>
      <c r="J106" s="7"/>
    </row>
    <row r="107" spans="1:10" s="1" customFormat="1" ht="28.5" customHeight="1" x14ac:dyDescent="0.25">
      <c r="A107" s="81">
        <v>95</v>
      </c>
      <c r="B107" s="233" t="s">
        <v>274</v>
      </c>
      <c r="C107" s="25"/>
      <c r="D107" s="25">
        <v>1</v>
      </c>
      <c r="E107" s="25"/>
      <c r="F107" s="25"/>
      <c r="G107" s="37"/>
      <c r="H107" s="32">
        <f t="shared" si="3"/>
        <v>0</v>
      </c>
      <c r="I107" s="32">
        <f t="shared" si="2"/>
        <v>1</v>
      </c>
      <c r="J107" s="16"/>
    </row>
    <row r="108" spans="1:10" s="1" customFormat="1" ht="28.5" customHeight="1" x14ac:dyDescent="0.25">
      <c r="A108" s="81">
        <v>96</v>
      </c>
      <c r="B108" s="233" t="s">
        <v>275</v>
      </c>
      <c r="C108" s="25"/>
      <c r="D108" s="25"/>
      <c r="E108" s="25"/>
      <c r="F108" s="25"/>
      <c r="G108" s="37"/>
      <c r="H108" s="32">
        <f t="shared" si="3"/>
        <v>0</v>
      </c>
      <c r="I108" s="32">
        <f t="shared" si="2"/>
        <v>0</v>
      </c>
      <c r="J108" s="16"/>
    </row>
    <row r="109" spans="1:10" s="1" customFormat="1" ht="28.5" customHeight="1" x14ac:dyDescent="0.25">
      <c r="A109" s="81">
        <v>97</v>
      </c>
      <c r="B109" s="233" t="s">
        <v>276</v>
      </c>
      <c r="C109" s="25"/>
      <c r="D109" s="25"/>
      <c r="E109" s="25"/>
      <c r="F109" s="25"/>
      <c r="G109" s="37"/>
      <c r="H109" s="32">
        <f t="shared" si="3"/>
        <v>0</v>
      </c>
      <c r="I109" s="32">
        <f t="shared" si="2"/>
        <v>0</v>
      </c>
      <c r="J109" s="16"/>
    </row>
    <row r="110" spans="1:10" s="1" customFormat="1" ht="28.5" customHeight="1" x14ac:dyDescent="0.25">
      <c r="A110" s="81">
        <v>98</v>
      </c>
      <c r="B110" s="233" t="s">
        <v>277</v>
      </c>
      <c r="C110" s="25"/>
      <c r="D110" s="25"/>
      <c r="E110" s="25"/>
      <c r="F110" s="25"/>
      <c r="G110" s="37"/>
      <c r="H110" s="32">
        <f t="shared" si="3"/>
        <v>0</v>
      </c>
      <c r="I110" s="32">
        <f t="shared" si="2"/>
        <v>0</v>
      </c>
      <c r="J110" s="69"/>
    </row>
    <row r="111" spans="1:10" s="73" customFormat="1" ht="18" x14ac:dyDescent="0.25">
      <c r="A111" s="81">
        <v>99</v>
      </c>
      <c r="B111" s="233" t="s">
        <v>278</v>
      </c>
      <c r="C111" s="25"/>
      <c r="D111" s="25"/>
      <c r="E111" s="25"/>
      <c r="F111" s="25"/>
      <c r="G111" s="37"/>
      <c r="H111" s="32">
        <f t="shared" si="3"/>
        <v>0</v>
      </c>
      <c r="I111" s="32">
        <f t="shared" si="2"/>
        <v>0</v>
      </c>
      <c r="J111" s="72"/>
    </row>
    <row r="112" spans="1:10" s="73" customFormat="1" ht="28.5" customHeight="1" x14ac:dyDescent="0.25">
      <c r="A112" s="81">
        <v>100</v>
      </c>
      <c r="B112" s="233" t="s">
        <v>279</v>
      </c>
      <c r="C112" s="25"/>
      <c r="D112" s="25"/>
      <c r="E112" s="25"/>
      <c r="F112" s="25"/>
      <c r="G112" s="37"/>
      <c r="H112" s="32">
        <f t="shared" si="3"/>
        <v>0</v>
      </c>
      <c r="I112" s="32">
        <f t="shared" si="2"/>
        <v>0</v>
      </c>
      <c r="J112" s="74"/>
    </row>
    <row r="113" spans="1:13" s="73" customFormat="1" ht="39" customHeight="1" x14ac:dyDescent="0.25">
      <c r="A113" s="81">
        <v>101</v>
      </c>
      <c r="B113" s="233" t="s">
        <v>280</v>
      </c>
      <c r="C113" s="25"/>
      <c r="D113" s="25"/>
      <c r="E113" s="25"/>
      <c r="F113" s="25"/>
      <c r="G113" s="37"/>
      <c r="H113" s="32">
        <f t="shared" si="3"/>
        <v>0</v>
      </c>
      <c r="I113" s="32">
        <f t="shared" si="2"/>
        <v>0</v>
      </c>
      <c r="J113" s="75"/>
    </row>
    <row r="114" spans="1:13" s="1" customFormat="1" ht="25.5" customHeight="1" x14ac:dyDescent="0.25">
      <c r="A114" s="81">
        <v>102</v>
      </c>
      <c r="B114" s="233" t="s">
        <v>281</v>
      </c>
      <c r="C114" s="25"/>
      <c r="D114" s="25"/>
      <c r="E114" s="25"/>
      <c r="F114" s="25"/>
      <c r="G114" s="37"/>
      <c r="H114" s="32">
        <f t="shared" si="3"/>
        <v>0</v>
      </c>
      <c r="I114" s="32">
        <f t="shared" si="2"/>
        <v>0</v>
      </c>
      <c r="J114" s="16"/>
    </row>
    <row r="115" spans="1:13" s="1" customFormat="1" ht="25.5" customHeight="1" x14ac:dyDescent="0.25">
      <c r="A115" s="81">
        <v>103</v>
      </c>
      <c r="B115" s="233" t="s">
        <v>282</v>
      </c>
      <c r="C115" s="25"/>
      <c r="D115" s="25"/>
      <c r="E115" s="25"/>
      <c r="F115" s="25"/>
      <c r="G115" s="37"/>
      <c r="H115" s="32">
        <f t="shared" si="3"/>
        <v>0</v>
      </c>
      <c r="I115" s="32">
        <f t="shared" si="2"/>
        <v>0</v>
      </c>
      <c r="J115" s="53"/>
    </row>
    <row r="116" spans="1:13" s="1" customFormat="1" ht="25.5" customHeight="1" x14ac:dyDescent="0.25">
      <c r="A116" s="81">
        <v>104</v>
      </c>
      <c r="B116" s="233" t="s">
        <v>283</v>
      </c>
      <c r="C116" s="25"/>
      <c r="D116" s="25"/>
      <c r="E116" s="25"/>
      <c r="F116" s="25"/>
      <c r="G116" s="37"/>
      <c r="H116" s="32">
        <f t="shared" si="3"/>
        <v>0</v>
      </c>
      <c r="I116" s="32">
        <f t="shared" si="2"/>
        <v>0</v>
      </c>
      <c r="J116" s="16"/>
    </row>
    <row r="117" spans="1:13" s="1" customFormat="1" ht="25.5" customHeight="1" x14ac:dyDescent="0.25">
      <c r="A117" s="81">
        <v>105</v>
      </c>
      <c r="B117" s="233" t="s">
        <v>284</v>
      </c>
      <c r="C117" s="25"/>
      <c r="D117" s="25"/>
      <c r="E117" s="25"/>
      <c r="F117" s="25"/>
      <c r="G117" s="37"/>
      <c r="H117" s="32">
        <f t="shared" si="3"/>
        <v>0</v>
      </c>
      <c r="I117" s="32">
        <f t="shared" si="2"/>
        <v>0</v>
      </c>
      <c r="J117" s="53"/>
    </row>
    <row r="118" spans="1:13" s="1" customFormat="1" ht="25.5" customHeight="1" x14ac:dyDescent="0.25">
      <c r="A118" s="81">
        <v>106</v>
      </c>
      <c r="B118" s="233" t="s">
        <v>285</v>
      </c>
      <c r="C118" s="115"/>
      <c r="D118" s="42">
        <v>9</v>
      </c>
      <c r="E118" s="25"/>
      <c r="F118" s="25"/>
      <c r="G118" s="37">
        <v>2</v>
      </c>
      <c r="H118" s="32">
        <f t="shared" si="3"/>
        <v>2</v>
      </c>
      <c r="I118" s="32">
        <f t="shared" si="2"/>
        <v>7</v>
      </c>
      <c r="J118" s="63" t="s">
        <v>105</v>
      </c>
    </row>
    <row r="119" spans="1:13" s="77" customFormat="1" ht="24.95" customHeight="1" x14ac:dyDescent="0.25">
      <c r="A119" s="81">
        <v>107</v>
      </c>
      <c r="B119" s="233" t="s">
        <v>286</v>
      </c>
      <c r="C119" s="25"/>
      <c r="D119" s="25"/>
      <c r="E119" s="25"/>
      <c r="F119" s="25"/>
      <c r="G119" s="37"/>
      <c r="H119" s="32">
        <f t="shared" si="3"/>
        <v>0</v>
      </c>
      <c r="I119" s="32">
        <f t="shared" si="2"/>
        <v>0</v>
      </c>
      <c r="J119" s="76"/>
      <c r="M119" s="78"/>
    </row>
    <row r="120" spans="1:13" s="77" customFormat="1" ht="24.95" customHeight="1" x14ac:dyDescent="0.25">
      <c r="A120" s="37">
        <v>108</v>
      </c>
      <c r="B120" s="233" t="s">
        <v>287</v>
      </c>
      <c r="C120" s="25"/>
      <c r="D120" s="25"/>
      <c r="E120" s="25"/>
      <c r="F120" s="25"/>
      <c r="G120" s="37"/>
      <c r="H120" s="32">
        <f t="shared" si="3"/>
        <v>0</v>
      </c>
      <c r="I120" s="32">
        <f t="shared" si="2"/>
        <v>0</v>
      </c>
      <c r="J120" s="76"/>
      <c r="M120" s="78"/>
    </row>
    <row r="121" spans="1:13" s="77" customFormat="1" ht="24.95" customHeight="1" x14ac:dyDescent="0.25">
      <c r="A121" s="37">
        <v>109</v>
      </c>
      <c r="B121" s="233" t="s">
        <v>288</v>
      </c>
      <c r="C121" s="25"/>
      <c r="D121" s="25"/>
      <c r="E121" s="25"/>
      <c r="F121" s="25"/>
      <c r="G121" s="37"/>
      <c r="H121" s="32">
        <f t="shared" si="3"/>
        <v>0</v>
      </c>
      <c r="I121" s="32">
        <f t="shared" si="2"/>
        <v>0</v>
      </c>
      <c r="J121" s="76"/>
      <c r="M121" s="78"/>
    </row>
    <row r="122" spans="1:13" s="77" customFormat="1" ht="24.95" customHeight="1" x14ac:dyDescent="0.25">
      <c r="A122" s="37">
        <v>110</v>
      </c>
      <c r="B122" s="233" t="s">
        <v>289</v>
      </c>
      <c r="C122" s="25"/>
      <c r="D122" s="25"/>
      <c r="E122" s="25"/>
      <c r="F122" s="25"/>
      <c r="G122" s="37"/>
      <c r="H122" s="32">
        <f t="shared" si="3"/>
        <v>0</v>
      </c>
      <c r="I122" s="32">
        <f t="shared" si="2"/>
        <v>0</v>
      </c>
      <c r="J122" s="76"/>
      <c r="M122" s="78"/>
    </row>
    <row r="123" spans="1:13" s="77" customFormat="1" ht="24.95" customHeight="1" x14ac:dyDescent="0.25">
      <c r="A123" s="37">
        <v>111</v>
      </c>
      <c r="B123" s="233" t="s">
        <v>290</v>
      </c>
      <c r="C123" s="25"/>
      <c r="D123" s="25"/>
      <c r="E123" s="25"/>
      <c r="F123" s="25"/>
      <c r="G123" s="37"/>
      <c r="H123" s="32">
        <f t="shared" si="3"/>
        <v>0</v>
      </c>
      <c r="I123" s="32">
        <f t="shared" si="2"/>
        <v>0</v>
      </c>
      <c r="J123" s="76"/>
      <c r="M123" s="78"/>
    </row>
    <row r="124" spans="1:13" s="77" customFormat="1" ht="24.95" customHeight="1" x14ac:dyDescent="0.25">
      <c r="A124" s="37">
        <v>112</v>
      </c>
      <c r="B124" s="233" t="s">
        <v>291</v>
      </c>
      <c r="C124" s="25"/>
      <c r="D124" s="25"/>
      <c r="E124" s="25"/>
      <c r="F124" s="25"/>
      <c r="G124" s="37"/>
      <c r="H124" s="32">
        <f t="shared" si="3"/>
        <v>0</v>
      </c>
      <c r="I124" s="32">
        <f t="shared" si="2"/>
        <v>0</v>
      </c>
      <c r="J124" s="76"/>
      <c r="M124" s="78"/>
    </row>
    <row r="125" spans="1:13" s="77" customFormat="1" ht="24.95" customHeight="1" x14ac:dyDescent="0.25">
      <c r="A125" s="37">
        <v>113</v>
      </c>
      <c r="B125" s="233" t="s">
        <v>292</v>
      </c>
      <c r="C125" s="25"/>
      <c r="D125" s="25"/>
      <c r="E125" s="25"/>
      <c r="F125" s="25"/>
      <c r="G125" s="37"/>
      <c r="H125" s="32">
        <f t="shared" si="3"/>
        <v>0</v>
      </c>
      <c r="I125" s="32">
        <f t="shared" si="2"/>
        <v>0</v>
      </c>
      <c r="J125" s="76"/>
      <c r="M125" s="78"/>
    </row>
    <row r="126" spans="1:13" s="77" customFormat="1" ht="24.95" customHeight="1" x14ac:dyDescent="0.25">
      <c r="A126" s="37">
        <v>114</v>
      </c>
      <c r="B126" s="233" t="s">
        <v>293</v>
      </c>
      <c r="C126" s="25"/>
      <c r="D126" s="25"/>
      <c r="E126" s="25"/>
      <c r="F126" s="25"/>
      <c r="G126" s="37"/>
      <c r="H126" s="32">
        <f t="shared" si="3"/>
        <v>0</v>
      </c>
      <c r="I126" s="32">
        <f t="shared" si="2"/>
        <v>0</v>
      </c>
      <c r="J126" s="76"/>
      <c r="M126" s="78"/>
    </row>
    <row r="127" spans="1:13" s="77" customFormat="1" ht="24.95" customHeight="1" x14ac:dyDescent="0.25">
      <c r="A127" s="37">
        <v>115</v>
      </c>
      <c r="B127" s="233" t="s">
        <v>294</v>
      </c>
      <c r="C127" s="25"/>
      <c r="D127" s="25"/>
      <c r="E127" s="25"/>
      <c r="F127" s="25"/>
      <c r="G127" s="37"/>
      <c r="H127" s="32">
        <f t="shared" si="3"/>
        <v>0</v>
      </c>
      <c r="I127" s="32">
        <f t="shared" si="2"/>
        <v>0</v>
      </c>
      <c r="J127" s="76"/>
      <c r="M127" s="78"/>
    </row>
    <row r="128" spans="1:13" s="77" customFormat="1" ht="24.95" customHeight="1" x14ac:dyDescent="0.25">
      <c r="A128" s="37">
        <v>116</v>
      </c>
      <c r="B128" s="233" t="s">
        <v>295</v>
      </c>
      <c r="C128" s="25"/>
      <c r="D128" s="25"/>
      <c r="E128" s="25"/>
      <c r="F128" s="25"/>
      <c r="G128" s="37"/>
      <c r="H128" s="32">
        <f t="shared" si="3"/>
        <v>0</v>
      </c>
      <c r="I128" s="32">
        <f t="shared" si="2"/>
        <v>0</v>
      </c>
      <c r="J128" s="76"/>
      <c r="M128" s="78"/>
    </row>
    <row r="129" spans="1:13" s="77" customFormat="1" ht="24.95" customHeight="1" x14ac:dyDescent="0.25">
      <c r="A129" s="37">
        <v>117</v>
      </c>
      <c r="B129" s="233" t="s">
        <v>296</v>
      </c>
      <c r="C129" s="25"/>
      <c r="D129" s="25"/>
      <c r="E129" s="25"/>
      <c r="F129" s="25"/>
      <c r="G129" s="37"/>
      <c r="H129" s="32">
        <f t="shared" si="3"/>
        <v>0</v>
      </c>
      <c r="I129" s="32">
        <f t="shared" si="2"/>
        <v>0</v>
      </c>
      <c r="J129" s="76"/>
      <c r="M129" s="78"/>
    </row>
    <row r="130" spans="1:13" s="77" customFormat="1" ht="24.95" customHeight="1" x14ac:dyDescent="0.25">
      <c r="A130" s="37">
        <v>118</v>
      </c>
      <c r="B130" s="233" t="s">
        <v>297</v>
      </c>
      <c r="C130" s="25"/>
      <c r="D130" s="25"/>
      <c r="E130" s="25"/>
      <c r="F130" s="25"/>
      <c r="G130" s="37"/>
      <c r="H130" s="32">
        <f t="shared" si="3"/>
        <v>0</v>
      </c>
      <c r="I130" s="32">
        <f t="shared" si="2"/>
        <v>0</v>
      </c>
      <c r="J130" s="76"/>
      <c r="M130" s="78"/>
    </row>
    <row r="131" spans="1:13" s="77" customFormat="1" ht="24.95" customHeight="1" x14ac:dyDescent="0.25">
      <c r="A131" s="37">
        <v>119</v>
      </c>
      <c r="B131" s="233" t="s">
        <v>298</v>
      </c>
      <c r="C131" s="25"/>
      <c r="D131" s="25"/>
      <c r="E131" s="25"/>
      <c r="F131" s="25"/>
      <c r="G131" s="37"/>
      <c r="H131" s="32">
        <f t="shared" si="3"/>
        <v>0</v>
      </c>
      <c r="I131" s="32">
        <f t="shared" si="2"/>
        <v>0</v>
      </c>
      <c r="J131" s="76"/>
      <c r="M131" s="78"/>
    </row>
    <row r="132" spans="1:13" s="77" customFormat="1" ht="24.95" customHeight="1" x14ac:dyDescent="0.25">
      <c r="A132" s="37">
        <v>120</v>
      </c>
      <c r="B132" s="233" t="s">
        <v>299</v>
      </c>
      <c r="C132" s="25"/>
      <c r="D132" s="25"/>
      <c r="E132" s="25"/>
      <c r="F132" s="25"/>
      <c r="G132" s="37"/>
      <c r="H132" s="32">
        <f t="shared" si="3"/>
        <v>0</v>
      </c>
      <c r="I132" s="32">
        <f t="shared" si="2"/>
        <v>0</v>
      </c>
      <c r="J132" s="76"/>
      <c r="M132" s="78"/>
    </row>
    <row r="133" spans="1:13" s="77" customFormat="1" ht="24.95" customHeight="1" x14ac:dyDescent="0.25">
      <c r="A133" s="37">
        <v>121</v>
      </c>
      <c r="B133" s="233" t="s">
        <v>300</v>
      </c>
      <c r="C133" s="25"/>
      <c r="D133" s="25"/>
      <c r="E133" s="25"/>
      <c r="F133" s="25"/>
      <c r="G133" s="37"/>
      <c r="H133" s="32">
        <f t="shared" si="3"/>
        <v>0</v>
      </c>
      <c r="I133" s="32">
        <f t="shared" si="2"/>
        <v>0</v>
      </c>
      <c r="J133" s="76"/>
      <c r="M133" s="78"/>
    </row>
    <row r="134" spans="1:13" s="77" customFormat="1" ht="24.95" customHeight="1" x14ac:dyDescent="0.25">
      <c r="A134" s="37">
        <v>122</v>
      </c>
      <c r="B134" s="233" t="s">
        <v>301</v>
      </c>
      <c r="C134" s="25"/>
      <c r="D134" s="25"/>
      <c r="E134" s="25"/>
      <c r="F134" s="25"/>
      <c r="G134" s="37"/>
      <c r="H134" s="32">
        <f t="shared" si="3"/>
        <v>0</v>
      </c>
      <c r="I134" s="32">
        <f t="shared" si="2"/>
        <v>0</v>
      </c>
      <c r="J134" s="76"/>
      <c r="M134" s="78"/>
    </row>
    <row r="135" spans="1:13" s="77" customFormat="1" ht="24.95" customHeight="1" x14ac:dyDescent="0.25">
      <c r="A135" s="37">
        <v>123</v>
      </c>
      <c r="B135" s="233" t="s">
        <v>302</v>
      </c>
      <c r="C135" s="25"/>
      <c r="D135" s="25"/>
      <c r="E135" s="25"/>
      <c r="F135" s="25"/>
      <c r="G135" s="37"/>
      <c r="H135" s="32">
        <f t="shared" si="3"/>
        <v>0</v>
      </c>
      <c r="I135" s="32">
        <f t="shared" si="2"/>
        <v>0</v>
      </c>
      <c r="J135" s="76"/>
      <c r="M135" s="78"/>
    </row>
    <row r="136" spans="1:13" s="77" customFormat="1" ht="24.95" customHeight="1" x14ac:dyDescent="0.25">
      <c r="A136" s="37">
        <v>124</v>
      </c>
      <c r="B136" s="233" t="s">
        <v>303</v>
      </c>
      <c r="C136" s="25"/>
      <c r="D136" s="25"/>
      <c r="E136" s="25"/>
      <c r="F136" s="25"/>
      <c r="G136" s="37"/>
      <c r="H136" s="32">
        <f t="shared" si="3"/>
        <v>0</v>
      </c>
      <c r="I136" s="32">
        <f t="shared" ref="I136:I137" si="4">D136-H136</f>
        <v>0</v>
      </c>
      <c r="J136" s="76"/>
      <c r="M136" s="78"/>
    </row>
    <row r="137" spans="1:13" s="77" customFormat="1" ht="42" customHeight="1" x14ac:dyDescent="0.25">
      <c r="A137" s="37">
        <v>125</v>
      </c>
      <c r="B137" s="233" t="s">
        <v>304</v>
      </c>
      <c r="C137" s="25"/>
      <c r="D137" s="25"/>
      <c r="E137" s="25"/>
      <c r="F137" s="25"/>
      <c r="G137" s="37"/>
      <c r="H137" s="32">
        <f t="shared" si="3"/>
        <v>0</v>
      </c>
      <c r="I137" s="32">
        <f t="shared" si="4"/>
        <v>0</v>
      </c>
      <c r="J137" s="76"/>
      <c r="M137" s="78"/>
    </row>
  </sheetData>
  <mergeCells count="3">
    <mergeCell ref="A1:J1"/>
    <mergeCell ref="C2:D2"/>
    <mergeCell ref="E2:H2"/>
  </mergeCells>
  <pageMargins left="0.70866141732283472" right="0.70866141732283472" top="0.74803149606299213" bottom="0.74803149606299213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2EEF-22EF-45C1-A596-77CF90DFEDA6}">
  <sheetPr>
    <tabColor rgb="FFFF0000"/>
  </sheetPr>
  <dimension ref="A1:AA133"/>
  <sheetViews>
    <sheetView view="pageBreakPreview" zoomScale="90" zoomScaleNormal="100" zoomScaleSheetLayoutView="90" workbookViewId="0">
      <pane ySplit="3" topLeftCell="A4" activePane="bottomLeft" state="frozen"/>
      <selection activeCell="F14" sqref="F14"/>
      <selection pane="bottomLeft" activeCell="J6" sqref="J6"/>
    </sheetView>
  </sheetViews>
  <sheetFormatPr defaultColWidth="9.140625" defaultRowHeight="15" x14ac:dyDescent="0.2"/>
  <cols>
    <col min="1" max="1" width="7.85546875" style="140" customWidth="1"/>
    <col min="2" max="2" width="53" style="1" customWidth="1"/>
    <col min="3" max="3" width="9.85546875" style="129" customWidth="1"/>
    <col min="4" max="4" width="7.85546875" style="129" customWidth="1"/>
    <col min="5" max="5" width="6.7109375" style="129" customWidth="1"/>
    <col min="6" max="7" width="5" style="129" customWidth="1"/>
    <col min="8" max="8" width="12.28515625" style="129" customWidth="1"/>
    <col min="9" max="9" width="9" style="129" customWidth="1"/>
    <col min="10" max="10" width="88.140625" style="129" customWidth="1"/>
    <col min="11" max="27" width="9.140625" style="129" customWidth="1"/>
    <col min="28" max="16384" width="9.140625" style="129"/>
  </cols>
  <sheetData>
    <row r="1" spans="1:27" ht="36.75" customHeight="1" x14ac:dyDescent="0.2">
      <c r="A1" s="255" t="s">
        <v>138</v>
      </c>
      <c r="B1" s="255"/>
      <c r="C1" s="255"/>
      <c r="D1" s="255"/>
      <c r="E1" s="255"/>
      <c r="F1" s="255"/>
      <c r="G1" s="255"/>
      <c r="H1" s="255"/>
      <c r="I1" s="255"/>
      <c r="J1" s="255"/>
    </row>
    <row r="2" spans="1:27" s="20" customFormat="1" ht="47.25" x14ac:dyDescent="0.2">
      <c r="A2" s="130" t="s">
        <v>82</v>
      </c>
      <c r="B2" s="130" t="s">
        <v>21</v>
      </c>
      <c r="C2" s="131" t="s">
        <v>2</v>
      </c>
      <c r="D2" s="131"/>
      <c r="E2" s="256"/>
      <c r="F2" s="256"/>
      <c r="G2" s="256"/>
      <c r="H2" s="130" t="s">
        <v>4</v>
      </c>
      <c r="I2" s="82" t="s">
        <v>45</v>
      </c>
      <c r="J2" s="19" t="s">
        <v>137</v>
      </c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</row>
    <row r="3" spans="1:27" s="20" customFormat="1" ht="69.75" customHeight="1" x14ac:dyDescent="0.2">
      <c r="A3" s="130"/>
      <c r="B3" s="130"/>
      <c r="C3" s="19" t="s">
        <v>12</v>
      </c>
      <c r="D3" s="19" t="s">
        <v>13</v>
      </c>
      <c r="E3" s="82" t="s">
        <v>15</v>
      </c>
      <c r="F3" s="82" t="s">
        <v>23</v>
      </c>
      <c r="G3" s="19" t="s">
        <v>136</v>
      </c>
      <c r="H3" s="13"/>
      <c r="I3" s="131"/>
      <c r="J3" s="131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  <c r="Z3" s="129"/>
      <c r="AA3" s="129"/>
    </row>
    <row r="4" spans="1:27" ht="26.25" customHeight="1" x14ac:dyDescent="0.2">
      <c r="A4" s="81" t="s">
        <v>26</v>
      </c>
      <c r="B4" s="58" t="s">
        <v>27</v>
      </c>
      <c r="C4" s="81" t="s">
        <v>28</v>
      </c>
      <c r="D4" s="81" t="s">
        <v>29</v>
      </c>
      <c r="E4" s="81" t="s">
        <v>30</v>
      </c>
      <c r="F4" s="81" t="s">
        <v>31</v>
      </c>
      <c r="G4" s="81" t="s">
        <v>32</v>
      </c>
      <c r="H4" s="81" t="s">
        <v>33</v>
      </c>
      <c r="I4" s="81" t="s">
        <v>34</v>
      </c>
      <c r="J4" s="81" t="s">
        <v>35</v>
      </c>
    </row>
    <row r="5" spans="1:27" ht="24" customHeight="1" x14ac:dyDescent="0.2">
      <c r="A5" s="257" t="s">
        <v>135</v>
      </c>
      <c r="B5" s="258"/>
      <c r="C5" s="258"/>
      <c r="D5" s="258"/>
      <c r="E5" s="258"/>
      <c r="F5" s="258"/>
      <c r="G5" s="258"/>
      <c r="H5" s="258"/>
      <c r="I5" s="258"/>
      <c r="J5" s="259"/>
    </row>
    <row r="6" spans="1:27" ht="24" customHeight="1" x14ac:dyDescent="0.2">
      <c r="A6" s="127" t="s">
        <v>134</v>
      </c>
      <c r="B6" s="132"/>
      <c r="C6" s="132"/>
      <c r="D6" s="132"/>
      <c r="E6" s="132"/>
      <c r="F6" s="132"/>
      <c r="G6" s="132"/>
      <c r="H6" s="132"/>
      <c r="I6" s="132"/>
      <c r="J6" s="133"/>
    </row>
    <row r="7" spans="1:27" ht="21" customHeight="1" x14ac:dyDescent="0.2">
      <c r="A7" s="58">
        <v>1</v>
      </c>
      <c r="B7" s="235" t="s">
        <v>308</v>
      </c>
      <c r="C7" s="83">
        <v>14</v>
      </c>
      <c r="D7" s="84">
        <v>3</v>
      </c>
      <c r="E7" s="84">
        <v>0</v>
      </c>
      <c r="F7" s="10">
        <v>0</v>
      </c>
      <c r="G7" s="10">
        <v>0</v>
      </c>
      <c r="H7" s="81">
        <f>E7+F7+G7</f>
        <v>0</v>
      </c>
      <c r="I7" s="81">
        <f t="shared" ref="I7:I11" si="0">D7-H7</f>
        <v>3</v>
      </c>
      <c r="J7" s="33"/>
    </row>
    <row r="8" spans="1:27" ht="50.25" customHeight="1" x14ac:dyDescent="0.2">
      <c r="A8" s="81">
        <v>2</v>
      </c>
      <c r="B8" s="235" t="s">
        <v>309</v>
      </c>
      <c r="C8" s="92">
        <v>10</v>
      </c>
      <c r="D8" s="84">
        <v>18</v>
      </c>
      <c r="E8" s="84">
        <v>2</v>
      </c>
      <c r="F8" s="10">
        <v>0</v>
      </c>
      <c r="G8" s="10">
        <v>0</v>
      </c>
      <c r="H8" s="81">
        <f>E8+F8+G8</f>
        <v>2</v>
      </c>
      <c r="I8" s="81">
        <f t="shared" si="0"/>
        <v>16</v>
      </c>
      <c r="J8" s="33" t="s">
        <v>157</v>
      </c>
    </row>
    <row r="9" spans="1:27" ht="20.25" customHeight="1" x14ac:dyDescent="0.2">
      <c r="A9" s="58">
        <v>3</v>
      </c>
      <c r="B9" s="235" t="s">
        <v>310</v>
      </c>
      <c r="C9" s="92">
        <v>1</v>
      </c>
      <c r="D9" s="10">
        <v>1</v>
      </c>
      <c r="E9" s="10">
        <v>0</v>
      </c>
      <c r="F9" s="10">
        <v>0</v>
      </c>
      <c r="G9" s="10">
        <v>0</v>
      </c>
      <c r="H9" s="81">
        <f>E9+F9+G9</f>
        <v>0</v>
      </c>
      <c r="I9" s="81">
        <f t="shared" si="0"/>
        <v>1</v>
      </c>
      <c r="J9" s="33"/>
    </row>
    <row r="10" spans="1:27" ht="63" customHeight="1" x14ac:dyDescent="0.2">
      <c r="A10" s="81">
        <v>4</v>
      </c>
      <c r="B10" s="235" t="s">
        <v>311</v>
      </c>
      <c r="C10" s="92">
        <v>3</v>
      </c>
      <c r="D10" s="10">
        <v>3</v>
      </c>
      <c r="E10" s="10">
        <v>0</v>
      </c>
      <c r="F10" s="10">
        <v>0</v>
      </c>
      <c r="G10" s="10">
        <v>0</v>
      </c>
      <c r="H10" s="81"/>
      <c r="I10" s="81">
        <f t="shared" si="0"/>
        <v>3</v>
      </c>
      <c r="J10" s="106"/>
    </row>
    <row r="11" spans="1:27" ht="20.25" customHeight="1" x14ac:dyDescent="0.2">
      <c r="A11" s="58">
        <v>5</v>
      </c>
      <c r="B11" s="235" t="s">
        <v>312</v>
      </c>
      <c r="C11" s="92">
        <v>23</v>
      </c>
      <c r="D11" s="10">
        <v>20</v>
      </c>
      <c r="E11" s="84">
        <v>0</v>
      </c>
      <c r="F11" s="10">
        <v>0</v>
      </c>
      <c r="G11" s="84">
        <v>1</v>
      </c>
      <c r="H11" s="81">
        <f>E11+F11+G11</f>
        <v>1</v>
      </c>
      <c r="I11" s="81">
        <f t="shared" si="0"/>
        <v>19</v>
      </c>
      <c r="J11" s="16" t="s">
        <v>133</v>
      </c>
    </row>
    <row r="12" spans="1:27" ht="26.25" customHeight="1" x14ac:dyDescent="0.2">
      <c r="A12" s="134" t="s">
        <v>132</v>
      </c>
      <c r="B12" s="135"/>
      <c r="C12" s="136"/>
      <c r="D12" s="136"/>
      <c r="E12" s="136"/>
      <c r="F12" s="136"/>
      <c r="G12" s="136"/>
      <c r="H12" s="135"/>
      <c r="I12" s="135"/>
      <c r="J12" s="137"/>
    </row>
    <row r="13" spans="1:27" ht="23.25" customHeight="1" x14ac:dyDescent="0.2">
      <c r="A13" s="58">
        <v>6</v>
      </c>
      <c r="B13" s="236" t="s">
        <v>313</v>
      </c>
      <c r="C13" s="92">
        <v>0</v>
      </c>
      <c r="D13" s="10">
        <v>1</v>
      </c>
      <c r="E13" s="10">
        <v>0</v>
      </c>
      <c r="F13" s="10">
        <v>0</v>
      </c>
      <c r="G13" s="10">
        <v>0</v>
      </c>
      <c r="H13" s="81">
        <f>E13+F13+G13</f>
        <v>0</v>
      </c>
      <c r="I13" s="81">
        <f>D13-H13</f>
        <v>1</v>
      </c>
      <c r="J13" s="17"/>
    </row>
    <row r="14" spans="1:27" ht="23.25" customHeight="1" x14ac:dyDescent="0.2">
      <c r="A14" s="58">
        <v>7</v>
      </c>
      <c r="B14" s="236" t="s">
        <v>314</v>
      </c>
      <c r="C14" s="92">
        <v>0</v>
      </c>
      <c r="D14" s="84">
        <v>0</v>
      </c>
      <c r="E14" s="10">
        <v>0</v>
      </c>
      <c r="F14" s="10">
        <v>0</v>
      </c>
      <c r="G14" s="10">
        <v>0</v>
      </c>
      <c r="H14" s="81">
        <f>E14+F14+G14</f>
        <v>0</v>
      </c>
      <c r="I14" s="81">
        <f>D14-H14</f>
        <v>0</v>
      </c>
      <c r="J14" s="138"/>
    </row>
    <row r="15" spans="1:27" ht="26.25" customHeight="1" x14ac:dyDescent="0.2">
      <c r="A15" s="134" t="s">
        <v>131</v>
      </c>
      <c r="B15" s="135"/>
      <c r="C15" s="136"/>
      <c r="D15" s="136"/>
      <c r="E15" s="136"/>
      <c r="F15" s="136"/>
      <c r="G15" s="136"/>
      <c r="H15" s="135"/>
      <c r="I15" s="135"/>
      <c r="J15" s="137"/>
    </row>
    <row r="16" spans="1:27" s="140" customFormat="1" ht="26.25" customHeight="1" x14ac:dyDescent="0.25">
      <c r="A16" s="81">
        <v>8</v>
      </c>
      <c r="B16" s="236" t="s">
        <v>315</v>
      </c>
      <c r="C16" s="92">
        <v>25</v>
      </c>
      <c r="D16" s="84">
        <v>23</v>
      </c>
      <c r="E16" s="84">
        <v>3</v>
      </c>
      <c r="F16" s="10">
        <v>0</v>
      </c>
      <c r="G16" s="10">
        <v>0</v>
      </c>
      <c r="H16" s="81">
        <f t="shared" ref="H16:H24" si="1">E16+F16+G16</f>
        <v>3</v>
      </c>
      <c r="I16" s="81">
        <f t="shared" ref="I16:I24" si="2">D16-H16</f>
        <v>20</v>
      </c>
      <c r="J16" s="139" t="s">
        <v>158</v>
      </c>
    </row>
    <row r="17" spans="1:10" ht="15.75" x14ac:dyDescent="0.2">
      <c r="A17" s="81">
        <v>9</v>
      </c>
      <c r="B17" s="236" t="s">
        <v>316</v>
      </c>
      <c r="C17" s="92">
        <v>28</v>
      </c>
      <c r="D17" s="10">
        <v>29</v>
      </c>
      <c r="E17" s="84">
        <v>0</v>
      </c>
      <c r="F17" s="10">
        <v>0</v>
      </c>
      <c r="G17" s="10">
        <v>0</v>
      </c>
      <c r="H17" s="81">
        <f t="shared" si="1"/>
        <v>0</v>
      </c>
      <c r="I17" s="81">
        <f t="shared" si="2"/>
        <v>29</v>
      </c>
      <c r="J17" s="29"/>
    </row>
    <row r="18" spans="1:10" ht="26.25" customHeight="1" x14ac:dyDescent="0.2">
      <c r="A18" s="81">
        <v>10</v>
      </c>
      <c r="B18" s="236" t="s">
        <v>317</v>
      </c>
      <c r="C18" s="92">
        <v>0</v>
      </c>
      <c r="D18" s="10">
        <v>0</v>
      </c>
      <c r="E18" s="10">
        <v>0</v>
      </c>
      <c r="F18" s="10">
        <v>0</v>
      </c>
      <c r="G18" s="10">
        <v>0</v>
      </c>
      <c r="H18" s="81">
        <f t="shared" si="1"/>
        <v>0</v>
      </c>
      <c r="I18" s="81">
        <f t="shared" si="2"/>
        <v>0</v>
      </c>
      <c r="J18" s="37"/>
    </row>
    <row r="19" spans="1:10" ht="34.5" customHeight="1" x14ac:dyDescent="0.2">
      <c r="A19" s="81">
        <v>11</v>
      </c>
      <c r="B19" s="236" t="s">
        <v>318</v>
      </c>
      <c r="C19" s="92">
        <v>7</v>
      </c>
      <c r="D19" s="10">
        <v>2</v>
      </c>
      <c r="E19" s="10">
        <v>0</v>
      </c>
      <c r="F19" s="10">
        <v>0</v>
      </c>
      <c r="G19" s="10">
        <v>0</v>
      </c>
      <c r="H19" s="81">
        <f t="shared" si="1"/>
        <v>0</v>
      </c>
      <c r="I19" s="81">
        <f t="shared" si="2"/>
        <v>2</v>
      </c>
      <c r="J19" s="16"/>
    </row>
    <row r="20" spans="1:10" x14ac:dyDescent="0.2">
      <c r="A20" s="81">
        <v>12</v>
      </c>
      <c r="B20" s="236" t="s">
        <v>319</v>
      </c>
      <c r="C20" s="92">
        <v>5</v>
      </c>
      <c r="D20" s="10">
        <v>7</v>
      </c>
      <c r="E20" s="10">
        <v>0</v>
      </c>
      <c r="F20" s="10">
        <v>0</v>
      </c>
      <c r="G20" s="10">
        <v>0</v>
      </c>
      <c r="H20" s="81">
        <f t="shared" si="1"/>
        <v>0</v>
      </c>
      <c r="I20" s="81">
        <f t="shared" si="2"/>
        <v>7</v>
      </c>
      <c r="J20" s="16"/>
    </row>
    <row r="21" spans="1:10" ht="23.25" customHeight="1" x14ac:dyDescent="0.2">
      <c r="A21" s="81">
        <v>13</v>
      </c>
      <c r="B21" s="236" t="s">
        <v>320</v>
      </c>
      <c r="C21" s="92">
        <v>0</v>
      </c>
      <c r="D21" s="10">
        <v>0</v>
      </c>
      <c r="E21" s="10">
        <v>0</v>
      </c>
      <c r="F21" s="10">
        <v>0</v>
      </c>
      <c r="G21" s="10">
        <v>0</v>
      </c>
      <c r="H21" s="81">
        <f t="shared" si="1"/>
        <v>0</v>
      </c>
      <c r="I21" s="81">
        <f t="shared" si="2"/>
        <v>0</v>
      </c>
      <c r="J21" s="55"/>
    </row>
    <row r="22" spans="1:10" s="141" customFormat="1" ht="37.5" customHeight="1" x14ac:dyDescent="0.25">
      <c r="A22" s="81">
        <v>14</v>
      </c>
      <c r="B22" s="236" t="s">
        <v>321</v>
      </c>
      <c r="C22" s="92">
        <v>6</v>
      </c>
      <c r="D22" s="10">
        <v>11</v>
      </c>
      <c r="E22" s="84">
        <v>3</v>
      </c>
      <c r="F22" s="10">
        <v>0</v>
      </c>
      <c r="G22" s="10">
        <v>0</v>
      </c>
      <c r="H22" s="81">
        <f t="shared" si="1"/>
        <v>3</v>
      </c>
      <c r="I22" s="81">
        <f t="shared" si="2"/>
        <v>8</v>
      </c>
      <c r="J22" s="7" t="s">
        <v>427</v>
      </c>
    </row>
    <row r="23" spans="1:10" s="141" customFormat="1" ht="25.5" customHeight="1" x14ac:dyDescent="0.25">
      <c r="A23" s="81">
        <v>15</v>
      </c>
      <c r="B23" s="236" t="s">
        <v>322</v>
      </c>
      <c r="C23" s="92">
        <v>0</v>
      </c>
      <c r="D23" s="10">
        <v>1</v>
      </c>
      <c r="E23" s="10">
        <v>0</v>
      </c>
      <c r="F23" s="10">
        <v>0</v>
      </c>
      <c r="G23" s="10">
        <v>0</v>
      </c>
      <c r="H23" s="81">
        <f t="shared" si="1"/>
        <v>0</v>
      </c>
      <c r="I23" s="81">
        <f t="shared" si="2"/>
        <v>1</v>
      </c>
      <c r="J23" s="16"/>
    </row>
    <row r="24" spans="1:10" ht="25.5" customHeight="1" x14ac:dyDescent="0.2">
      <c r="A24" s="81">
        <v>16</v>
      </c>
      <c r="B24" s="236" t="s">
        <v>323</v>
      </c>
      <c r="C24" s="92">
        <v>0</v>
      </c>
      <c r="D24" s="84">
        <v>0</v>
      </c>
      <c r="E24" s="10">
        <v>0</v>
      </c>
      <c r="F24" s="10">
        <v>0</v>
      </c>
      <c r="G24" s="10">
        <v>0</v>
      </c>
      <c r="H24" s="81">
        <f t="shared" si="1"/>
        <v>0</v>
      </c>
      <c r="I24" s="81">
        <f t="shared" si="2"/>
        <v>0</v>
      </c>
      <c r="J24" s="142"/>
    </row>
    <row r="25" spans="1:10" ht="15.75" customHeight="1" x14ac:dyDescent="0.2">
      <c r="A25" s="134" t="s">
        <v>130</v>
      </c>
      <c r="B25" s="135"/>
      <c r="C25" s="136"/>
      <c r="D25" s="136"/>
      <c r="E25" s="136"/>
      <c r="F25" s="136"/>
      <c r="G25" s="136"/>
      <c r="H25" s="135"/>
      <c r="I25" s="135"/>
      <c r="J25" s="137"/>
    </row>
    <row r="26" spans="1:10" ht="21.75" customHeight="1" x14ac:dyDescent="0.2">
      <c r="A26" s="58">
        <v>17</v>
      </c>
      <c r="B26" s="232" t="s">
        <v>324</v>
      </c>
      <c r="C26" s="92">
        <v>0</v>
      </c>
      <c r="D26" s="10">
        <v>2</v>
      </c>
      <c r="E26" s="10">
        <v>0</v>
      </c>
      <c r="F26" s="10">
        <v>0</v>
      </c>
      <c r="G26" s="10">
        <v>1</v>
      </c>
      <c r="H26" s="81">
        <f t="shared" ref="H26:H34" si="3">E26+F26+G26</f>
        <v>1</v>
      </c>
      <c r="I26" s="81">
        <f t="shared" ref="I26:I34" si="4">D26-H26</f>
        <v>1</v>
      </c>
      <c r="J26" s="29" t="s">
        <v>129</v>
      </c>
    </row>
    <row r="27" spans="1:10" ht="15.75" x14ac:dyDescent="0.2">
      <c r="A27" s="81">
        <v>18</v>
      </c>
      <c r="B27" s="232" t="s">
        <v>325</v>
      </c>
      <c r="C27" s="92">
        <v>10</v>
      </c>
      <c r="D27" s="10">
        <v>12</v>
      </c>
      <c r="E27" s="84">
        <v>1</v>
      </c>
      <c r="F27" s="10">
        <v>0</v>
      </c>
      <c r="G27" s="10">
        <v>0</v>
      </c>
      <c r="H27" s="81">
        <f t="shared" si="3"/>
        <v>1</v>
      </c>
      <c r="I27" s="81">
        <f t="shared" si="4"/>
        <v>11</v>
      </c>
      <c r="J27" s="16" t="s">
        <v>128</v>
      </c>
    </row>
    <row r="28" spans="1:10" ht="30" x14ac:dyDescent="0.2">
      <c r="A28" s="58">
        <v>19</v>
      </c>
      <c r="B28" s="232" t="s">
        <v>326</v>
      </c>
      <c r="C28" s="92">
        <v>1</v>
      </c>
      <c r="D28" s="10">
        <v>1</v>
      </c>
      <c r="E28" s="84"/>
      <c r="F28" s="10"/>
      <c r="G28" s="10"/>
      <c r="H28" s="81">
        <f t="shared" si="3"/>
        <v>0</v>
      </c>
      <c r="I28" s="81">
        <f t="shared" si="4"/>
        <v>1</v>
      </c>
      <c r="J28" s="16" t="s">
        <v>426</v>
      </c>
    </row>
    <row r="29" spans="1:10" s="3" customFormat="1" ht="51.75" customHeight="1" x14ac:dyDescent="0.25">
      <c r="A29" s="81">
        <v>20</v>
      </c>
      <c r="B29" s="232" t="s">
        <v>327</v>
      </c>
      <c r="C29" s="83">
        <v>24</v>
      </c>
      <c r="D29" s="84">
        <v>13</v>
      </c>
      <c r="E29" s="10">
        <v>0</v>
      </c>
      <c r="F29" s="10">
        <v>0</v>
      </c>
      <c r="G29" s="10">
        <v>0</v>
      </c>
      <c r="H29" s="81">
        <f t="shared" si="3"/>
        <v>0</v>
      </c>
      <c r="I29" s="81">
        <f t="shared" si="4"/>
        <v>13</v>
      </c>
      <c r="J29" s="143"/>
    </row>
    <row r="30" spans="1:10" ht="15.75" x14ac:dyDescent="0.2">
      <c r="A30" s="58">
        <v>21</v>
      </c>
      <c r="B30" s="232" t="s">
        <v>328</v>
      </c>
      <c r="C30" s="83">
        <v>18</v>
      </c>
      <c r="D30" s="84">
        <v>40</v>
      </c>
      <c r="E30" s="10">
        <v>0</v>
      </c>
      <c r="F30" s="10">
        <v>0</v>
      </c>
      <c r="G30" s="10">
        <v>0</v>
      </c>
      <c r="H30" s="81">
        <f t="shared" si="3"/>
        <v>0</v>
      </c>
      <c r="I30" s="81">
        <f t="shared" si="4"/>
        <v>40</v>
      </c>
      <c r="J30" s="104"/>
    </row>
    <row r="31" spans="1:10" ht="21" customHeight="1" x14ac:dyDescent="0.2">
      <c r="A31" s="81">
        <v>22</v>
      </c>
      <c r="B31" s="232" t="s">
        <v>329</v>
      </c>
      <c r="C31" s="92">
        <v>2</v>
      </c>
      <c r="D31" s="10">
        <v>1</v>
      </c>
      <c r="E31" s="10">
        <v>0</v>
      </c>
      <c r="F31" s="10">
        <v>0</v>
      </c>
      <c r="G31" s="10">
        <v>0</v>
      </c>
      <c r="H31" s="81">
        <f t="shared" si="3"/>
        <v>0</v>
      </c>
      <c r="I31" s="81">
        <f t="shared" si="4"/>
        <v>1</v>
      </c>
      <c r="J31" s="53"/>
    </row>
    <row r="32" spans="1:10" ht="21" customHeight="1" x14ac:dyDescent="0.2">
      <c r="A32" s="58">
        <v>23</v>
      </c>
      <c r="B32" s="232" t="s">
        <v>330</v>
      </c>
      <c r="C32" s="92">
        <v>24</v>
      </c>
      <c r="D32" s="84">
        <v>18</v>
      </c>
      <c r="E32" s="10">
        <v>0</v>
      </c>
      <c r="F32" s="10">
        <v>0</v>
      </c>
      <c r="G32" s="10">
        <v>0</v>
      </c>
      <c r="H32" s="81">
        <f t="shared" si="3"/>
        <v>0</v>
      </c>
      <c r="I32" s="81">
        <f t="shared" si="4"/>
        <v>18</v>
      </c>
      <c r="J32" s="53"/>
    </row>
    <row r="33" spans="1:10" ht="21" customHeight="1" x14ac:dyDescent="0.2">
      <c r="A33" s="81">
        <v>24</v>
      </c>
      <c r="B33" s="232" t="s">
        <v>331</v>
      </c>
      <c r="C33" s="92">
        <v>0</v>
      </c>
      <c r="D33" s="84">
        <v>6</v>
      </c>
      <c r="E33" s="10">
        <v>0</v>
      </c>
      <c r="F33" s="10">
        <v>0</v>
      </c>
      <c r="G33" s="10">
        <v>0</v>
      </c>
      <c r="H33" s="81">
        <f t="shared" si="3"/>
        <v>0</v>
      </c>
      <c r="I33" s="81">
        <f t="shared" si="4"/>
        <v>6</v>
      </c>
      <c r="J33" s="144"/>
    </row>
    <row r="34" spans="1:10" s="141" customFormat="1" ht="15.75" x14ac:dyDescent="0.25">
      <c r="A34" s="58">
        <v>25</v>
      </c>
      <c r="B34" s="232" t="s">
        <v>332</v>
      </c>
      <c r="C34" s="92">
        <v>3</v>
      </c>
      <c r="D34" s="84">
        <v>11</v>
      </c>
      <c r="E34" s="10">
        <v>0</v>
      </c>
      <c r="F34" s="10">
        <v>0</v>
      </c>
      <c r="G34" s="10">
        <v>0</v>
      </c>
      <c r="H34" s="81">
        <f t="shared" si="3"/>
        <v>0</v>
      </c>
      <c r="I34" s="81">
        <f t="shared" si="4"/>
        <v>11</v>
      </c>
      <c r="J34" s="16"/>
    </row>
    <row r="35" spans="1:10" ht="15.75" customHeight="1" x14ac:dyDescent="0.2">
      <c r="A35" s="134" t="s">
        <v>127</v>
      </c>
      <c r="B35" s="236"/>
      <c r="C35" s="136"/>
      <c r="D35" s="136"/>
      <c r="E35" s="136"/>
      <c r="F35" s="136"/>
      <c r="G35" s="136"/>
      <c r="H35" s="135"/>
      <c r="I35" s="135"/>
      <c r="J35" s="137"/>
    </row>
    <row r="36" spans="1:10" x14ac:dyDescent="0.2">
      <c r="A36" s="58">
        <v>26</v>
      </c>
      <c r="B36" s="236" t="s">
        <v>333</v>
      </c>
      <c r="C36" s="92">
        <v>12</v>
      </c>
      <c r="D36" s="10">
        <v>12</v>
      </c>
      <c r="E36" s="10">
        <v>0</v>
      </c>
      <c r="F36" s="10">
        <v>0</v>
      </c>
      <c r="G36" s="10">
        <v>0</v>
      </c>
      <c r="H36" s="81">
        <f>E36+F36+G36</f>
        <v>0</v>
      </c>
      <c r="I36" s="81">
        <f>D36-H36</f>
        <v>12</v>
      </c>
      <c r="J36" s="16"/>
    </row>
    <row r="37" spans="1:10" ht="15.75" x14ac:dyDescent="0.2">
      <c r="A37" s="58">
        <v>27</v>
      </c>
      <c r="B37" s="236" t="s">
        <v>334</v>
      </c>
      <c r="C37" s="92">
        <v>4</v>
      </c>
      <c r="D37" s="10">
        <v>4</v>
      </c>
      <c r="E37" s="10">
        <v>0</v>
      </c>
      <c r="F37" s="10">
        <v>0</v>
      </c>
      <c r="G37" s="10">
        <v>0</v>
      </c>
      <c r="H37" s="81">
        <f>E37+F37+G37</f>
        <v>0</v>
      </c>
      <c r="I37" s="81">
        <f>D37-H37</f>
        <v>4</v>
      </c>
      <c r="J37" s="55"/>
    </row>
    <row r="38" spans="1:10" ht="24.75" customHeight="1" x14ac:dyDescent="0.2">
      <c r="A38" s="58">
        <v>28</v>
      </c>
      <c r="B38" s="236" t="s">
        <v>335</v>
      </c>
      <c r="C38" s="92">
        <v>2</v>
      </c>
      <c r="D38" s="10">
        <v>2</v>
      </c>
      <c r="E38" s="10">
        <v>0</v>
      </c>
      <c r="F38" s="10">
        <v>0</v>
      </c>
      <c r="G38" s="10">
        <v>0</v>
      </c>
      <c r="H38" s="81">
        <f>E38+F38+G38</f>
        <v>0</v>
      </c>
      <c r="I38" s="81">
        <f>D38-H38</f>
        <v>2</v>
      </c>
      <c r="J38" s="37"/>
    </row>
    <row r="39" spans="1:10" ht="15.75" x14ac:dyDescent="0.2">
      <c r="A39" s="134" t="s">
        <v>126</v>
      </c>
      <c r="B39" s="129"/>
      <c r="C39" s="136"/>
      <c r="D39" s="136"/>
      <c r="E39" s="136"/>
      <c r="F39" s="136"/>
      <c r="G39" s="136"/>
      <c r="H39" s="135"/>
      <c r="I39" s="135"/>
      <c r="J39" s="137"/>
    </row>
    <row r="40" spans="1:10" ht="15.75" x14ac:dyDescent="0.2">
      <c r="A40" s="81">
        <v>29</v>
      </c>
      <c r="B40" s="236" t="s">
        <v>336</v>
      </c>
      <c r="C40" s="92">
        <v>4</v>
      </c>
      <c r="D40" s="84">
        <v>16</v>
      </c>
      <c r="E40" s="10">
        <v>0</v>
      </c>
      <c r="F40" s="10">
        <v>0</v>
      </c>
      <c r="G40" s="10">
        <v>0</v>
      </c>
      <c r="H40" s="81">
        <f t="shared" ref="H40:H49" si="5">E40+F40+G40</f>
        <v>0</v>
      </c>
      <c r="I40" s="81">
        <f t="shared" ref="I40:I49" si="6">D40-H40</f>
        <v>16</v>
      </c>
      <c r="J40" s="37"/>
    </row>
    <row r="41" spans="1:10" ht="15.75" x14ac:dyDescent="0.2">
      <c r="A41" s="81">
        <v>30</v>
      </c>
      <c r="B41" s="236" t="s">
        <v>337</v>
      </c>
      <c r="C41" s="92">
        <v>9</v>
      </c>
      <c r="D41" s="84">
        <v>0</v>
      </c>
      <c r="E41" s="10">
        <v>0</v>
      </c>
      <c r="F41" s="10">
        <v>0</v>
      </c>
      <c r="G41" s="10">
        <v>0</v>
      </c>
      <c r="H41" s="81">
        <f t="shared" si="5"/>
        <v>0</v>
      </c>
      <c r="I41" s="81">
        <f t="shared" si="6"/>
        <v>0</v>
      </c>
      <c r="J41" s="55"/>
    </row>
    <row r="42" spans="1:10" ht="15.75" x14ac:dyDescent="0.2">
      <c r="A42" s="81">
        <v>31</v>
      </c>
      <c r="B42" s="236" t="s">
        <v>338</v>
      </c>
      <c r="C42" s="92">
        <v>15</v>
      </c>
      <c r="D42" s="84">
        <v>0</v>
      </c>
      <c r="E42" s="10">
        <v>0</v>
      </c>
      <c r="F42" s="10">
        <v>0</v>
      </c>
      <c r="G42" s="10">
        <v>0</v>
      </c>
      <c r="H42" s="81">
        <f t="shared" si="5"/>
        <v>0</v>
      </c>
      <c r="I42" s="81">
        <f t="shared" si="6"/>
        <v>0</v>
      </c>
      <c r="J42" s="55"/>
    </row>
    <row r="43" spans="1:10" x14ac:dyDescent="0.2">
      <c r="A43" s="81">
        <v>32</v>
      </c>
      <c r="B43" s="236" t="s">
        <v>339</v>
      </c>
      <c r="C43" s="92">
        <v>40</v>
      </c>
      <c r="D43" s="10">
        <v>27</v>
      </c>
      <c r="E43" s="10">
        <v>0</v>
      </c>
      <c r="F43" s="10">
        <v>0</v>
      </c>
      <c r="G43" s="10">
        <v>0</v>
      </c>
      <c r="H43" s="81">
        <f t="shared" si="5"/>
        <v>0</v>
      </c>
      <c r="I43" s="81">
        <f t="shared" si="6"/>
        <v>27</v>
      </c>
      <c r="J43" s="143"/>
    </row>
    <row r="44" spans="1:10" ht="20.25" customHeight="1" x14ac:dyDescent="0.2">
      <c r="A44" s="81">
        <v>33</v>
      </c>
      <c r="B44" s="236" t="s">
        <v>340</v>
      </c>
      <c r="C44" s="92">
        <v>36</v>
      </c>
      <c r="D44" s="10">
        <v>80</v>
      </c>
      <c r="E44" s="10">
        <v>0</v>
      </c>
      <c r="F44" s="10">
        <v>0</v>
      </c>
      <c r="G44" s="145">
        <v>0</v>
      </c>
      <c r="H44" s="81">
        <f t="shared" si="5"/>
        <v>0</v>
      </c>
      <c r="I44" s="81">
        <f t="shared" si="6"/>
        <v>80</v>
      </c>
      <c r="J44" s="7"/>
    </row>
    <row r="45" spans="1:10" ht="15.75" x14ac:dyDescent="0.2">
      <c r="A45" s="81">
        <v>34</v>
      </c>
      <c r="B45" s="236" t="s">
        <v>341</v>
      </c>
      <c r="C45" s="92">
        <v>0</v>
      </c>
      <c r="D45" s="84">
        <v>11</v>
      </c>
      <c r="E45" s="10">
        <v>0</v>
      </c>
      <c r="F45" s="10">
        <v>0</v>
      </c>
      <c r="G45" s="145">
        <v>0</v>
      </c>
      <c r="H45" s="81">
        <f t="shared" si="5"/>
        <v>0</v>
      </c>
      <c r="I45" s="81">
        <f t="shared" si="6"/>
        <v>11</v>
      </c>
      <c r="J45" s="55"/>
    </row>
    <row r="46" spans="1:10" x14ac:dyDescent="0.2">
      <c r="A46" s="81">
        <v>35</v>
      </c>
      <c r="B46" s="236" t="s">
        <v>342</v>
      </c>
      <c r="C46" s="92">
        <v>40</v>
      </c>
      <c r="D46" s="10">
        <v>2</v>
      </c>
      <c r="E46" s="10">
        <v>0</v>
      </c>
      <c r="F46" s="10">
        <v>0</v>
      </c>
      <c r="G46" s="145">
        <v>0</v>
      </c>
      <c r="H46" s="81">
        <f t="shared" si="5"/>
        <v>0</v>
      </c>
      <c r="I46" s="81">
        <f t="shared" si="6"/>
        <v>2</v>
      </c>
      <c r="J46" s="37"/>
    </row>
    <row r="47" spans="1:10" ht="15.75" x14ac:dyDescent="0.2">
      <c r="A47" s="81">
        <v>36</v>
      </c>
      <c r="B47" s="236" t="s">
        <v>343</v>
      </c>
      <c r="C47" s="92">
        <v>7</v>
      </c>
      <c r="D47" s="84">
        <v>4</v>
      </c>
      <c r="E47" s="10">
        <v>0</v>
      </c>
      <c r="F47" s="10">
        <v>0</v>
      </c>
      <c r="G47" s="145">
        <v>0</v>
      </c>
      <c r="H47" s="81">
        <f t="shared" si="5"/>
        <v>0</v>
      </c>
      <c r="I47" s="81">
        <f t="shared" si="6"/>
        <v>4</v>
      </c>
      <c r="J47" s="37"/>
    </row>
    <row r="48" spans="1:10" x14ac:dyDescent="0.2">
      <c r="A48" s="81">
        <v>37</v>
      </c>
      <c r="B48" s="236" t="s">
        <v>344</v>
      </c>
      <c r="C48" s="92">
        <v>0</v>
      </c>
      <c r="D48" s="10">
        <v>0</v>
      </c>
      <c r="E48" s="10">
        <v>0</v>
      </c>
      <c r="F48" s="10">
        <v>0</v>
      </c>
      <c r="G48" s="145">
        <v>0</v>
      </c>
      <c r="H48" s="81">
        <f t="shared" si="5"/>
        <v>0</v>
      </c>
      <c r="I48" s="81">
        <f t="shared" si="6"/>
        <v>0</v>
      </c>
      <c r="J48" s="37"/>
    </row>
    <row r="49" spans="1:10" ht="15.75" x14ac:dyDescent="0.2">
      <c r="A49" s="81">
        <v>38</v>
      </c>
      <c r="B49" s="236" t="s">
        <v>345</v>
      </c>
      <c r="C49" s="92">
        <v>0</v>
      </c>
      <c r="D49" s="10">
        <v>0</v>
      </c>
      <c r="E49" s="10">
        <v>0</v>
      </c>
      <c r="F49" s="10">
        <v>0</v>
      </c>
      <c r="G49" s="145">
        <v>0</v>
      </c>
      <c r="H49" s="81">
        <f t="shared" si="5"/>
        <v>0</v>
      </c>
      <c r="I49" s="81">
        <f t="shared" si="6"/>
        <v>0</v>
      </c>
      <c r="J49" s="55"/>
    </row>
    <row r="50" spans="1:10" ht="15.75" x14ac:dyDescent="0.2">
      <c r="A50" s="135" t="s">
        <v>125</v>
      </c>
      <c r="B50" s="129"/>
      <c r="C50" s="136"/>
      <c r="D50" s="136"/>
      <c r="E50" s="136"/>
      <c r="F50" s="136"/>
      <c r="G50" s="136"/>
      <c r="H50" s="135"/>
      <c r="I50" s="135"/>
      <c r="J50" s="136"/>
    </row>
    <row r="51" spans="1:10" ht="30" x14ac:dyDescent="0.2">
      <c r="A51" s="81">
        <v>39</v>
      </c>
      <c r="B51" s="236" t="s">
        <v>346</v>
      </c>
      <c r="C51" s="83">
        <v>6</v>
      </c>
      <c r="D51" s="84">
        <v>12</v>
      </c>
      <c r="E51" s="10">
        <v>0</v>
      </c>
      <c r="F51" s="10">
        <v>0</v>
      </c>
      <c r="G51" s="10">
        <v>6</v>
      </c>
      <c r="H51" s="81">
        <f>E51+F51+G51</f>
        <v>6</v>
      </c>
      <c r="I51" s="81">
        <f>D51-H51</f>
        <v>6</v>
      </c>
      <c r="J51" s="16" t="s">
        <v>425</v>
      </c>
    </row>
    <row r="52" spans="1:10" x14ac:dyDescent="0.2">
      <c r="A52" s="81">
        <v>40</v>
      </c>
      <c r="B52" s="236" t="s">
        <v>347</v>
      </c>
      <c r="C52" s="92">
        <v>0</v>
      </c>
      <c r="D52" s="10">
        <v>0</v>
      </c>
      <c r="E52" s="10">
        <v>0</v>
      </c>
      <c r="F52" s="10">
        <v>0</v>
      </c>
      <c r="G52" s="10">
        <v>0</v>
      </c>
      <c r="H52" s="81">
        <f>E52+F52+G52</f>
        <v>0</v>
      </c>
      <c r="I52" s="81">
        <f>D52-H52</f>
        <v>0</v>
      </c>
      <c r="J52" s="37"/>
    </row>
    <row r="53" spans="1:10" ht="15.75" x14ac:dyDescent="0.2">
      <c r="A53" s="135" t="s">
        <v>124</v>
      </c>
      <c r="B53" s="129"/>
      <c r="C53" s="136"/>
      <c r="D53" s="136"/>
      <c r="E53" s="136"/>
      <c r="F53" s="136"/>
      <c r="G53" s="136"/>
      <c r="H53" s="135"/>
      <c r="I53" s="135"/>
      <c r="J53" s="136"/>
    </row>
    <row r="54" spans="1:10" ht="15.75" x14ac:dyDescent="0.2">
      <c r="A54" s="81">
        <v>41</v>
      </c>
      <c r="B54" s="237" t="s">
        <v>348</v>
      </c>
      <c r="C54" s="83">
        <v>7</v>
      </c>
      <c r="D54" s="84">
        <v>10</v>
      </c>
      <c r="E54" s="10">
        <v>0</v>
      </c>
      <c r="F54" s="10">
        <v>0</v>
      </c>
      <c r="G54" s="10">
        <v>0</v>
      </c>
      <c r="H54" s="81">
        <f t="shared" ref="H54:H63" si="7">E54+F54+G54</f>
        <v>0</v>
      </c>
      <c r="I54" s="81">
        <f t="shared" ref="I54:I63" si="8">D54-H54</f>
        <v>10</v>
      </c>
      <c r="J54" s="146"/>
    </row>
    <row r="55" spans="1:10" ht="15.75" x14ac:dyDescent="0.2">
      <c r="A55" s="81">
        <v>42</v>
      </c>
      <c r="B55" s="237" t="s">
        <v>349</v>
      </c>
      <c r="C55" s="83">
        <v>43</v>
      </c>
      <c r="D55" s="84">
        <v>37</v>
      </c>
      <c r="E55" s="10">
        <v>0</v>
      </c>
      <c r="F55" s="10">
        <v>0</v>
      </c>
      <c r="G55" s="10">
        <v>0</v>
      </c>
      <c r="H55" s="81">
        <f t="shared" si="7"/>
        <v>0</v>
      </c>
      <c r="I55" s="81">
        <f t="shared" si="8"/>
        <v>37</v>
      </c>
      <c r="J55" s="16"/>
    </row>
    <row r="56" spans="1:10" ht="15.75" x14ac:dyDescent="0.2">
      <c r="A56" s="81">
        <v>43</v>
      </c>
      <c r="B56" s="237" t="s">
        <v>350</v>
      </c>
      <c r="C56" s="83">
        <v>15</v>
      </c>
      <c r="D56" s="84">
        <v>11</v>
      </c>
      <c r="E56" s="10">
        <v>0</v>
      </c>
      <c r="F56" s="10">
        <v>0</v>
      </c>
      <c r="G56" s="10">
        <v>0</v>
      </c>
      <c r="H56" s="81">
        <f t="shared" si="7"/>
        <v>0</v>
      </c>
      <c r="I56" s="81">
        <f t="shared" si="8"/>
        <v>11</v>
      </c>
      <c r="J56" s="55"/>
    </row>
    <row r="57" spans="1:10" ht="15.75" x14ac:dyDescent="0.2">
      <c r="A57" s="81">
        <v>44</v>
      </c>
      <c r="B57" s="237" t="s">
        <v>351</v>
      </c>
      <c r="C57" s="83">
        <v>5</v>
      </c>
      <c r="D57" s="84">
        <v>2</v>
      </c>
      <c r="E57" s="10">
        <v>0</v>
      </c>
      <c r="F57" s="10">
        <v>0</v>
      </c>
      <c r="G57" s="10">
        <v>0</v>
      </c>
      <c r="H57" s="81">
        <f t="shared" si="7"/>
        <v>0</v>
      </c>
      <c r="I57" s="81">
        <f t="shared" si="8"/>
        <v>2</v>
      </c>
      <c r="J57" s="53"/>
    </row>
    <row r="58" spans="1:10" ht="15.75" x14ac:dyDescent="0.2">
      <c r="A58" s="81">
        <v>45</v>
      </c>
      <c r="B58" s="237" t="s">
        <v>352</v>
      </c>
      <c r="C58" s="92">
        <v>0</v>
      </c>
      <c r="D58" s="10">
        <v>0</v>
      </c>
      <c r="E58" s="10">
        <v>0</v>
      </c>
      <c r="F58" s="10">
        <v>0</v>
      </c>
      <c r="G58" s="10">
        <v>0</v>
      </c>
      <c r="H58" s="81">
        <f t="shared" si="7"/>
        <v>0</v>
      </c>
      <c r="I58" s="81">
        <f t="shared" si="8"/>
        <v>0</v>
      </c>
      <c r="J58" s="55"/>
    </row>
    <row r="59" spans="1:10" ht="15.75" x14ac:dyDescent="0.2">
      <c r="A59" s="81">
        <v>46</v>
      </c>
      <c r="B59" s="237" t="s">
        <v>353</v>
      </c>
      <c r="C59" s="92">
        <v>0</v>
      </c>
      <c r="D59" s="10">
        <v>0</v>
      </c>
      <c r="E59" s="10">
        <v>0</v>
      </c>
      <c r="F59" s="10">
        <v>0</v>
      </c>
      <c r="G59" s="10">
        <v>0</v>
      </c>
      <c r="H59" s="81">
        <f t="shared" si="7"/>
        <v>0</v>
      </c>
      <c r="I59" s="81">
        <f t="shared" si="8"/>
        <v>0</v>
      </c>
      <c r="J59" s="55"/>
    </row>
    <row r="60" spans="1:10" x14ac:dyDescent="0.2">
      <c r="A60" s="81">
        <v>47</v>
      </c>
      <c r="B60" s="237" t="s">
        <v>354</v>
      </c>
      <c r="C60" s="92">
        <v>0</v>
      </c>
      <c r="D60" s="10">
        <v>1</v>
      </c>
      <c r="E60" s="10">
        <v>0</v>
      </c>
      <c r="F60" s="10">
        <v>0</v>
      </c>
      <c r="G60" s="10">
        <v>0</v>
      </c>
      <c r="H60" s="81">
        <f t="shared" si="7"/>
        <v>0</v>
      </c>
      <c r="I60" s="81">
        <f t="shared" si="8"/>
        <v>1</v>
      </c>
      <c r="J60" s="37"/>
    </row>
    <row r="61" spans="1:10" ht="25.5" customHeight="1" x14ac:dyDescent="0.2">
      <c r="A61" s="81">
        <v>48</v>
      </c>
      <c r="B61" s="237" t="s">
        <v>355</v>
      </c>
      <c r="C61" s="92">
        <v>0</v>
      </c>
      <c r="D61" s="10">
        <v>3</v>
      </c>
      <c r="E61" s="10">
        <v>0</v>
      </c>
      <c r="F61" s="10">
        <v>0</v>
      </c>
      <c r="G61" s="10">
        <v>0</v>
      </c>
      <c r="H61" s="81">
        <f t="shared" si="7"/>
        <v>0</v>
      </c>
      <c r="I61" s="81">
        <f t="shared" si="8"/>
        <v>3</v>
      </c>
      <c r="J61" s="37"/>
    </row>
    <row r="62" spans="1:10" ht="15.75" x14ac:dyDescent="0.2">
      <c r="A62" s="81">
        <v>49</v>
      </c>
      <c r="B62" s="237" t="s">
        <v>356</v>
      </c>
      <c r="C62" s="92">
        <v>0</v>
      </c>
      <c r="D62" s="84">
        <v>1</v>
      </c>
      <c r="E62" s="10">
        <v>0</v>
      </c>
      <c r="F62" s="10">
        <v>0</v>
      </c>
      <c r="G62" s="10">
        <v>0</v>
      </c>
      <c r="H62" s="81">
        <f t="shared" si="7"/>
        <v>0</v>
      </c>
      <c r="I62" s="81">
        <f t="shared" si="8"/>
        <v>1</v>
      </c>
      <c r="J62" s="55"/>
    </row>
    <row r="63" spans="1:10" ht="15.75" x14ac:dyDescent="0.2">
      <c r="A63" s="81">
        <v>50</v>
      </c>
      <c r="B63" s="237" t="s">
        <v>357</v>
      </c>
      <c r="C63" s="83">
        <v>37</v>
      </c>
      <c r="D63" s="84">
        <v>43</v>
      </c>
      <c r="E63" s="10">
        <v>0</v>
      </c>
      <c r="F63" s="10">
        <v>0</v>
      </c>
      <c r="G63" s="10">
        <v>0</v>
      </c>
      <c r="H63" s="81">
        <f t="shared" si="7"/>
        <v>0</v>
      </c>
      <c r="I63" s="81">
        <f t="shared" si="8"/>
        <v>43</v>
      </c>
      <c r="J63" s="138"/>
    </row>
    <row r="64" spans="1:10" ht="15.75" customHeight="1" x14ac:dyDescent="0.2">
      <c r="A64" s="134" t="s">
        <v>123</v>
      </c>
      <c r="B64" s="135"/>
      <c r="C64" s="136"/>
      <c r="D64" s="136"/>
      <c r="E64" s="136"/>
      <c r="F64" s="136"/>
      <c r="G64" s="136"/>
      <c r="H64" s="135"/>
      <c r="I64" s="135"/>
      <c r="J64" s="137"/>
    </row>
    <row r="65" spans="1:10" ht="15.75" customHeight="1" x14ac:dyDescent="0.2">
      <c r="A65" s="134" t="s">
        <v>122</v>
      </c>
      <c r="B65" s="129"/>
      <c r="C65" s="136"/>
      <c r="D65" s="136"/>
      <c r="E65" s="136"/>
      <c r="F65" s="136"/>
      <c r="G65" s="136"/>
      <c r="H65" s="135"/>
      <c r="I65" s="135"/>
      <c r="J65" s="137"/>
    </row>
    <row r="66" spans="1:10" ht="15.75" x14ac:dyDescent="0.2">
      <c r="A66" s="81">
        <v>51</v>
      </c>
      <c r="B66" s="236" t="s">
        <v>358</v>
      </c>
      <c r="C66" s="83">
        <v>3</v>
      </c>
      <c r="D66" s="83">
        <v>6</v>
      </c>
      <c r="E66" s="83">
        <v>2</v>
      </c>
      <c r="F66" s="92">
        <v>0</v>
      </c>
      <c r="G66" s="92">
        <v>0</v>
      </c>
      <c r="H66" s="81">
        <f>E66+F66+G66</f>
        <v>2</v>
      </c>
      <c r="I66" s="81">
        <f>D66-H66</f>
        <v>4</v>
      </c>
      <c r="J66" s="16" t="s">
        <v>121</v>
      </c>
    </row>
    <row r="67" spans="1:10" ht="15.75" x14ac:dyDescent="0.2">
      <c r="A67" s="81">
        <v>52</v>
      </c>
      <c r="B67" s="236" t="s">
        <v>359</v>
      </c>
      <c r="C67" s="83">
        <v>15</v>
      </c>
      <c r="D67" s="84">
        <v>12</v>
      </c>
      <c r="E67" s="92">
        <v>0</v>
      </c>
      <c r="F67" s="92">
        <v>0</v>
      </c>
      <c r="G67" s="92">
        <v>0</v>
      </c>
      <c r="H67" s="81">
        <f>E67+F67+G67</f>
        <v>0</v>
      </c>
      <c r="I67" s="81">
        <f>D67-H67</f>
        <v>12</v>
      </c>
      <c r="J67" s="16"/>
    </row>
    <row r="68" spans="1:10" ht="15.75" x14ac:dyDescent="0.2">
      <c r="A68" s="134" t="s">
        <v>120</v>
      </c>
      <c r="B68" s="129"/>
      <c r="C68" s="136"/>
      <c r="D68" s="136"/>
      <c r="E68" s="136"/>
      <c r="F68" s="136"/>
      <c r="G68" s="136"/>
      <c r="H68" s="135"/>
      <c r="I68" s="135"/>
      <c r="J68" s="137"/>
    </row>
    <row r="69" spans="1:10" x14ac:dyDescent="0.2">
      <c r="A69" s="81">
        <v>53</v>
      </c>
      <c r="B69" s="236" t="s">
        <v>360</v>
      </c>
      <c r="C69" s="92">
        <v>0</v>
      </c>
      <c r="D69" s="10">
        <v>0</v>
      </c>
      <c r="E69" s="10">
        <v>0</v>
      </c>
      <c r="F69" s="10">
        <v>0</v>
      </c>
      <c r="G69" s="10">
        <v>0</v>
      </c>
      <c r="H69" s="81"/>
      <c r="I69" s="81"/>
      <c r="J69" s="16"/>
    </row>
    <row r="70" spans="1:10" x14ac:dyDescent="0.2">
      <c r="A70" s="81">
        <v>54</v>
      </c>
      <c r="B70" s="236" t="s">
        <v>361</v>
      </c>
      <c r="C70" s="92">
        <v>0</v>
      </c>
      <c r="D70" s="10">
        <v>0</v>
      </c>
      <c r="E70" s="10">
        <v>0</v>
      </c>
      <c r="F70" s="10">
        <v>0</v>
      </c>
      <c r="G70" s="10">
        <v>0</v>
      </c>
      <c r="H70" s="81"/>
      <c r="I70" s="81"/>
      <c r="J70" s="16"/>
    </row>
    <row r="71" spans="1:10" x14ac:dyDescent="0.2">
      <c r="A71" s="81">
        <v>55</v>
      </c>
      <c r="B71" s="236" t="s">
        <v>362</v>
      </c>
      <c r="C71" s="92">
        <v>0</v>
      </c>
      <c r="D71" s="10">
        <v>0</v>
      </c>
      <c r="E71" s="10">
        <v>0</v>
      </c>
      <c r="F71" s="10">
        <v>0</v>
      </c>
      <c r="G71" s="10">
        <v>0</v>
      </c>
      <c r="H71" s="81"/>
      <c r="I71" s="81"/>
      <c r="J71" s="37"/>
    </row>
    <row r="72" spans="1:10" x14ac:dyDescent="0.2">
      <c r="A72" s="81">
        <v>56</v>
      </c>
      <c r="B72" s="236" t="s">
        <v>363</v>
      </c>
      <c r="C72" s="92">
        <v>0</v>
      </c>
      <c r="D72" s="10">
        <v>0</v>
      </c>
      <c r="E72" s="10">
        <v>0</v>
      </c>
      <c r="F72" s="10">
        <v>0</v>
      </c>
      <c r="G72" s="10">
        <v>0</v>
      </c>
      <c r="H72" s="81"/>
      <c r="I72" s="81"/>
      <c r="J72" s="37"/>
    </row>
    <row r="73" spans="1:10" x14ac:dyDescent="0.2">
      <c r="A73" s="81">
        <v>57</v>
      </c>
      <c r="B73" s="236" t="s">
        <v>364</v>
      </c>
      <c r="C73" s="92">
        <v>0</v>
      </c>
      <c r="D73" s="10">
        <v>0</v>
      </c>
      <c r="E73" s="10">
        <v>0</v>
      </c>
      <c r="F73" s="10">
        <v>0</v>
      </c>
      <c r="G73" s="10">
        <v>0</v>
      </c>
      <c r="H73" s="81"/>
      <c r="I73" s="81"/>
      <c r="J73" s="37"/>
    </row>
    <row r="74" spans="1:10" x14ac:dyDescent="0.2">
      <c r="A74" s="81">
        <v>58</v>
      </c>
      <c r="B74" s="236" t="s">
        <v>365</v>
      </c>
      <c r="C74" s="92">
        <v>0</v>
      </c>
      <c r="D74" s="10">
        <v>0</v>
      </c>
      <c r="E74" s="10">
        <v>0</v>
      </c>
      <c r="F74" s="10">
        <v>0</v>
      </c>
      <c r="G74" s="10">
        <v>0</v>
      </c>
      <c r="H74" s="81"/>
      <c r="I74" s="81"/>
      <c r="J74" s="37"/>
    </row>
    <row r="75" spans="1:10" x14ac:dyDescent="0.2">
      <c r="A75" s="81">
        <v>59</v>
      </c>
      <c r="B75" s="236" t="s">
        <v>366</v>
      </c>
      <c r="C75" s="92">
        <v>0</v>
      </c>
      <c r="D75" s="10">
        <v>0</v>
      </c>
      <c r="E75" s="10">
        <v>0</v>
      </c>
      <c r="F75" s="10">
        <v>0</v>
      </c>
      <c r="G75" s="10">
        <v>0</v>
      </c>
      <c r="H75" s="81"/>
      <c r="I75" s="81"/>
      <c r="J75" s="37"/>
    </row>
    <row r="76" spans="1:10" x14ac:dyDescent="0.2">
      <c r="A76" s="81">
        <v>60</v>
      </c>
      <c r="B76" s="236" t="s">
        <v>367</v>
      </c>
      <c r="C76" s="92">
        <v>0</v>
      </c>
      <c r="D76" s="10">
        <v>0</v>
      </c>
      <c r="E76" s="10">
        <v>0</v>
      </c>
      <c r="F76" s="10">
        <v>0</v>
      </c>
      <c r="G76" s="10">
        <v>0</v>
      </c>
      <c r="H76" s="81"/>
      <c r="I76" s="81"/>
      <c r="J76" s="37"/>
    </row>
    <row r="77" spans="1:10" ht="15.75" x14ac:dyDescent="0.2">
      <c r="A77" s="134" t="s">
        <v>119</v>
      </c>
      <c r="B77" s="129"/>
      <c r="C77" s="136"/>
      <c r="D77" s="136"/>
      <c r="E77" s="136"/>
      <c r="F77" s="136"/>
      <c r="G77" s="136"/>
      <c r="H77" s="135"/>
      <c r="I77" s="135"/>
      <c r="J77" s="137"/>
    </row>
    <row r="78" spans="1:10" ht="15.75" x14ac:dyDescent="0.2">
      <c r="A78" s="81">
        <v>61</v>
      </c>
      <c r="B78" s="236" t="s">
        <v>368</v>
      </c>
      <c r="C78" s="92">
        <v>31</v>
      </c>
      <c r="D78" s="10">
        <v>38</v>
      </c>
      <c r="E78" s="10">
        <v>0</v>
      </c>
      <c r="F78" s="10">
        <v>0</v>
      </c>
      <c r="G78" s="84">
        <v>1</v>
      </c>
      <c r="H78" s="81">
        <f t="shared" ref="H78:H109" si="9">E78+F78+G78</f>
        <v>1</v>
      </c>
      <c r="I78" s="81">
        <f t="shared" ref="I78:I109" si="10">D78-H78</f>
        <v>37</v>
      </c>
      <c r="J78" s="53" t="s">
        <v>118</v>
      </c>
    </row>
    <row r="79" spans="1:10" ht="15.75" x14ac:dyDescent="0.2">
      <c r="A79" s="81">
        <v>62</v>
      </c>
      <c r="B79" s="236" t="s">
        <v>369</v>
      </c>
      <c r="C79" s="92">
        <v>53</v>
      </c>
      <c r="D79" s="10">
        <v>65</v>
      </c>
      <c r="E79" s="10">
        <v>0</v>
      </c>
      <c r="F79" s="10">
        <v>0</v>
      </c>
      <c r="G79" s="84">
        <v>2</v>
      </c>
      <c r="H79" s="81">
        <f t="shared" si="9"/>
        <v>2</v>
      </c>
      <c r="I79" s="81">
        <f t="shared" si="10"/>
        <v>63</v>
      </c>
      <c r="J79" s="147" t="s">
        <v>117</v>
      </c>
    </row>
    <row r="80" spans="1:10" x14ac:dyDescent="0.2">
      <c r="A80" s="81">
        <v>63</v>
      </c>
      <c r="B80" s="236" t="s">
        <v>370</v>
      </c>
      <c r="C80" s="92">
        <v>14</v>
      </c>
      <c r="D80" s="10">
        <v>5</v>
      </c>
      <c r="E80" s="10">
        <v>0</v>
      </c>
      <c r="F80" s="10">
        <v>0</v>
      </c>
      <c r="G80" s="10">
        <v>0</v>
      </c>
      <c r="H80" s="81">
        <f t="shared" si="9"/>
        <v>0</v>
      </c>
      <c r="I80" s="81">
        <f t="shared" si="10"/>
        <v>5</v>
      </c>
      <c r="J80" s="147"/>
    </row>
    <row r="81" spans="1:10" ht="30.75" customHeight="1" x14ac:dyDescent="0.2">
      <c r="A81" s="81">
        <v>64</v>
      </c>
      <c r="B81" s="236" t="s">
        <v>371</v>
      </c>
      <c r="C81" s="92">
        <v>5</v>
      </c>
      <c r="D81" s="10">
        <v>33</v>
      </c>
      <c r="E81" s="10">
        <v>0</v>
      </c>
      <c r="F81" s="10">
        <v>0</v>
      </c>
      <c r="G81" s="10">
        <v>0</v>
      </c>
      <c r="H81" s="81">
        <f t="shared" si="9"/>
        <v>0</v>
      </c>
      <c r="I81" s="81">
        <f t="shared" si="10"/>
        <v>33</v>
      </c>
      <c r="J81" s="105" t="s">
        <v>112</v>
      </c>
    </row>
    <row r="82" spans="1:10" ht="26.25" customHeight="1" x14ac:dyDescent="0.2">
      <c r="A82" s="81">
        <v>65</v>
      </c>
      <c r="B82" s="236" t="s">
        <v>372</v>
      </c>
      <c r="C82" s="92">
        <v>22</v>
      </c>
      <c r="D82" s="10">
        <v>23</v>
      </c>
      <c r="E82" s="10">
        <v>0</v>
      </c>
      <c r="F82" s="10">
        <v>0</v>
      </c>
      <c r="G82" s="10">
        <v>0</v>
      </c>
      <c r="H82" s="81">
        <f t="shared" si="9"/>
        <v>0</v>
      </c>
      <c r="I82" s="81">
        <f t="shared" si="10"/>
        <v>23</v>
      </c>
      <c r="J82" s="147"/>
    </row>
    <row r="83" spans="1:10" ht="23.25" customHeight="1" x14ac:dyDescent="0.2">
      <c r="A83" s="81">
        <v>66</v>
      </c>
      <c r="B83" s="236" t="s">
        <v>373</v>
      </c>
      <c r="C83" s="92">
        <v>52</v>
      </c>
      <c r="D83" s="10">
        <v>36</v>
      </c>
      <c r="E83" s="10">
        <v>0</v>
      </c>
      <c r="F83" s="10">
        <v>0</v>
      </c>
      <c r="G83" s="10">
        <v>0</v>
      </c>
      <c r="H83" s="81">
        <f t="shared" si="9"/>
        <v>0</v>
      </c>
      <c r="I83" s="81">
        <f t="shared" si="10"/>
        <v>36</v>
      </c>
      <c r="J83" s="148" t="s">
        <v>116</v>
      </c>
    </row>
    <row r="84" spans="1:10" x14ac:dyDescent="0.2">
      <c r="A84" s="81">
        <v>67</v>
      </c>
      <c r="B84" s="236" t="s">
        <v>374</v>
      </c>
      <c r="C84" s="92">
        <v>0</v>
      </c>
      <c r="D84" s="10">
        <v>0</v>
      </c>
      <c r="E84" s="10">
        <v>0</v>
      </c>
      <c r="F84" s="10">
        <v>0</v>
      </c>
      <c r="G84" s="10">
        <v>0</v>
      </c>
      <c r="H84" s="81">
        <f t="shared" si="9"/>
        <v>0</v>
      </c>
      <c r="I84" s="81">
        <f t="shared" si="10"/>
        <v>0</v>
      </c>
      <c r="J84" s="147"/>
    </row>
    <row r="85" spans="1:10" ht="30" x14ac:dyDescent="0.2">
      <c r="A85" s="81">
        <v>68</v>
      </c>
      <c r="B85" s="236" t="s">
        <v>375</v>
      </c>
      <c r="C85" s="92">
        <v>19</v>
      </c>
      <c r="D85" s="10">
        <v>61</v>
      </c>
      <c r="E85" s="10">
        <v>0</v>
      </c>
      <c r="F85" s="10">
        <v>0</v>
      </c>
      <c r="G85" s="10">
        <v>5</v>
      </c>
      <c r="H85" s="81">
        <f t="shared" si="9"/>
        <v>5</v>
      </c>
      <c r="I85" s="81">
        <f t="shared" si="10"/>
        <v>56</v>
      </c>
      <c r="J85" s="149" t="s">
        <v>115</v>
      </c>
    </row>
    <row r="86" spans="1:10" x14ac:dyDescent="0.2">
      <c r="A86" s="81">
        <v>69</v>
      </c>
      <c r="B86" s="236" t="s">
        <v>376</v>
      </c>
      <c r="C86" s="92">
        <v>0</v>
      </c>
      <c r="D86" s="10">
        <v>19</v>
      </c>
      <c r="E86" s="10">
        <v>0</v>
      </c>
      <c r="F86" s="10">
        <v>0</v>
      </c>
      <c r="G86" s="10">
        <v>0</v>
      </c>
      <c r="H86" s="81">
        <f t="shared" si="9"/>
        <v>0</v>
      </c>
      <c r="I86" s="81">
        <f t="shared" si="10"/>
        <v>19</v>
      </c>
      <c r="J86" s="147"/>
    </row>
    <row r="87" spans="1:10" ht="30" x14ac:dyDescent="0.2">
      <c r="A87" s="81">
        <v>70</v>
      </c>
      <c r="B87" s="236" t="s">
        <v>377</v>
      </c>
      <c r="C87" s="92">
        <v>52</v>
      </c>
      <c r="D87" s="10">
        <v>68</v>
      </c>
      <c r="E87" s="10">
        <v>0</v>
      </c>
      <c r="F87" s="10">
        <v>0</v>
      </c>
      <c r="G87" s="84">
        <v>12</v>
      </c>
      <c r="H87" s="81">
        <f t="shared" si="9"/>
        <v>12</v>
      </c>
      <c r="I87" s="81">
        <f t="shared" si="10"/>
        <v>56</v>
      </c>
      <c r="J87" s="149" t="s">
        <v>114</v>
      </c>
    </row>
    <row r="88" spans="1:10" x14ac:dyDescent="0.2">
      <c r="A88" s="81">
        <v>71</v>
      </c>
      <c r="B88" s="236" t="s">
        <v>378</v>
      </c>
      <c r="C88" s="92">
        <v>4</v>
      </c>
      <c r="D88" s="10">
        <v>4</v>
      </c>
      <c r="E88" s="10">
        <v>0</v>
      </c>
      <c r="F88" s="10">
        <v>0</v>
      </c>
      <c r="G88" s="10">
        <v>0</v>
      </c>
      <c r="H88" s="81">
        <f t="shared" si="9"/>
        <v>0</v>
      </c>
      <c r="I88" s="81">
        <f t="shared" si="10"/>
        <v>4</v>
      </c>
      <c r="J88" s="147"/>
    </row>
    <row r="89" spans="1:10" x14ac:dyDescent="0.2">
      <c r="A89" s="81">
        <v>72</v>
      </c>
      <c r="B89" s="236" t="s">
        <v>379</v>
      </c>
      <c r="C89" s="92">
        <v>4</v>
      </c>
      <c r="D89" s="10">
        <v>4</v>
      </c>
      <c r="E89" s="10">
        <v>0</v>
      </c>
      <c r="F89" s="10">
        <v>0</v>
      </c>
      <c r="G89" s="10">
        <v>0</v>
      </c>
      <c r="H89" s="81">
        <f t="shared" si="9"/>
        <v>0</v>
      </c>
      <c r="I89" s="81">
        <f t="shared" si="10"/>
        <v>4</v>
      </c>
      <c r="J89" s="147"/>
    </row>
    <row r="90" spans="1:10" ht="30" x14ac:dyDescent="0.2">
      <c r="A90" s="81">
        <v>73</v>
      </c>
      <c r="B90" s="236" t="s">
        <v>380</v>
      </c>
      <c r="C90" s="92">
        <v>19</v>
      </c>
      <c r="D90" s="10">
        <v>75</v>
      </c>
      <c r="E90" s="10">
        <v>0</v>
      </c>
      <c r="F90" s="10">
        <v>0</v>
      </c>
      <c r="G90" s="10">
        <v>1</v>
      </c>
      <c r="H90" s="81">
        <f t="shared" si="9"/>
        <v>1</v>
      </c>
      <c r="I90" s="81">
        <f t="shared" si="10"/>
        <v>74</v>
      </c>
      <c r="J90" s="149" t="s">
        <v>113</v>
      </c>
    </row>
    <row r="91" spans="1:10" x14ac:dyDescent="0.2">
      <c r="A91" s="81">
        <v>74</v>
      </c>
      <c r="B91" s="236" t="s">
        <v>381</v>
      </c>
      <c r="C91" s="92">
        <v>5</v>
      </c>
      <c r="D91" s="10">
        <v>35</v>
      </c>
      <c r="E91" s="10">
        <v>0</v>
      </c>
      <c r="F91" s="10">
        <v>0</v>
      </c>
      <c r="G91" s="10">
        <v>0</v>
      </c>
      <c r="H91" s="81">
        <f t="shared" si="9"/>
        <v>0</v>
      </c>
      <c r="I91" s="81">
        <f t="shared" si="10"/>
        <v>35</v>
      </c>
      <c r="J91" s="147"/>
    </row>
    <row r="92" spans="1:10" x14ac:dyDescent="0.2">
      <c r="A92" s="81">
        <v>75</v>
      </c>
      <c r="B92" s="236" t="s">
        <v>382</v>
      </c>
      <c r="C92" s="92">
        <v>3</v>
      </c>
      <c r="D92" s="10">
        <v>3</v>
      </c>
      <c r="E92" s="10">
        <v>0</v>
      </c>
      <c r="F92" s="10">
        <v>0</v>
      </c>
      <c r="G92" s="10">
        <v>0</v>
      </c>
      <c r="H92" s="81">
        <f t="shared" si="9"/>
        <v>0</v>
      </c>
      <c r="I92" s="81">
        <f t="shared" si="10"/>
        <v>3</v>
      </c>
      <c r="J92" s="147"/>
    </row>
    <row r="93" spans="1:10" ht="24.75" customHeight="1" x14ac:dyDescent="0.2">
      <c r="A93" s="81">
        <v>76</v>
      </c>
      <c r="B93" s="236" t="s">
        <v>383</v>
      </c>
      <c r="C93" s="92">
        <v>1</v>
      </c>
      <c r="D93" s="10">
        <v>5</v>
      </c>
      <c r="E93" s="10">
        <v>0</v>
      </c>
      <c r="F93" s="10">
        <v>0</v>
      </c>
      <c r="G93" s="10">
        <v>0</v>
      </c>
      <c r="H93" s="81">
        <f t="shared" si="9"/>
        <v>0</v>
      </c>
      <c r="I93" s="81">
        <f t="shared" si="10"/>
        <v>5</v>
      </c>
      <c r="J93" s="147"/>
    </row>
    <row r="94" spans="1:10" ht="23.25" customHeight="1" x14ac:dyDescent="0.2">
      <c r="A94" s="81">
        <v>77</v>
      </c>
      <c r="B94" s="236" t="s">
        <v>384</v>
      </c>
      <c r="C94" s="92">
        <v>11</v>
      </c>
      <c r="D94" s="10">
        <v>14</v>
      </c>
      <c r="E94" s="10">
        <v>0</v>
      </c>
      <c r="F94" s="10">
        <v>0</v>
      </c>
      <c r="G94" s="10">
        <v>0</v>
      </c>
      <c r="H94" s="81">
        <f t="shared" si="9"/>
        <v>0</v>
      </c>
      <c r="I94" s="81">
        <f t="shared" si="10"/>
        <v>14</v>
      </c>
      <c r="J94" s="149" t="s">
        <v>112</v>
      </c>
    </row>
    <row r="95" spans="1:10" ht="37.5" customHeight="1" x14ac:dyDescent="0.2">
      <c r="A95" s="81">
        <v>78</v>
      </c>
      <c r="B95" s="236" t="s">
        <v>385</v>
      </c>
      <c r="C95" s="92">
        <v>39</v>
      </c>
      <c r="D95" s="10">
        <v>18</v>
      </c>
      <c r="E95" s="10">
        <v>0</v>
      </c>
      <c r="F95" s="10">
        <v>0</v>
      </c>
      <c r="G95" s="84">
        <v>2</v>
      </c>
      <c r="H95" s="81">
        <f t="shared" si="9"/>
        <v>2</v>
      </c>
      <c r="I95" s="81">
        <f t="shared" si="10"/>
        <v>16</v>
      </c>
      <c r="J95" s="149" t="s">
        <v>111</v>
      </c>
    </row>
    <row r="96" spans="1:10" ht="30" x14ac:dyDescent="0.2">
      <c r="A96" s="81">
        <v>79</v>
      </c>
      <c r="B96" s="236" t="s">
        <v>386</v>
      </c>
      <c r="C96" s="92">
        <v>36</v>
      </c>
      <c r="D96" s="10">
        <v>95</v>
      </c>
      <c r="E96" s="10">
        <v>0</v>
      </c>
      <c r="F96" s="10">
        <v>0</v>
      </c>
      <c r="G96" s="10">
        <v>3</v>
      </c>
      <c r="H96" s="81">
        <f t="shared" si="9"/>
        <v>3</v>
      </c>
      <c r="I96" s="81">
        <f t="shared" si="10"/>
        <v>92</v>
      </c>
      <c r="J96" s="149" t="s">
        <v>110</v>
      </c>
    </row>
    <row r="97" spans="1:10" x14ac:dyDescent="0.2">
      <c r="A97" s="81">
        <v>80</v>
      </c>
      <c r="B97" s="236" t="s">
        <v>387</v>
      </c>
      <c r="C97" s="92">
        <v>0</v>
      </c>
      <c r="D97" s="10">
        <v>0</v>
      </c>
      <c r="E97" s="10">
        <v>0</v>
      </c>
      <c r="F97" s="10">
        <v>0</v>
      </c>
      <c r="G97" s="10">
        <v>0</v>
      </c>
      <c r="H97" s="81">
        <f t="shared" si="9"/>
        <v>0</v>
      </c>
      <c r="I97" s="81">
        <f t="shared" si="10"/>
        <v>0</v>
      </c>
      <c r="J97" s="147"/>
    </row>
    <row r="98" spans="1:10" x14ac:dyDescent="0.2">
      <c r="A98" s="81">
        <v>81</v>
      </c>
      <c r="B98" s="236" t="s">
        <v>388</v>
      </c>
      <c r="C98" s="92">
        <v>9</v>
      </c>
      <c r="D98" s="10">
        <v>10</v>
      </c>
      <c r="E98" s="10">
        <v>0</v>
      </c>
      <c r="F98" s="10">
        <v>0</v>
      </c>
      <c r="G98" s="10">
        <v>0</v>
      </c>
      <c r="H98" s="81">
        <f t="shared" si="9"/>
        <v>0</v>
      </c>
      <c r="I98" s="81">
        <f t="shared" si="10"/>
        <v>10</v>
      </c>
      <c r="J98" s="147"/>
    </row>
    <row r="99" spans="1:10" x14ac:dyDescent="0.2">
      <c r="A99" s="81">
        <v>82</v>
      </c>
      <c r="B99" s="236" t="s">
        <v>389</v>
      </c>
      <c r="C99" s="92">
        <v>1</v>
      </c>
      <c r="D99" s="10">
        <v>1</v>
      </c>
      <c r="E99" s="10">
        <v>0</v>
      </c>
      <c r="F99" s="10">
        <v>0</v>
      </c>
      <c r="G99" s="10">
        <v>0</v>
      </c>
      <c r="H99" s="81">
        <f t="shared" si="9"/>
        <v>0</v>
      </c>
      <c r="I99" s="81">
        <f t="shared" si="10"/>
        <v>1</v>
      </c>
      <c r="J99" s="147"/>
    </row>
    <row r="100" spans="1:10" x14ac:dyDescent="0.2">
      <c r="A100" s="81">
        <v>83</v>
      </c>
      <c r="B100" s="236" t="s">
        <v>390</v>
      </c>
      <c r="C100" s="92">
        <v>0</v>
      </c>
      <c r="D100" s="10">
        <v>15</v>
      </c>
      <c r="E100" s="10">
        <v>0</v>
      </c>
      <c r="F100" s="10">
        <v>0</v>
      </c>
      <c r="G100" s="10">
        <v>0</v>
      </c>
      <c r="H100" s="81">
        <f t="shared" si="9"/>
        <v>0</v>
      </c>
      <c r="I100" s="81">
        <f t="shared" si="10"/>
        <v>15</v>
      </c>
      <c r="J100" s="147"/>
    </row>
    <row r="101" spans="1:10" x14ac:dyDescent="0.2">
      <c r="A101" s="81">
        <v>84</v>
      </c>
      <c r="B101" s="236" t="s">
        <v>391</v>
      </c>
      <c r="C101" s="92">
        <v>0</v>
      </c>
      <c r="D101" s="10">
        <v>0</v>
      </c>
      <c r="E101" s="10">
        <v>0</v>
      </c>
      <c r="F101" s="10">
        <v>0</v>
      </c>
      <c r="G101" s="10">
        <v>0</v>
      </c>
      <c r="H101" s="81">
        <f t="shared" si="9"/>
        <v>0</v>
      </c>
      <c r="I101" s="81">
        <f t="shared" si="10"/>
        <v>0</v>
      </c>
      <c r="J101" s="147"/>
    </row>
    <row r="102" spans="1:10" ht="28.5" customHeight="1" x14ac:dyDescent="0.2">
      <c r="A102" s="81">
        <v>85</v>
      </c>
      <c r="B102" s="236" t="s">
        <v>392</v>
      </c>
      <c r="C102" s="92">
        <v>50</v>
      </c>
      <c r="D102" s="10">
        <v>95</v>
      </c>
      <c r="E102" s="10">
        <v>0</v>
      </c>
      <c r="F102" s="10">
        <v>0</v>
      </c>
      <c r="G102" s="10">
        <v>0</v>
      </c>
      <c r="H102" s="81">
        <f t="shared" si="9"/>
        <v>0</v>
      </c>
      <c r="I102" s="81">
        <f t="shared" si="10"/>
        <v>95</v>
      </c>
      <c r="J102" s="147"/>
    </row>
    <row r="103" spans="1:10" ht="38.25" customHeight="1" x14ac:dyDescent="0.2">
      <c r="A103" s="81">
        <v>86</v>
      </c>
      <c r="B103" s="236" t="s">
        <v>393</v>
      </c>
      <c r="C103" s="92">
        <v>2</v>
      </c>
      <c r="D103" s="10">
        <v>4</v>
      </c>
      <c r="E103" s="10">
        <v>0</v>
      </c>
      <c r="F103" s="10">
        <v>0</v>
      </c>
      <c r="G103" s="10">
        <v>0</v>
      </c>
      <c r="H103" s="81">
        <f t="shared" si="9"/>
        <v>0</v>
      </c>
      <c r="I103" s="81">
        <f t="shared" si="10"/>
        <v>4</v>
      </c>
      <c r="J103" s="147"/>
    </row>
    <row r="104" spans="1:10" x14ac:dyDescent="0.2">
      <c r="A104" s="81">
        <v>87</v>
      </c>
      <c r="B104" s="236" t="s">
        <v>394</v>
      </c>
      <c r="C104" s="92">
        <v>0</v>
      </c>
      <c r="D104" s="10">
        <v>0</v>
      </c>
      <c r="E104" s="10">
        <v>0</v>
      </c>
      <c r="F104" s="10">
        <v>0</v>
      </c>
      <c r="G104" s="10">
        <v>0</v>
      </c>
      <c r="H104" s="81">
        <f t="shared" si="9"/>
        <v>0</v>
      </c>
      <c r="I104" s="81">
        <f t="shared" si="10"/>
        <v>0</v>
      </c>
      <c r="J104" s="147"/>
    </row>
    <row r="105" spans="1:10" x14ac:dyDescent="0.2">
      <c r="A105" s="81">
        <v>88</v>
      </c>
      <c r="B105" s="236" t="s">
        <v>395</v>
      </c>
      <c r="C105" s="92">
        <v>0</v>
      </c>
      <c r="D105" s="10">
        <v>0</v>
      </c>
      <c r="E105" s="10">
        <v>0</v>
      </c>
      <c r="F105" s="10">
        <v>0</v>
      </c>
      <c r="G105" s="10">
        <v>0</v>
      </c>
      <c r="H105" s="81">
        <f t="shared" si="9"/>
        <v>0</v>
      </c>
      <c r="I105" s="81">
        <f t="shared" si="10"/>
        <v>0</v>
      </c>
      <c r="J105" s="147"/>
    </row>
    <row r="106" spans="1:10" ht="28.5" customHeight="1" x14ac:dyDescent="0.2">
      <c r="A106" s="81">
        <v>89</v>
      </c>
      <c r="B106" s="236" t="s">
        <v>396</v>
      </c>
      <c r="C106" s="92">
        <v>9</v>
      </c>
      <c r="D106" s="10">
        <v>10</v>
      </c>
      <c r="E106" s="10">
        <v>0</v>
      </c>
      <c r="F106" s="10">
        <v>0</v>
      </c>
      <c r="G106" s="10">
        <v>1</v>
      </c>
      <c r="H106" s="81">
        <f t="shared" si="9"/>
        <v>1</v>
      </c>
      <c r="I106" s="81">
        <f t="shared" si="10"/>
        <v>9</v>
      </c>
      <c r="J106" s="150"/>
    </row>
    <row r="107" spans="1:10" ht="36.75" customHeight="1" x14ac:dyDescent="0.2">
      <c r="A107" s="81">
        <v>90</v>
      </c>
      <c r="B107" s="236" t="s">
        <v>397</v>
      </c>
      <c r="C107" s="92">
        <v>0</v>
      </c>
      <c r="D107" s="10">
        <v>0</v>
      </c>
      <c r="E107" s="10">
        <v>0</v>
      </c>
      <c r="F107" s="10">
        <v>0</v>
      </c>
      <c r="G107" s="10">
        <v>0</v>
      </c>
      <c r="H107" s="81">
        <f t="shared" si="9"/>
        <v>0</v>
      </c>
      <c r="I107" s="81">
        <f t="shared" si="10"/>
        <v>0</v>
      </c>
      <c r="J107" s="147"/>
    </row>
    <row r="108" spans="1:10" ht="15.75" x14ac:dyDescent="0.2">
      <c r="A108" s="81">
        <v>91</v>
      </c>
      <c r="B108" s="236" t="s">
        <v>398</v>
      </c>
      <c r="C108" s="92">
        <v>4</v>
      </c>
      <c r="D108" s="10">
        <v>43</v>
      </c>
      <c r="E108" s="10">
        <v>0</v>
      </c>
      <c r="F108" s="10">
        <v>0</v>
      </c>
      <c r="G108" s="84">
        <v>4</v>
      </c>
      <c r="H108" s="81">
        <f t="shared" si="9"/>
        <v>4</v>
      </c>
      <c r="I108" s="81">
        <f t="shared" si="10"/>
        <v>39</v>
      </c>
      <c r="J108" s="149" t="s">
        <v>109</v>
      </c>
    </row>
    <row r="109" spans="1:10" x14ac:dyDescent="0.2">
      <c r="A109" s="81">
        <v>92</v>
      </c>
      <c r="B109" s="236" t="s">
        <v>399</v>
      </c>
      <c r="C109" s="92">
        <v>0</v>
      </c>
      <c r="D109" s="10">
        <v>11</v>
      </c>
      <c r="E109" s="10">
        <v>0</v>
      </c>
      <c r="F109" s="10">
        <v>0</v>
      </c>
      <c r="G109" s="10">
        <v>0</v>
      </c>
      <c r="H109" s="81">
        <f t="shared" si="9"/>
        <v>0</v>
      </c>
      <c r="I109" s="81">
        <f t="shared" si="10"/>
        <v>11</v>
      </c>
      <c r="J109" s="147"/>
    </row>
    <row r="110" spans="1:10" ht="36" customHeight="1" x14ac:dyDescent="0.2">
      <c r="A110" s="81">
        <v>93</v>
      </c>
      <c r="B110" s="236" t="s">
        <v>400</v>
      </c>
      <c r="C110" s="92">
        <v>4</v>
      </c>
      <c r="D110" s="10">
        <v>2</v>
      </c>
      <c r="E110" s="10">
        <v>0</v>
      </c>
      <c r="F110" s="10">
        <v>0</v>
      </c>
      <c r="G110" s="10">
        <v>1</v>
      </c>
      <c r="H110" s="81">
        <f t="shared" ref="H110:H127" si="11">E110+F110+G110</f>
        <v>1</v>
      </c>
      <c r="I110" s="81">
        <f t="shared" ref="I110:I127" si="12">D110-H110</f>
        <v>1</v>
      </c>
      <c r="J110" s="105" t="s">
        <v>108</v>
      </c>
    </row>
    <row r="111" spans="1:10" x14ac:dyDescent="0.2">
      <c r="A111" s="81">
        <v>94</v>
      </c>
      <c r="B111" s="236" t="s">
        <v>401</v>
      </c>
      <c r="C111" s="92">
        <v>0</v>
      </c>
      <c r="D111" s="10">
        <v>2</v>
      </c>
      <c r="E111" s="10">
        <v>0</v>
      </c>
      <c r="F111" s="10">
        <v>0</v>
      </c>
      <c r="G111" s="10">
        <v>0</v>
      </c>
      <c r="H111" s="81">
        <f t="shared" si="11"/>
        <v>0</v>
      </c>
      <c r="I111" s="81">
        <f t="shared" si="12"/>
        <v>2</v>
      </c>
      <c r="J111" s="147"/>
    </row>
    <row r="112" spans="1:10" x14ac:dyDescent="0.2">
      <c r="A112" s="81">
        <v>95</v>
      </c>
      <c r="B112" s="236" t="s">
        <v>402</v>
      </c>
      <c r="C112" s="92">
        <v>0</v>
      </c>
      <c r="D112" s="10">
        <v>0</v>
      </c>
      <c r="E112" s="10">
        <v>0</v>
      </c>
      <c r="F112" s="10">
        <v>0</v>
      </c>
      <c r="G112" s="10">
        <v>0</v>
      </c>
      <c r="H112" s="81">
        <f t="shared" si="11"/>
        <v>0</v>
      </c>
      <c r="I112" s="81">
        <f t="shared" si="12"/>
        <v>0</v>
      </c>
      <c r="J112" s="147"/>
    </row>
    <row r="113" spans="1:10" x14ac:dyDescent="0.2">
      <c r="A113" s="81">
        <v>96</v>
      </c>
      <c r="B113" s="236" t="s">
        <v>403</v>
      </c>
      <c r="C113" s="92">
        <v>0</v>
      </c>
      <c r="D113" s="10">
        <v>0</v>
      </c>
      <c r="E113" s="10">
        <v>0</v>
      </c>
      <c r="F113" s="10">
        <v>0</v>
      </c>
      <c r="G113" s="10">
        <v>0</v>
      </c>
      <c r="H113" s="81">
        <f t="shared" si="11"/>
        <v>0</v>
      </c>
      <c r="I113" s="81">
        <f t="shared" si="12"/>
        <v>0</v>
      </c>
      <c r="J113" s="147"/>
    </row>
    <row r="114" spans="1:10" ht="15.75" x14ac:dyDescent="0.2">
      <c r="A114" s="81">
        <v>97</v>
      </c>
      <c r="B114" s="236" t="s">
        <v>404</v>
      </c>
      <c r="C114" s="92">
        <v>0</v>
      </c>
      <c r="D114" s="84">
        <v>6</v>
      </c>
      <c r="E114" s="10">
        <v>0</v>
      </c>
      <c r="F114" s="10">
        <v>0</v>
      </c>
      <c r="G114" s="10">
        <v>0</v>
      </c>
      <c r="H114" s="81">
        <f t="shared" si="11"/>
        <v>0</v>
      </c>
      <c r="I114" s="81">
        <f t="shared" si="12"/>
        <v>6</v>
      </c>
      <c r="J114" s="147"/>
    </row>
    <row r="115" spans="1:10" ht="30" x14ac:dyDescent="0.2">
      <c r="A115" s="81">
        <v>98</v>
      </c>
      <c r="B115" s="236" t="s">
        <v>405</v>
      </c>
      <c r="C115" s="92">
        <v>33</v>
      </c>
      <c r="D115" s="10">
        <v>81</v>
      </c>
      <c r="E115" s="10">
        <v>0</v>
      </c>
      <c r="F115" s="10">
        <v>0</v>
      </c>
      <c r="G115" s="84">
        <v>4</v>
      </c>
      <c r="H115" s="81">
        <f t="shared" si="11"/>
        <v>4</v>
      </c>
      <c r="I115" s="81">
        <f t="shared" si="12"/>
        <v>77</v>
      </c>
      <c r="J115" s="149" t="s">
        <v>107</v>
      </c>
    </row>
    <row r="116" spans="1:10" x14ac:dyDescent="0.2">
      <c r="A116" s="81">
        <v>99</v>
      </c>
      <c r="B116" s="236" t="s">
        <v>406</v>
      </c>
      <c r="C116" s="92">
        <v>0</v>
      </c>
      <c r="D116" s="10">
        <v>10</v>
      </c>
      <c r="E116" s="10">
        <v>0</v>
      </c>
      <c r="F116" s="10">
        <v>0</v>
      </c>
      <c r="G116" s="10">
        <v>0</v>
      </c>
      <c r="H116" s="81">
        <f t="shared" si="11"/>
        <v>0</v>
      </c>
      <c r="I116" s="81">
        <f t="shared" si="12"/>
        <v>10</v>
      </c>
      <c r="J116" s="147"/>
    </row>
    <row r="117" spans="1:10" x14ac:dyDescent="0.2">
      <c r="A117" s="81">
        <v>100</v>
      </c>
      <c r="B117" s="236" t="s">
        <v>407</v>
      </c>
      <c r="C117" s="92">
        <v>0</v>
      </c>
      <c r="D117" s="10">
        <v>0</v>
      </c>
      <c r="E117" s="10">
        <v>0</v>
      </c>
      <c r="F117" s="10">
        <v>0</v>
      </c>
      <c r="G117" s="10">
        <v>0</v>
      </c>
      <c r="H117" s="81">
        <f t="shared" si="11"/>
        <v>0</v>
      </c>
      <c r="I117" s="81">
        <f t="shared" si="12"/>
        <v>0</v>
      </c>
      <c r="J117" s="147"/>
    </row>
    <row r="118" spans="1:10" x14ac:dyDescent="0.2">
      <c r="A118" s="81">
        <v>101</v>
      </c>
      <c r="B118" s="236" t="s">
        <v>408</v>
      </c>
      <c r="C118" s="92">
        <v>3</v>
      </c>
      <c r="D118" s="10">
        <v>26</v>
      </c>
      <c r="E118" s="10">
        <v>0</v>
      </c>
      <c r="F118" s="10">
        <v>0</v>
      </c>
      <c r="G118" s="10">
        <v>0</v>
      </c>
      <c r="H118" s="81">
        <f t="shared" si="11"/>
        <v>0</v>
      </c>
      <c r="I118" s="81">
        <f t="shared" si="12"/>
        <v>26</v>
      </c>
      <c r="J118" s="149"/>
    </row>
    <row r="119" spans="1:10" ht="28.5" customHeight="1" x14ac:dyDescent="0.2">
      <c r="A119" s="81">
        <v>102</v>
      </c>
      <c r="B119" s="236" t="s">
        <v>409</v>
      </c>
      <c r="C119" s="92">
        <v>0</v>
      </c>
      <c r="D119" s="10">
        <v>3</v>
      </c>
      <c r="E119" s="10">
        <v>0</v>
      </c>
      <c r="F119" s="10">
        <v>0</v>
      </c>
      <c r="G119" s="10">
        <v>0</v>
      </c>
      <c r="H119" s="81">
        <f t="shared" si="11"/>
        <v>0</v>
      </c>
      <c r="I119" s="81">
        <f t="shared" si="12"/>
        <v>3</v>
      </c>
      <c r="J119" s="147"/>
    </row>
    <row r="120" spans="1:10" x14ac:dyDescent="0.2">
      <c r="A120" s="81">
        <v>103</v>
      </c>
      <c r="B120" s="236" t="s">
        <v>410</v>
      </c>
      <c r="C120" s="92">
        <v>0</v>
      </c>
      <c r="D120" s="10">
        <v>0</v>
      </c>
      <c r="E120" s="10">
        <v>0</v>
      </c>
      <c r="F120" s="10">
        <v>0</v>
      </c>
      <c r="G120" s="10">
        <v>0</v>
      </c>
      <c r="H120" s="81">
        <f t="shared" si="11"/>
        <v>0</v>
      </c>
      <c r="I120" s="81">
        <f t="shared" si="12"/>
        <v>0</v>
      </c>
      <c r="J120" s="147"/>
    </row>
    <row r="121" spans="1:10" x14ac:dyDescent="0.2">
      <c r="A121" s="81">
        <v>104</v>
      </c>
      <c r="B121" s="236" t="s">
        <v>411</v>
      </c>
      <c r="C121" s="92">
        <v>0</v>
      </c>
      <c r="D121" s="10">
        <v>0</v>
      </c>
      <c r="E121" s="10">
        <v>0</v>
      </c>
      <c r="F121" s="10">
        <v>0</v>
      </c>
      <c r="G121" s="10">
        <v>0</v>
      </c>
      <c r="H121" s="81">
        <f t="shared" si="11"/>
        <v>0</v>
      </c>
      <c r="I121" s="81">
        <f t="shared" si="12"/>
        <v>0</v>
      </c>
      <c r="J121" s="147"/>
    </row>
    <row r="122" spans="1:10" x14ac:dyDescent="0.2">
      <c r="A122" s="81">
        <v>105</v>
      </c>
      <c r="B122" s="236" t="s">
        <v>412</v>
      </c>
      <c r="C122" s="92">
        <v>0</v>
      </c>
      <c r="D122" s="10">
        <v>0</v>
      </c>
      <c r="E122" s="10">
        <v>0</v>
      </c>
      <c r="F122" s="10">
        <v>0</v>
      </c>
      <c r="G122" s="10">
        <v>0</v>
      </c>
      <c r="H122" s="81">
        <f t="shared" si="11"/>
        <v>0</v>
      </c>
      <c r="I122" s="81">
        <f t="shared" si="12"/>
        <v>0</v>
      </c>
      <c r="J122" s="147"/>
    </row>
    <row r="123" spans="1:10" x14ac:dyDescent="0.2">
      <c r="A123" s="81">
        <v>106</v>
      </c>
      <c r="B123" s="236" t="s">
        <v>413</v>
      </c>
      <c r="C123" s="92">
        <v>2</v>
      </c>
      <c r="D123" s="10">
        <v>2</v>
      </c>
      <c r="E123" s="10">
        <v>0</v>
      </c>
      <c r="F123" s="10">
        <v>0</v>
      </c>
      <c r="G123" s="10">
        <v>0</v>
      </c>
      <c r="H123" s="81">
        <f t="shared" si="11"/>
        <v>0</v>
      </c>
      <c r="I123" s="81">
        <f t="shared" si="12"/>
        <v>2</v>
      </c>
      <c r="J123" s="147"/>
    </row>
    <row r="124" spans="1:10" x14ac:dyDescent="0.2">
      <c r="A124" s="81">
        <v>107</v>
      </c>
      <c r="B124" s="236" t="s">
        <v>414</v>
      </c>
      <c r="C124" s="92">
        <v>0</v>
      </c>
      <c r="D124" s="10">
        <v>2</v>
      </c>
      <c r="E124" s="10">
        <v>0</v>
      </c>
      <c r="F124" s="10">
        <v>0</v>
      </c>
      <c r="G124" s="10">
        <v>0</v>
      </c>
      <c r="H124" s="81">
        <f t="shared" si="11"/>
        <v>0</v>
      </c>
      <c r="I124" s="81">
        <f t="shared" si="12"/>
        <v>2</v>
      </c>
      <c r="J124" s="147"/>
    </row>
    <row r="125" spans="1:10" x14ac:dyDescent="0.2">
      <c r="A125" s="81">
        <v>108</v>
      </c>
      <c r="B125" s="236" t="s">
        <v>415</v>
      </c>
      <c r="C125" s="10"/>
      <c r="D125" s="58">
        <v>61</v>
      </c>
      <c r="E125" s="10"/>
      <c r="F125" s="151"/>
      <c r="G125" s="151"/>
      <c r="H125" s="81">
        <f t="shared" si="11"/>
        <v>0</v>
      </c>
      <c r="I125" s="81">
        <f t="shared" si="12"/>
        <v>61</v>
      </c>
      <c r="J125" s="152"/>
    </row>
    <row r="126" spans="1:10" x14ac:dyDescent="0.2">
      <c r="A126" s="81">
        <v>109</v>
      </c>
      <c r="B126" s="236" t="s">
        <v>416</v>
      </c>
      <c r="C126" s="10"/>
      <c r="D126" s="58">
        <v>48</v>
      </c>
      <c r="E126" s="10"/>
      <c r="F126" s="151"/>
      <c r="G126" s="151"/>
      <c r="H126" s="81">
        <f t="shared" si="11"/>
        <v>0</v>
      </c>
      <c r="I126" s="81">
        <f t="shared" si="12"/>
        <v>48</v>
      </c>
      <c r="J126" s="152"/>
    </row>
    <row r="127" spans="1:10" x14ac:dyDescent="0.2">
      <c r="A127" s="81">
        <v>110</v>
      </c>
      <c r="B127" s="236" t="s">
        <v>417</v>
      </c>
      <c r="C127" s="10"/>
      <c r="D127" s="10">
        <v>1</v>
      </c>
      <c r="E127" s="10"/>
      <c r="F127" s="151"/>
      <c r="G127" s="151"/>
      <c r="H127" s="81">
        <f t="shared" si="11"/>
        <v>0</v>
      </c>
      <c r="I127" s="81">
        <f t="shared" si="12"/>
        <v>1</v>
      </c>
      <c r="J127" s="152" t="s">
        <v>424</v>
      </c>
    </row>
    <row r="128" spans="1:10" ht="15.75" x14ac:dyDescent="0.2">
      <c r="A128" s="134" t="s">
        <v>106</v>
      </c>
      <c r="B128" s="7"/>
      <c r="C128" s="135"/>
      <c r="D128" s="135"/>
      <c r="E128" s="135"/>
      <c r="F128" s="135"/>
      <c r="G128" s="135"/>
      <c r="H128" s="135"/>
      <c r="I128" s="135"/>
      <c r="J128" s="153"/>
    </row>
    <row r="129" spans="1:10" s="141" customFormat="1" ht="15.75" x14ac:dyDescent="0.25">
      <c r="A129" s="58">
        <v>111</v>
      </c>
      <c r="B129" s="7" t="s">
        <v>418</v>
      </c>
      <c r="C129" s="92">
        <v>0</v>
      </c>
      <c r="D129" s="10">
        <v>1</v>
      </c>
      <c r="E129" s="10">
        <v>0</v>
      </c>
      <c r="F129" s="10">
        <v>0</v>
      </c>
      <c r="G129" s="10">
        <v>0</v>
      </c>
      <c r="H129" s="81">
        <f>E129+F129+G129</f>
        <v>0</v>
      </c>
      <c r="I129" s="81">
        <f>D129-H129</f>
        <v>1</v>
      </c>
      <c r="J129" s="107" t="s">
        <v>423</v>
      </c>
    </row>
    <row r="130" spans="1:10" s="141" customFormat="1" ht="15.75" x14ac:dyDescent="0.25">
      <c r="A130" s="58">
        <v>112</v>
      </c>
      <c r="B130" s="1" t="s">
        <v>419</v>
      </c>
      <c r="C130" s="92">
        <v>0</v>
      </c>
      <c r="D130" s="10">
        <v>1</v>
      </c>
      <c r="E130" s="10">
        <v>0</v>
      </c>
      <c r="F130" s="10">
        <v>0</v>
      </c>
      <c r="G130" s="10">
        <v>0</v>
      </c>
      <c r="H130" s="81">
        <f>E130+F130+G130</f>
        <v>0</v>
      </c>
      <c r="I130" s="81">
        <f>D130-H130</f>
        <v>1</v>
      </c>
      <c r="J130" s="107" t="s">
        <v>423</v>
      </c>
    </row>
    <row r="131" spans="1:10" s="141" customFormat="1" ht="15.75" x14ac:dyDescent="0.25">
      <c r="A131" s="58">
        <v>113</v>
      </c>
      <c r="B131" s="7" t="s">
        <v>420</v>
      </c>
      <c r="C131" s="92">
        <v>0</v>
      </c>
      <c r="D131" s="10">
        <v>1</v>
      </c>
      <c r="E131" s="10">
        <v>0</v>
      </c>
      <c r="F131" s="10">
        <v>0</v>
      </c>
      <c r="G131" s="10">
        <v>0</v>
      </c>
      <c r="H131" s="81">
        <f>E131+F131+G131</f>
        <v>0</v>
      </c>
      <c r="I131" s="81">
        <f>D131-H131</f>
        <v>1</v>
      </c>
      <c r="J131" s="107" t="s">
        <v>423</v>
      </c>
    </row>
    <row r="132" spans="1:10" ht="25.5" customHeight="1" x14ac:dyDescent="0.2">
      <c r="A132" s="58">
        <v>114</v>
      </c>
      <c r="B132" s="1" t="s">
        <v>421</v>
      </c>
      <c r="C132" s="92">
        <v>9</v>
      </c>
      <c r="D132" s="10">
        <v>30</v>
      </c>
      <c r="E132" s="10">
        <v>0</v>
      </c>
      <c r="F132" s="10">
        <v>0</v>
      </c>
      <c r="G132" s="84">
        <v>0</v>
      </c>
      <c r="H132" s="81">
        <f>E132+F132+G132</f>
        <v>0</v>
      </c>
      <c r="I132" s="81">
        <f>D132-H132</f>
        <v>30</v>
      </c>
      <c r="J132" s="143"/>
    </row>
    <row r="133" spans="1:10" ht="26.25" customHeight="1" x14ac:dyDescent="0.2">
      <c r="A133" s="58">
        <v>115</v>
      </c>
      <c r="B133" s="7" t="s">
        <v>422</v>
      </c>
      <c r="C133" s="92">
        <v>3</v>
      </c>
      <c r="D133" s="10">
        <v>16</v>
      </c>
      <c r="E133" s="10">
        <v>0</v>
      </c>
      <c r="F133" s="10">
        <v>0</v>
      </c>
      <c r="G133" s="10">
        <v>0</v>
      </c>
      <c r="H133" s="81">
        <f>E133+F133+G133</f>
        <v>0</v>
      </c>
      <c r="I133" s="81">
        <f>D133-H133</f>
        <v>16</v>
      </c>
      <c r="J133" s="37"/>
    </row>
  </sheetData>
  <autoFilter ref="A2:AA133" xr:uid="{00000000-0001-0000-0200-000000000000}">
    <filterColumn colId="4" showButton="0"/>
    <filterColumn colId="5" showButton="0"/>
  </autoFilter>
  <mergeCells count="3">
    <mergeCell ref="A1:J1"/>
    <mergeCell ref="E2:G2"/>
    <mergeCell ref="A5:J5"/>
  </mergeCells>
  <phoneticPr fontId="27" type="noConversion"/>
  <pageMargins left="0.7" right="0.7" top="0.75" bottom="0.75" header="0.3" footer="0.3"/>
  <pageSetup paperSize="9"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A73BF-71AB-40BF-A716-B2A7A5DC2DA4}">
  <sheetPr>
    <tabColor rgb="FF00B050"/>
  </sheetPr>
  <dimension ref="A1:T29"/>
  <sheetViews>
    <sheetView view="pageBreakPreview" topLeftCell="C1" zoomScaleNormal="75" zoomScaleSheetLayoutView="100" workbookViewId="0">
      <pane ySplit="4" topLeftCell="A16" activePane="bottomLeft" state="frozen"/>
      <selection pane="bottomLeft" activeCell="S22" sqref="S22"/>
    </sheetView>
  </sheetViews>
  <sheetFormatPr defaultColWidth="9.140625" defaultRowHeight="15.75" x14ac:dyDescent="0.25"/>
  <cols>
    <col min="1" max="1" width="6.28515625" style="20" customWidth="1"/>
    <col min="2" max="2" width="36.28515625" style="155" bestFit="1" customWidth="1"/>
    <col min="3" max="3" width="8.140625" style="4" customWidth="1"/>
    <col min="4" max="4" width="8.5703125" style="4" customWidth="1"/>
    <col min="5" max="5" width="7.140625" style="4" bestFit="1" customWidth="1"/>
    <col min="6" max="6" width="8.7109375" style="4" bestFit="1" customWidth="1"/>
    <col min="7" max="7" width="9" style="4" customWidth="1"/>
    <col min="8" max="8" width="5.85546875" style="4" customWidth="1"/>
    <col min="9" max="9" width="6.85546875" style="4" bestFit="1" customWidth="1"/>
    <col min="10" max="10" width="6.140625" style="4" bestFit="1" customWidth="1"/>
    <col min="11" max="11" width="6.42578125" style="4" bestFit="1" customWidth="1"/>
    <col min="12" max="12" width="8.140625" style="4" bestFit="1" customWidth="1"/>
    <col min="13" max="13" width="9.140625" style="4" customWidth="1"/>
    <col min="14" max="14" width="9.85546875" style="4" customWidth="1"/>
    <col min="15" max="15" width="8.85546875" style="156" customWidth="1"/>
    <col min="16" max="16" width="14.42578125" style="155" customWidth="1"/>
    <col min="17" max="17" width="13.42578125" style="155" bestFit="1" customWidth="1"/>
    <col min="18" max="18" width="13.28515625" style="155" customWidth="1"/>
    <col min="19" max="19" width="14.140625" style="155" customWidth="1"/>
    <col min="20" max="20" width="105.7109375" style="155" customWidth="1"/>
    <col min="21" max="16384" width="9.140625" style="155"/>
  </cols>
  <sheetData>
    <row r="1" spans="1:20" x14ac:dyDescent="0.2">
      <c r="A1" s="260" t="s">
        <v>139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  <c r="O1" s="260"/>
      <c r="P1" s="260"/>
      <c r="Q1" s="260"/>
      <c r="R1" s="260"/>
      <c r="S1" s="260"/>
      <c r="T1" s="260"/>
    </row>
    <row r="2" spans="1:20" x14ac:dyDescent="0.25">
      <c r="A2" s="4"/>
      <c r="B2" s="159"/>
      <c r="R2" s="261"/>
      <c r="S2" s="262"/>
      <c r="T2" s="262"/>
    </row>
    <row r="3" spans="1:20" s="160" customFormat="1" ht="15.75" customHeight="1" x14ac:dyDescent="0.25">
      <c r="A3" s="263" t="s">
        <v>0</v>
      </c>
      <c r="B3" s="264" t="s">
        <v>1</v>
      </c>
      <c r="C3" s="265" t="s">
        <v>2</v>
      </c>
      <c r="D3" s="266"/>
      <c r="E3" s="263" t="s">
        <v>3</v>
      </c>
      <c r="F3" s="263"/>
      <c r="G3" s="263"/>
      <c r="H3" s="263"/>
      <c r="I3" s="263"/>
      <c r="J3" s="263"/>
      <c r="K3" s="263"/>
      <c r="L3" s="263"/>
      <c r="M3" s="267" t="s">
        <v>4</v>
      </c>
      <c r="N3" s="267" t="s">
        <v>22</v>
      </c>
      <c r="O3" s="269" t="s">
        <v>45</v>
      </c>
      <c r="P3" s="264" t="s">
        <v>7</v>
      </c>
      <c r="Q3" s="264" t="s">
        <v>8</v>
      </c>
      <c r="R3" s="264" t="s">
        <v>9</v>
      </c>
      <c r="S3" s="264" t="s">
        <v>10</v>
      </c>
      <c r="T3" s="271" t="s">
        <v>11</v>
      </c>
    </row>
    <row r="4" spans="1:20" s="160" customFormat="1" ht="31.5" x14ac:dyDescent="0.25">
      <c r="A4" s="263"/>
      <c r="B4" s="264"/>
      <c r="C4" s="161" t="s">
        <v>12</v>
      </c>
      <c r="D4" s="161" t="s">
        <v>13</v>
      </c>
      <c r="E4" s="162" t="s">
        <v>66</v>
      </c>
      <c r="F4" s="162" t="s">
        <v>15</v>
      </c>
      <c r="G4" s="162" t="s">
        <v>16</v>
      </c>
      <c r="H4" s="162" t="s">
        <v>23</v>
      </c>
      <c r="I4" s="162" t="s">
        <v>67</v>
      </c>
      <c r="J4" s="162" t="s">
        <v>24</v>
      </c>
      <c r="K4" s="162" t="s">
        <v>25</v>
      </c>
      <c r="L4" s="162" t="s">
        <v>18</v>
      </c>
      <c r="M4" s="268"/>
      <c r="N4" s="268"/>
      <c r="O4" s="270"/>
      <c r="P4" s="264"/>
      <c r="Q4" s="264"/>
      <c r="R4" s="264"/>
      <c r="S4" s="264"/>
      <c r="T4" s="254"/>
    </row>
    <row r="5" spans="1:20" s="160" customFormat="1" x14ac:dyDescent="0.25">
      <c r="A5" s="162" t="s">
        <v>26</v>
      </c>
      <c r="B5" s="57" t="s">
        <v>27</v>
      </c>
      <c r="C5" s="162" t="s">
        <v>28</v>
      </c>
      <c r="D5" s="162" t="s">
        <v>29</v>
      </c>
      <c r="E5" s="162" t="s">
        <v>30</v>
      </c>
      <c r="F5" s="162" t="s">
        <v>31</v>
      </c>
      <c r="G5" s="162" t="s">
        <v>32</v>
      </c>
      <c r="H5" s="162" t="s">
        <v>33</v>
      </c>
      <c r="I5" s="162" t="s">
        <v>34</v>
      </c>
      <c r="J5" s="162" t="s">
        <v>35</v>
      </c>
      <c r="K5" s="162" t="s">
        <v>36</v>
      </c>
      <c r="L5" s="162" t="s">
        <v>37</v>
      </c>
      <c r="M5" s="162" t="s">
        <v>38</v>
      </c>
      <c r="N5" s="162" t="s">
        <v>39</v>
      </c>
      <c r="O5" s="162" t="s">
        <v>40</v>
      </c>
      <c r="P5" s="162" t="s">
        <v>41</v>
      </c>
      <c r="Q5" s="162" t="s">
        <v>42</v>
      </c>
      <c r="R5" s="162" t="s">
        <v>43</v>
      </c>
      <c r="S5" s="162" t="s">
        <v>68</v>
      </c>
      <c r="T5" s="162" t="s">
        <v>69</v>
      </c>
    </row>
    <row r="6" spans="1:20" ht="165" x14ac:dyDescent="0.2">
      <c r="A6" s="81">
        <v>1</v>
      </c>
      <c r="B6" s="54" t="s">
        <v>428</v>
      </c>
      <c r="C6" s="81">
        <v>108</v>
      </c>
      <c r="D6" s="81">
        <v>109</v>
      </c>
      <c r="E6" s="81">
        <v>0</v>
      </c>
      <c r="F6" s="81">
        <v>2</v>
      </c>
      <c r="G6" s="81">
        <v>0</v>
      </c>
      <c r="H6" s="82">
        <v>14</v>
      </c>
      <c r="I6" s="81">
        <v>0</v>
      </c>
      <c r="J6" s="81">
        <v>0</v>
      </c>
      <c r="K6" s="81">
        <v>0</v>
      </c>
      <c r="L6" s="81">
        <v>0</v>
      </c>
      <c r="M6" s="81">
        <v>16</v>
      </c>
      <c r="N6" s="81">
        <v>0</v>
      </c>
      <c r="O6" s="163">
        <v>93</v>
      </c>
      <c r="P6" s="164">
        <v>0.10091743119266056</v>
      </c>
      <c r="Q6" s="164">
        <v>0</v>
      </c>
      <c r="R6" s="164">
        <v>0.8990825688073395</v>
      </c>
      <c r="S6" s="164">
        <v>0.8990825688073395</v>
      </c>
      <c r="T6" s="165" t="s">
        <v>447</v>
      </c>
    </row>
    <row r="7" spans="1:20" s="1" customFormat="1" ht="49.5" customHeight="1" x14ac:dyDescent="0.25">
      <c r="A7" s="81">
        <v>2</v>
      </c>
      <c r="B7" s="54" t="s">
        <v>429</v>
      </c>
      <c r="C7" s="81">
        <v>72</v>
      </c>
      <c r="D7" s="81">
        <v>72</v>
      </c>
      <c r="E7" s="81">
        <v>0</v>
      </c>
      <c r="F7" s="81">
        <v>0</v>
      </c>
      <c r="G7" s="81">
        <v>0</v>
      </c>
      <c r="H7" s="82">
        <v>2</v>
      </c>
      <c r="I7" s="81">
        <v>0</v>
      </c>
      <c r="J7" s="81">
        <v>0</v>
      </c>
      <c r="K7" s="81">
        <v>0</v>
      </c>
      <c r="L7" s="81">
        <v>0</v>
      </c>
      <c r="M7" s="81">
        <v>2</v>
      </c>
      <c r="N7" s="81">
        <v>0</v>
      </c>
      <c r="O7" s="163">
        <v>70</v>
      </c>
      <c r="P7" s="164">
        <v>2.7777777777777776E-2</v>
      </c>
      <c r="Q7" s="164">
        <v>0</v>
      </c>
      <c r="R7" s="164">
        <v>0.97222222222222221</v>
      </c>
      <c r="S7" s="164">
        <v>0.97222222222222221</v>
      </c>
      <c r="T7" s="13" t="s">
        <v>448</v>
      </c>
    </row>
    <row r="8" spans="1:20" ht="44.25" customHeight="1" x14ac:dyDescent="0.2">
      <c r="A8" s="81">
        <v>3</v>
      </c>
      <c r="B8" s="54" t="s">
        <v>430</v>
      </c>
      <c r="C8" s="81">
        <v>54</v>
      </c>
      <c r="D8" s="81">
        <v>55</v>
      </c>
      <c r="E8" s="81">
        <v>1</v>
      </c>
      <c r="F8" s="81">
        <v>0</v>
      </c>
      <c r="G8" s="81">
        <v>0</v>
      </c>
      <c r="H8" s="81">
        <v>5</v>
      </c>
      <c r="I8" s="81">
        <v>0</v>
      </c>
      <c r="J8" s="81">
        <v>0</v>
      </c>
      <c r="K8" s="81">
        <v>0</v>
      </c>
      <c r="L8" s="81">
        <v>0</v>
      </c>
      <c r="M8" s="81">
        <v>5</v>
      </c>
      <c r="N8" s="81">
        <v>0</v>
      </c>
      <c r="O8" s="163">
        <v>50</v>
      </c>
      <c r="P8" s="164">
        <v>3.6363636363636362E-2</v>
      </c>
      <c r="Q8" s="164">
        <v>1.8181818181818181E-2</v>
      </c>
      <c r="R8" s="164">
        <v>0.94545454545454544</v>
      </c>
      <c r="S8" s="164">
        <v>0.94545454545454544</v>
      </c>
      <c r="T8" s="166" t="s">
        <v>144</v>
      </c>
    </row>
    <row r="9" spans="1:20" ht="20.25" x14ac:dyDescent="0.2">
      <c r="A9" s="81">
        <v>4</v>
      </c>
      <c r="B9" s="54" t="s">
        <v>431</v>
      </c>
      <c r="C9" s="81">
        <v>0</v>
      </c>
      <c r="D9" s="81">
        <v>0</v>
      </c>
      <c r="E9" s="81">
        <v>0</v>
      </c>
      <c r="F9" s="81">
        <v>0</v>
      </c>
      <c r="G9" s="81">
        <v>0</v>
      </c>
      <c r="H9" s="81">
        <v>0</v>
      </c>
      <c r="I9" s="81">
        <v>0</v>
      </c>
      <c r="J9" s="81">
        <v>0</v>
      </c>
      <c r="K9" s="81">
        <v>0</v>
      </c>
      <c r="L9" s="81">
        <v>0</v>
      </c>
      <c r="M9" s="81">
        <v>0</v>
      </c>
      <c r="N9" s="81">
        <v>0</v>
      </c>
      <c r="O9" s="163">
        <v>0</v>
      </c>
      <c r="P9" s="164" t="s">
        <v>54</v>
      </c>
      <c r="Q9" s="164" t="s">
        <v>54</v>
      </c>
      <c r="R9" s="164" t="s">
        <v>54</v>
      </c>
      <c r="S9" s="164" t="s">
        <v>54</v>
      </c>
      <c r="T9" s="167"/>
    </row>
    <row r="10" spans="1:20" ht="20.25" x14ac:dyDescent="0.2">
      <c r="A10" s="81">
        <v>5</v>
      </c>
      <c r="B10" s="54" t="s">
        <v>432</v>
      </c>
      <c r="C10" s="81">
        <v>0</v>
      </c>
      <c r="D10" s="81">
        <v>0</v>
      </c>
      <c r="E10" s="81">
        <v>0</v>
      </c>
      <c r="F10" s="81">
        <v>0</v>
      </c>
      <c r="G10" s="81">
        <v>0</v>
      </c>
      <c r="H10" s="81">
        <v>0</v>
      </c>
      <c r="I10" s="81">
        <v>0</v>
      </c>
      <c r="J10" s="81">
        <v>0</v>
      </c>
      <c r="K10" s="81">
        <v>0</v>
      </c>
      <c r="L10" s="81">
        <v>0</v>
      </c>
      <c r="M10" s="81">
        <v>0</v>
      </c>
      <c r="N10" s="81">
        <v>0</v>
      </c>
      <c r="O10" s="163">
        <v>0</v>
      </c>
      <c r="P10" s="164" t="s">
        <v>54</v>
      </c>
      <c r="Q10" s="164" t="s">
        <v>54</v>
      </c>
      <c r="R10" s="164" t="s">
        <v>54</v>
      </c>
      <c r="S10" s="164" t="s">
        <v>54</v>
      </c>
      <c r="T10" s="13"/>
    </row>
    <row r="11" spans="1:20" ht="20.25" x14ac:dyDescent="0.2">
      <c r="A11" s="81">
        <v>6</v>
      </c>
      <c r="B11" s="54" t="s">
        <v>433</v>
      </c>
      <c r="C11" s="81">
        <v>0</v>
      </c>
      <c r="D11" s="81">
        <v>0</v>
      </c>
      <c r="E11" s="81">
        <v>0</v>
      </c>
      <c r="F11" s="81">
        <v>0</v>
      </c>
      <c r="G11" s="81">
        <v>0</v>
      </c>
      <c r="H11" s="81">
        <v>0</v>
      </c>
      <c r="I11" s="81">
        <v>0</v>
      </c>
      <c r="J11" s="81">
        <v>0</v>
      </c>
      <c r="K11" s="81">
        <v>0</v>
      </c>
      <c r="L11" s="81">
        <v>0</v>
      </c>
      <c r="M11" s="81">
        <v>0</v>
      </c>
      <c r="N11" s="81">
        <v>0</v>
      </c>
      <c r="O11" s="163">
        <v>0</v>
      </c>
      <c r="P11" s="164" t="s">
        <v>54</v>
      </c>
      <c r="Q11" s="164" t="s">
        <v>54</v>
      </c>
      <c r="R11" s="164" t="s">
        <v>54</v>
      </c>
      <c r="S11" s="164" t="s">
        <v>54</v>
      </c>
      <c r="T11" s="13"/>
    </row>
    <row r="12" spans="1:20" ht="20.25" x14ac:dyDescent="0.2">
      <c r="A12" s="81">
        <v>7</v>
      </c>
      <c r="B12" s="54" t="s">
        <v>434</v>
      </c>
      <c r="C12" s="81">
        <v>0</v>
      </c>
      <c r="D12" s="81">
        <v>0</v>
      </c>
      <c r="E12" s="81">
        <v>0</v>
      </c>
      <c r="F12" s="81">
        <v>0</v>
      </c>
      <c r="G12" s="81">
        <v>0</v>
      </c>
      <c r="H12" s="81">
        <v>0</v>
      </c>
      <c r="I12" s="81">
        <v>0</v>
      </c>
      <c r="J12" s="81">
        <v>0</v>
      </c>
      <c r="K12" s="81">
        <v>0</v>
      </c>
      <c r="L12" s="81">
        <v>0</v>
      </c>
      <c r="M12" s="81">
        <v>0</v>
      </c>
      <c r="N12" s="81">
        <v>0</v>
      </c>
      <c r="O12" s="163">
        <v>0</v>
      </c>
      <c r="P12" s="164" t="s">
        <v>54</v>
      </c>
      <c r="Q12" s="164" t="s">
        <v>54</v>
      </c>
      <c r="R12" s="164" t="s">
        <v>54</v>
      </c>
      <c r="S12" s="164" t="s">
        <v>54</v>
      </c>
    </row>
    <row r="13" spans="1:20" ht="20.25" x14ac:dyDescent="0.2">
      <c r="A13" s="81">
        <v>8</v>
      </c>
      <c r="B13" s="54" t="s">
        <v>435</v>
      </c>
      <c r="C13" s="81">
        <v>0</v>
      </c>
      <c r="D13" s="81">
        <v>0</v>
      </c>
      <c r="E13" s="81">
        <v>0</v>
      </c>
      <c r="F13" s="81">
        <v>0</v>
      </c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163">
        <v>0</v>
      </c>
      <c r="P13" s="164" t="s">
        <v>54</v>
      </c>
      <c r="Q13" s="164" t="s">
        <v>54</v>
      </c>
      <c r="R13" s="164" t="s">
        <v>54</v>
      </c>
      <c r="S13" s="164" t="s">
        <v>54</v>
      </c>
      <c r="T13" s="16"/>
    </row>
    <row r="14" spans="1:20" ht="20.25" x14ac:dyDescent="0.2">
      <c r="A14" s="81">
        <v>9</v>
      </c>
      <c r="B14" s="54" t="s">
        <v>436</v>
      </c>
      <c r="C14" s="81">
        <v>12</v>
      </c>
      <c r="D14" s="81">
        <v>29</v>
      </c>
      <c r="E14" s="81">
        <v>0</v>
      </c>
      <c r="F14" s="81">
        <v>0</v>
      </c>
      <c r="G14" s="81">
        <v>1</v>
      </c>
      <c r="H14" s="81">
        <v>0</v>
      </c>
      <c r="I14" s="81">
        <v>0</v>
      </c>
      <c r="J14" s="81">
        <v>0</v>
      </c>
      <c r="K14" s="81">
        <v>0</v>
      </c>
      <c r="L14" s="81">
        <v>0</v>
      </c>
      <c r="M14" s="81">
        <v>1</v>
      </c>
      <c r="N14" s="81">
        <v>0</v>
      </c>
      <c r="O14" s="163">
        <v>28</v>
      </c>
      <c r="P14" s="164">
        <v>3.4482758620689655E-2</v>
      </c>
      <c r="Q14" s="164">
        <v>0</v>
      </c>
      <c r="R14" s="164">
        <v>0.96551724137931039</v>
      </c>
      <c r="S14" s="164">
        <v>0.96551724137931039</v>
      </c>
      <c r="T14" s="16" t="s">
        <v>140</v>
      </c>
    </row>
    <row r="15" spans="1:20" ht="20.25" x14ac:dyDescent="0.2">
      <c r="A15" s="81">
        <v>10</v>
      </c>
      <c r="B15" s="54" t="s">
        <v>437</v>
      </c>
      <c r="C15" s="81">
        <v>0</v>
      </c>
      <c r="D15" s="81">
        <v>0</v>
      </c>
      <c r="E15" s="81">
        <v>0</v>
      </c>
      <c r="F15" s="81">
        <v>0</v>
      </c>
      <c r="G15" s="81">
        <v>0</v>
      </c>
      <c r="H15" s="81">
        <v>0</v>
      </c>
      <c r="I15" s="81">
        <v>0</v>
      </c>
      <c r="J15" s="81">
        <v>0</v>
      </c>
      <c r="K15" s="81">
        <v>0</v>
      </c>
      <c r="L15" s="81">
        <v>0</v>
      </c>
      <c r="M15" s="81">
        <v>0</v>
      </c>
      <c r="N15" s="81">
        <v>0</v>
      </c>
      <c r="O15" s="163">
        <v>0</v>
      </c>
      <c r="P15" s="164" t="s">
        <v>54</v>
      </c>
      <c r="Q15" s="164" t="s">
        <v>54</v>
      </c>
      <c r="R15" s="164" t="s">
        <v>54</v>
      </c>
      <c r="S15" s="164" t="s">
        <v>54</v>
      </c>
      <c r="T15" s="16"/>
    </row>
    <row r="16" spans="1:20" ht="20.25" x14ac:dyDescent="0.2">
      <c r="A16" s="81">
        <v>11</v>
      </c>
      <c r="B16" s="54" t="s">
        <v>438</v>
      </c>
      <c r="C16" s="81">
        <v>0</v>
      </c>
      <c r="D16" s="81">
        <v>0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163">
        <v>0</v>
      </c>
      <c r="P16" s="164" t="s">
        <v>54</v>
      </c>
      <c r="Q16" s="164" t="s">
        <v>54</v>
      </c>
      <c r="R16" s="164" t="s">
        <v>54</v>
      </c>
      <c r="S16" s="164" t="s">
        <v>54</v>
      </c>
      <c r="T16" s="16"/>
    </row>
    <row r="17" spans="1:20" ht="19.5" customHeight="1" x14ac:dyDescent="0.2">
      <c r="A17" s="81">
        <v>12</v>
      </c>
      <c r="B17" s="54" t="s">
        <v>439</v>
      </c>
      <c r="C17" s="81">
        <v>0</v>
      </c>
      <c r="D17" s="81">
        <v>0</v>
      </c>
      <c r="E17" s="81">
        <v>0</v>
      </c>
      <c r="F17" s="81">
        <v>0</v>
      </c>
      <c r="G17" s="81">
        <v>0</v>
      </c>
      <c r="H17" s="81">
        <v>0</v>
      </c>
      <c r="I17" s="81">
        <v>0</v>
      </c>
      <c r="J17" s="81">
        <v>0</v>
      </c>
      <c r="K17" s="81">
        <v>0</v>
      </c>
      <c r="L17" s="81">
        <v>0</v>
      </c>
      <c r="M17" s="81">
        <v>0</v>
      </c>
      <c r="N17" s="81">
        <v>0</v>
      </c>
      <c r="O17" s="163">
        <v>0</v>
      </c>
      <c r="P17" s="164" t="s">
        <v>54</v>
      </c>
      <c r="Q17" s="164" t="s">
        <v>54</v>
      </c>
      <c r="R17" s="164" t="s">
        <v>54</v>
      </c>
      <c r="S17" s="164" t="s">
        <v>54</v>
      </c>
      <c r="T17" s="168"/>
    </row>
    <row r="18" spans="1:20" ht="20.25" x14ac:dyDescent="0.2">
      <c r="A18" s="81">
        <v>13</v>
      </c>
      <c r="B18" s="54" t="s">
        <v>440</v>
      </c>
      <c r="C18" s="81">
        <v>0</v>
      </c>
      <c r="D18" s="81">
        <v>0</v>
      </c>
      <c r="E18" s="81">
        <v>0</v>
      </c>
      <c r="F18" s="81">
        <v>0</v>
      </c>
      <c r="G18" s="81">
        <v>0</v>
      </c>
      <c r="H18" s="81">
        <v>0</v>
      </c>
      <c r="I18" s="81">
        <v>0</v>
      </c>
      <c r="J18" s="81">
        <v>0</v>
      </c>
      <c r="K18" s="81">
        <v>0</v>
      </c>
      <c r="L18" s="81">
        <v>0</v>
      </c>
      <c r="M18" s="81">
        <v>0</v>
      </c>
      <c r="N18" s="81">
        <v>0</v>
      </c>
      <c r="O18" s="163">
        <v>0</v>
      </c>
      <c r="P18" s="164" t="s">
        <v>54</v>
      </c>
      <c r="Q18" s="164" t="s">
        <v>54</v>
      </c>
      <c r="R18" s="164" t="s">
        <v>54</v>
      </c>
      <c r="S18" s="164" t="s">
        <v>54</v>
      </c>
      <c r="T18" s="16"/>
    </row>
    <row r="19" spans="1:20" ht="20.25" x14ac:dyDescent="0.2">
      <c r="A19" s="81">
        <v>14</v>
      </c>
      <c r="B19" s="54" t="s">
        <v>441</v>
      </c>
      <c r="C19" s="81">
        <v>0</v>
      </c>
      <c r="D19" s="81">
        <v>0</v>
      </c>
      <c r="E19" s="81">
        <v>0</v>
      </c>
      <c r="F19" s="81">
        <v>0</v>
      </c>
      <c r="G19" s="81">
        <v>0</v>
      </c>
      <c r="H19" s="81">
        <v>0</v>
      </c>
      <c r="I19" s="81">
        <v>0</v>
      </c>
      <c r="J19" s="81">
        <v>0</v>
      </c>
      <c r="K19" s="81">
        <v>0</v>
      </c>
      <c r="L19" s="81">
        <v>0</v>
      </c>
      <c r="M19" s="81">
        <v>0</v>
      </c>
      <c r="N19" s="81">
        <v>0</v>
      </c>
      <c r="O19" s="163">
        <v>0</v>
      </c>
      <c r="P19" s="164" t="s">
        <v>54</v>
      </c>
      <c r="Q19" s="164" t="s">
        <v>54</v>
      </c>
      <c r="R19" s="164" t="s">
        <v>54</v>
      </c>
      <c r="S19" s="164" t="s">
        <v>54</v>
      </c>
      <c r="T19" s="16"/>
    </row>
    <row r="20" spans="1:20" ht="93.75" customHeight="1" x14ac:dyDescent="0.2">
      <c r="A20" s="81">
        <v>15</v>
      </c>
      <c r="B20" s="54" t="s">
        <v>442</v>
      </c>
      <c r="C20" s="81">
        <v>63</v>
      </c>
      <c r="D20" s="81">
        <v>65</v>
      </c>
      <c r="E20" s="81">
        <v>0</v>
      </c>
      <c r="F20" s="81">
        <v>5</v>
      </c>
      <c r="G20" s="81">
        <v>0</v>
      </c>
      <c r="H20" s="81">
        <v>2</v>
      </c>
      <c r="I20" s="81">
        <v>0</v>
      </c>
      <c r="J20" s="81">
        <v>0</v>
      </c>
      <c r="K20" s="81">
        <v>0</v>
      </c>
      <c r="L20" s="81">
        <v>0</v>
      </c>
      <c r="M20" s="81">
        <v>7</v>
      </c>
      <c r="N20" s="81">
        <v>0</v>
      </c>
      <c r="O20" s="163">
        <v>58</v>
      </c>
      <c r="P20" s="164">
        <v>0.13846153846153847</v>
      </c>
      <c r="Q20" s="164">
        <v>0</v>
      </c>
      <c r="R20" s="164">
        <v>0.86153846153846159</v>
      </c>
      <c r="S20" s="164">
        <v>0.86153846153846159</v>
      </c>
      <c r="T20" s="33" t="s">
        <v>449</v>
      </c>
    </row>
    <row r="21" spans="1:20" ht="58.5" customHeight="1" x14ac:dyDescent="0.2">
      <c r="A21" s="81">
        <v>16</v>
      </c>
      <c r="B21" s="54" t="s">
        <v>443</v>
      </c>
      <c r="C21" s="81">
        <v>45</v>
      </c>
      <c r="D21" s="81">
        <v>37</v>
      </c>
      <c r="E21" s="81">
        <v>0</v>
      </c>
      <c r="F21" s="81">
        <v>1</v>
      </c>
      <c r="G21" s="81">
        <v>0</v>
      </c>
      <c r="H21" s="81">
        <v>0</v>
      </c>
      <c r="I21" s="81">
        <v>0</v>
      </c>
      <c r="J21" s="81">
        <v>0</v>
      </c>
      <c r="K21" s="81">
        <v>0</v>
      </c>
      <c r="L21" s="81">
        <v>0</v>
      </c>
      <c r="M21" s="81">
        <v>1</v>
      </c>
      <c r="N21" s="81">
        <v>0</v>
      </c>
      <c r="O21" s="163">
        <v>36</v>
      </c>
      <c r="P21" s="164">
        <v>5.4054054054054057E-2</v>
      </c>
      <c r="Q21" s="164">
        <v>0</v>
      </c>
      <c r="R21" s="164">
        <v>0.94594594594594594</v>
      </c>
      <c r="S21" s="164">
        <v>0.94594594594594594</v>
      </c>
      <c r="T21" s="33" t="s">
        <v>146</v>
      </c>
    </row>
    <row r="22" spans="1:20" ht="72.75" customHeight="1" x14ac:dyDescent="0.2">
      <c r="A22" s="81">
        <v>17</v>
      </c>
      <c r="B22" s="54" t="s">
        <v>444</v>
      </c>
      <c r="C22" s="81">
        <v>0</v>
      </c>
      <c r="D22" s="81">
        <v>0</v>
      </c>
      <c r="E22" s="81">
        <v>0</v>
      </c>
      <c r="F22" s="81">
        <v>0</v>
      </c>
      <c r="G22" s="81">
        <v>0</v>
      </c>
      <c r="H22" s="81">
        <v>0</v>
      </c>
      <c r="I22" s="81">
        <v>0</v>
      </c>
      <c r="J22" s="81">
        <v>0</v>
      </c>
      <c r="K22" s="81">
        <v>0</v>
      </c>
      <c r="L22" s="81">
        <v>0</v>
      </c>
      <c r="M22" s="81">
        <v>0</v>
      </c>
      <c r="N22" s="81">
        <v>0</v>
      </c>
      <c r="O22" s="163">
        <v>0</v>
      </c>
      <c r="P22" s="164" t="s">
        <v>54</v>
      </c>
      <c r="Q22" s="164" t="s">
        <v>54</v>
      </c>
      <c r="R22" s="164" t="s">
        <v>54</v>
      </c>
      <c r="S22" s="164" t="s">
        <v>54</v>
      </c>
      <c r="T22" s="16" t="s">
        <v>141</v>
      </c>
    </row>
    <row r="23" spans="1:20" ht="20.25" x14ac:dyDescent="0.2">
      <c r="A23" s="81">
        <v>18</v>
      </c>
      <c r="B23" s="54" t="s">
        <v>445</v>
      </c>
      <c r="C23" s="81">
        <v>147</v>
      </c>
      <c r="D23" s="81">
        <v>155</v>
      </c>
      <c r="E23" s="81">
        <v>0</v>
      </c>
      <c r="F23" s="81">
        <v>1</v>
      </c>
      <c r="G23" s="81">
        <v>0</v>
      </c>
      <c r="H23" s="81">
        <v>0</v>
      </c>
      <c r="I23" s="81">
        <v>0</v>
      </c>
      <c r="J23" s="81">
        <v>0</v>
      </c>
      <c r="K23" s="81">
        <v>0</v>
      </c>
      <c r="L23" s="81">
        <v>0</v>
      </c>
      <c r="M23" s="81">
        <v>1</v>
      </c>
      <c r="N23" s="81">
        <v>0</v>
      </c>
      <c r="O23" s="163">
        <v>154</v>
      </c>
      <c r="P23" s="164">
        <v>2.5806451612903226E-2</v>
      </c>
      <c r="Q23" s="164">
        <v>0</v>
      </c>
      <c r="R23" s="164">
        <v>0.97419354838709682</v>
      </c>
      <c r="S23" s="164">
        <v>0.97419354838709682</v>
      </c>
      <c r="T23" s="33" t="s">
        <v>145</v>
      </c>
    </row>
    <row r="24" spans="1:20" ht="20.25" x14ac:dyDescent="0.2">
      <c r="A24" s="81">
        <v>19</v>
      </c>
      <c r="B24" s="54" t="s">
        <v>446</v>
      </c>
      <c r="C24" s="81">
        <v>42</v>
      </c>
      <c r="D24" s="81">
        <v>35</v>
      </c>
      <c r="E24" s="81">
        <v>0</v>
      </c>
      <c r="F24" s="81">
        <v>0</v>
      </c>
      <c r="G24" s="81">
        <v>0</v>
      </c>
      <c r="H24" s="81">
        <v>0</v>
      </c>
      <c r="I24" s="81">
        <v>0</v>
      </c>
      <c r="J24" s="81">
        <v>1</v>
      </c>
      <c r="K24" s="81">
        <v>0</v>
      </c>
      <c r="L24" s="81">
        <v>0</v>
      </c>
      <c r="M24" s="81">
        <v>1</v>
      </c>
      <c r="N24" s="81">
        <v>7</v>
      </c>
      <c r="O24" s="163">
        <v>27</v>
      </c>
      <c r="P24" s="164">
        <v>2.8571428571428571E-2</v>
      </c>
      <c r="Q24" s="164">
        <v>0.2</v>
      </c>
      <c r="R24" s="164">
        <v>0.77142857142857146</v>
      </c>
      <c r="S24" s="164">
        <v>0.77142857142857146</v>
      </c>
      <c r="T24" s="8"/>
    </row>
    <row r="25" spans="1:20" ht="30.75" customHeight="1" x14ac:dyDescent="0.25">
      <c r="T25" s="155" t="s">
        <v>19</v>
      </c>
    </row>
    <row r="27" spans="1:20" x14ac:dyDescent="0.25">
      <c r="S27" s="155" t="s">
        <v>19</v>
      </c>
    </row>
    <row r="29" spans="1:20" x14ac:dyDescent="0.25">
      <c r="T29" s="2"/>
    </row>
  </sheetData>
  <protectedRanges>
    <protectedRange sqref="T8" name="Range1"/>
  </protectedRanges>
  <autoFilter ref="A5:T25" xr:uid="{097A73BF-71AB-40BF-A716-B2A7A5DC2DA4}"/>
  <mergeCells count="14">
    <mergeCell ref="A1:T1"/>
    <mergeCell ref="R2:T2"/>
    <mergeCell ref="A3:A4"/>
    <mergeCell ref="B3:B4"/>
    <mergeCell ref="C3:D3"/>
    <mergeCell ref="E3:L3"/>
    <mergeCell ref="M3:M4"/>
    <mergeCell ref="N3:N4"/>
    <mergeCell ref="O3:O4"/>
    <mergeCell ref="P3:P4"/>
    <mergeCell ref="Q3:Q4"/>
    <mergeCell ref="R3:R4"/>
    <mergeCell ref="S3:S4"/>
    <mergeCell ref="T3:T4"/>
  </mergeCells>
  <phoneticPr fontId="27" type="noConversion"/>
  <dataValidations count="2">
    <dataValidation type="whole" allowBlank="1" showInputMessage="1" showErrorMessage="1" sqref="C6:N24" xr:uid="{BD9FAB9B-198C-4790-93F6-667D0E3D9337}">
      <formula1>0</formula1>
      <formula2>50000</formula2>
    </dataValidation>
    <dataValidation type="whole" allowBlank="1" showInputMessage="1" showErrorMessage="1" errorTitle="Value Between 0 to 200000" sqref="O6:O24" xr:uid="{01062B9B-8B1B-4FB8-95EF-88F9E8C03EDA}">
      <formula1>0</formula1>
      <formula2>200000</formula2>
    </dataValidation>
  </dataValidations>
  <pageMargins left="0.52" right="0.31496062992126" top="0.39370078740157499" bottom="0.39370078740157499" header="0.31496062992126" footer="0.31496062992126"/>
  <pageSetup paperSize="9" scale="4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0A90-B448-4AD9-A394-98A09D10F455}">
  <sheetPr>
    <tabColor rgb="FF92D050"/>
  </sheetPr>
  <dimension ref="A2:T74"/>
  <sheetViews>
    <sheetView view="pageBreakPreview" zoomScale="62" zoomScaleNormal="50" zoomScaleSheetLayoutView="62" workbookViewId="0">
      <pane ySplit="4" topLeftCell="A43" activePane="bottomLeft" state="frozen"/>
      <selection pane="bottomLeft" activeCell="Q64" sqref="Q64"/>
    </sheetView>
  </sheetViews>
  <sheetFormatPr defaultColWidth="9.140625" defaultRowHeight="15" x14ac:dyDescent="0.2"/>
  <cols>
    <col min="1" max="1" width="5.5703125" style="3" customWidth="1"/>
    <col min="2" max="2" width="44.5703125" style="2" customWidth="1"/>
    <col min="3" max="3" width="14.85546875" style="4" bestFit="1" customWidth="1"/>
    <col min="4" max="4" width="14.7109375" style="4" bestFit="1" customWidth="1"/>
    <col min="5" max="5" width="6.5703125" style="4" customWidth="1"/>
    <col min="6" max="6" width="7.5703125" style="4" customWidth="1"/>
    <col min="7" max="7" width="7" style="4" customWidth="1"/>
    <col min="8" max="8" width="12.85546875" style="4" customWidth="1"/>
    <col min="9" max="9" width="6.42578125" style="4" customWidth="1"/>
    <col min="10" max="10" width="11.7109375" style="4" customWidth="1"/>
    <col min="11" max="11" width="8.140625" style="4" customWidth="1"/>
    <col min="12" max="12" width="10" style="155" customWidth="1"/>
    <col min="13" max="13" width="11.7109375" style="155" customWidth="1"/>
    <col min="14" max="14" width="9.7109375" style="155" customWidth="1"/>
    <col min="15" max="15" width="18" style="155" customWidth="1"/>
    <col min="16" max="16" width="13.85546875" style="155" customWidth="1"/>
    <col min="17" max="17" width="72.5703125" style="5" customWidth="1"/>
    <col min="18" max="16384" width="9.140625" style="155"/>
  </cols>
  <sheetData>
    <row r="2" spans="1:20" ht="15.75" x14ac:dyDescent="0.2">
      <c r="A2" s="260" t="s">
        <v>55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</row>
    <row r="3" spans="1:20" s="160" customFormat="1" ht="15.75" x14ac:dyDescent="0.25">
      <c r="A3" s="269" t="s">
        <v>0</v>
      </c>
      <c r="B3" s="271" t="s">
        <v>1</v>
      </c>
      <c r="C3" s="263" t="s">
        <v>2</v>
      </c>
      <c r="D3" s="263"/>
      <c r="E3" s="263" t="s">
        <v>3</v>
      </c>
      <c r="F3" s="263"/>
      <c r="G3" s="263"/>
      <c r="H3" s="263"/>
      <c r="I3" s="263"/>
      <c r="J3" s="271" t="s">
        <v>4</v>
      </c>
      <c r="K3" s="271" t="s">
        <v>5</v>
      </c>
      <c r="L3" s="271" t="s">
        <v>6</v>
      </c>
      <c r="M3" s="271" t="s">
        <v>7</v>
      </c>
      <c r="N3" s="271" t="s">
        <v>8</v>
      </c>
      <c r="O3" s="271" t="s">
        <v>9</v>
      </c>
      <c r="P3" s="271" t="s">
        <v>10</v>
      </c>
      <c r="Q3" s="272" t="s">
        <v>11</v>
      </c>
    </row>
    <row r="4" spans="1:20" s="173" customFormat="1" ht="63" x14ac:dyDescent="0.25">
      <c r="A4" s="270"/>
      <c r="B4" s="271"/>
      <c r="C4" s="169" t="s">
        <v>12</v>
      </c>
      <c r="D4" s="169" t="s">
        <v>13</v>
      </c>
      <c r="E4" s="83" t="s">
        <v>14</v>
      </c>
      <c r="F4" s="170" t="s">
        <v>15</v>
      </c>
      <c r="G4" s="171" t="s">
        <v>16</v>
      </c>
      <c r="H4" s="172" t="s">
        <v>17</v>
      </c>
      <c r="I4" s="171" t="s">
        <v>18</v>
      </c>
      <c r="J4" s="271"/>
      <c r="K4" s="271"/>
      <c r="L4" s="271"/>
      <c r="M4" s="271"/>
      <c r="N4" s="271"/>
      <c r="O4" s="271"/>
      <c r="P4" s="271"/>
      <c r="Q4" s="272"/>
      <c r="T4" s="173" t="s">
        <v>19</v>
      </c>
    </row>
    <row r="5" spans="1:20" s="87" customFormat="1" ht="30.75" customHeight="1" x14ac:dyDescent="0.25">
      <c r="A5" s="10">
        <v>1</v>
      </c>
      <c r="B5" s="105" t="s">
        <v>450</v>
      </c>
      <c r="C5" s="174">
        <v>142</v>
      </c>
      <c r="D5" s="174">
        <v>159</v>
      </c>
      <c r="E5" s="174">
        <v>0</v>
      </c>
      <c r="F5" s="174">
        <v>0</v>
      </c>
      <c r="G5" s="174">
        <v>0</v>
      </c>
      <c r="H5" s="174">
        <v>0</v>
      </c>
      <c r="I5" s="174">
        <v>0</v>
      </c>
      <c r="J5" s="174">
        <v>0</v>
      </c>
      <c r="K5" s="174">
        <v>0</v>
      </c>
      <c r="L5" s="174">
        <f>D5-J5-K5</f>
        <v>159</v>
      </c>
      <c r="M5" s="158">
        <v>3.1446540880503145E-2</v>
      </c>
      <c r="N5" s="175">
        <v>0</v>
      </c>
      <c r="O5" s="158">
        <v>0.96855345911949686</v>
      </c>
      <c r="P5" s="158">
        <v>0.96855345911949686</v>
      </c>
      <c r="Q5" s="176"/>
      <c r="S5" s="87" t="s">
        <v>19</v>
      </c>
    </row>
    <row r="6" spans="1:20" s="177" customFormat="1" ht="56.25" customHeight="1" x14ac:dyDescent="0.2">
      <c r="A6" s="10">
        <v>2</v>
      </c>
      <c r="B6" s="105" t="s">
        <v>451</v>
      </c>
      <c r="C6" s="174">
        <v>393</v>
      </c>
      <c r="D6" s="174">
        <v>305</v>
      </c>
      <c r="E6" s="174">
        <v>0</v>
      </c>
      <c r="F6" s="174">
        <v>0</v>
      </c>
      <c r="G6" s="174">
        <v>0</v>
      </c>
      <c r="H6" s="174">
        <v>0</v>
      </c>
      <c r="I6" s="174">
        <v>0</v>
      </c>
      <c r="J6" s="174">
        <v>9</v>
      </c>
      <c r="K6" s="174">
        <v>0</v>
      </c>
      <c r="L6" s="174">
        <f t="shared" ref="L6:L69" si="0">D6-J6-K6</f>
        <v>296</v>
      </c>
      <c r="M6" s="158">
        <v>3.1446540880503145E-2</v>
      </c>
      <c r="N6" s="175">
        <v>0</v>
      </c>
      <c r="O6" s="158">
        <v>0.96855345911949686</v>
      </c>
      <c r="P6" s="158">
        <v>0.96855345911949686</v>
      </c>
      <c r="Q6" s="149" t="s">
        <v>58</v>
      </c>
    </row>
    <row r="7" spans="1:20" s="87" customFormat="1" ht="71.25" customHeight="1" x14ac:dyDescent="0.25">
      <c r="A7" s="10">
        <v>3</v>
      </c>
      <c r="B7" s="105" t="s">
        <v>452</v>
      </c>
      <c r="C7" s="174">
        <v>1062</v>
      </c>
      <c r="D7" s="174">
        <v>1243</v>
      </c>
      <c r="E7" s="174">
        <v>0</v>
      </c>
      <c r="F7" s="174">
        <v>0</v>
      </c>
      <c r="G7" s="174">
        <v>0</v>
      </c>
      <c r="H7" s="174">
        <v>0</v>
      </c>
      <c r="I7" s="174">
        <v>0</v>
      </c>
      <c r="J7" s="174">
        <v>15</v>
      </c>
      <c r="K7" s="174">
        <v>0</v>
      </c>
      <c r="L7" s="174">
        <f t="shared" si="0"/>
        <v>1228</v>
      </c>
      <c r="M7" s="158">
        <v>3.1446540880503145E-2</v>
      </c>
      <c r="N7" s="175">
        <v>0</v>
      </c>
      <c r="O7" s="158">
        <v>0.96855345911949686</v>
      </c>
      <c r="P7" s="158">
        <v>0.96855345911949686</v>
      </c>
      <c r="Q7" s="176" t="s">
        <v>60</v>
      </c>
      <c r="T7" s="87" t="s">
        <v>19</v>
      </c>
    </row>
    <row r="8" spans="1:20" s="87" customFormat="1" x14ac:dyDescent="0.25">
      <c r="A8" s="10">
        <v>4</v>
      </c>
      <c r="B8" s="105" t="s">
        <v>453</v>
      </c>
      <c r="C8" s="174">
        <v>187</v>
      </c>
      <c r="D8" s="174">
        <v>135</v>
      </c>
      <c r="E8" s="174">
        <v>0</v>
      </c>
      <c r="F8" s="174">
        <v>0</v>
      </c>
      <c r="G8" s="174">
        <v>0</v>
      </c>
      <c r="H8" s="174">
        <v>0</v>
      </c>
      <c r="I8" s="174">
        <v>0</v>
      </c>
      <c r="J8" s="174">
        <f t="shared" ref="J8:J68" si="1">E8+F8+G8+H8+I8</f>
        <v>0</v>
      </c>
      <c r="K8" s="174">
        <v>0</v>
      </c>
      <c r="L8" s="174">
        <f t="shared" si="0"/>
        <v>135</v>
      </c>
      <c r="M8" s="158">
        <v>3.1446540880503145E-2</v>
      </c>
      <c r="N8" s="175">
        <v>0</v>
      </c>
      <c r="O8" s="158">
        <v>0.96855345911949686</v>
      </c>
      <c r="P8" s="158">
        <v>0.96855345911949686</v>
      </c>
      <c r="Q8" s="176"/>
    </row>
    <row r="9" spans="1:20" s="177" customFormat="1" x14ac:dyDescent="0.2">
      <c r="A9" s="10">
        <v>5</v>
      </c>
      <c r="B9" s="105" t="s">
        <v>454</v>
      </c>
      <c r="C9" s="174">
        <v>25</v>
      </c>
      <c r="D9" s="174">
        <v>22</v>
      </c>
      <c r="E9" s="174">
        <v>0</v>
      </c>
      <c r="F9" s="174">
        <v>0</v>
      </c>
      <c r="G9" s="174">
        <v>0</v>
      </c>
      <c r="H9" s="174">
        <v>0</v>
      </c>
      <c r="I9" s="174">
        <v>0</v>
      </c>
      <c r="J9" s="174">
        <f t="shared" si="1"/>
        <v>0</v>
      </c>
      <c r="K9" s="174">
        <v>0</v>
      </c>
      <c r="L9" s="174">
        <f t="shared" si="0"/>
        <v>22</v>
      </c>
      <c r="M9" s="158">
        <v>3.1446540880503145E-2</v>
      </c>
      <c r="N9" s="175">
        <v>0</v>
      </c>
      <c r="O9" s="158">
        <v>0.96855345911949686</v>
      </c>
      <c r="P9" s="158">
        <v>0.96855345911949686</v>
      </c>
      <c r="Q9" s="176"/>
      <c r="S9" s="177" t="s">
        <v>19</v>
      </c>
    </row>
    <row r="10" spans="1:20" s="87" customFormat="1" ht="267" customHeight="1" x14ac:dyDescent="0.25">
      <c r="A10" s="10">
        <v>6</v>
      </c>
      <c r="B10" s="105" t="s">
        <v>455</v>
      </c>
      <c r="C10" s="174">
        <v>863</v>
      </c>
      <c r="D10" s="174">
        <v>921</v>
      </c>
      <c r="E10" s="174">
        <v>0</v>
      </c>
      <c r="F10" s="174">
        <v>0</v>
      </c>
      <c r="G10" s="174">
        <v>3</v>
      </c>
      <c r="H10" s="174">
        <v>0</v>
      </c>
      <c r="I10" s="174"/>
      <c r="J10" s="174">
        <v>3</v>
      </c>
      <c r="K10" s="174"/>
      <c r="L10" s="174">
        <f t="shared" si="0"/>
        <v>918</v>
      </c>
      <c r="M10" s="158">
        <v>3.1446540880503145E-2</v>
      </c>
      <c r="N10" s="175">
        <v>0</v>
      </c>
      <c r="O10" s="158">
        <v>0.96855345911949686</v>
      </c>
      <c r="P10" s="158">
        <v>0.96855345911949686</v>
      </c>
      <c r="Q10" s="149" t="s">
        <v>159</v>
      </c>
    </row>
    <row r="11" spans="1:20" s="87" customFormat="1" ht="30" x14ac:dyDescent="0.2">
      <c r="A11" s="10">
        <v>7</v>
      </c>
      <c r="B11" s="105" t="s">
        <v>456</v>
      </c>
      <c r="C11" s="174">
        <v>15</v>
      </c>
      <c r="D11" s="174">
        <v>27</v>
      </c>
      <c r="E11" s="174">
        <v>0</v>
      </c>
      <c r="F11" s="174">
        <v>0</v>
      </c>
      <c r="G11" s="174">
        <v>0</v>
      </c>
      <c r="H11" s="174">
        <v>0</v>
      </c>
      <c r="I11" s="174">
        <v>0</v>
      </c>
      <c r="J11" s="174">
        <v>1</v>
      </c>
      <c r="K11" s="174">
        <v>0</v>
      </c>
      <c r="L11" s="174">
        <f t="shared" si="0"/>
        <v>26</v>
      </c>
      <c r="M11" s="158">
        <v>0</v>
      </c>
      <c r="N11" s="175">
        <v>0</v>
      </c>
      <c r="O11" s="158">
        <v>1</v>
      </c>
      <c r="P11" s="158">
        <v>1</v>
      </c>
      <c r="Q11" s="178" t="s">
        <v>518</v>
      </c>
    </row>
    <row r="12" spans="1:20" s="177" customFormat="1" ht="36" customHeight="1" x14ac:dyDescent="0.2">
      <c r="A12" s="10">
        <v>8</v>
      </c>
      <c r="B12" s="105" t="s">
        <v>457</v>
      </c>
      <c r="C12" s="174">
        <v>528</v>
      </c>
      <c r="D12" s="174">
        <v>546</v>
      </c>
      <c r="E12" s="174">
        <v>0</v>
      </c>
      <c r="F12" s="174">
        <v>0</v>
      </c>
      <c r="G12" s="174">
        <v>0</v>
      </c>
      <c r="H12" s="174">
        <v>0</v>
      </c>
      <c r="I12" s="174">
        <v>0</v>
      </c>
      <c r="J12" s="174">
        <f t="shared" si="1"/>
        <v>0</v>
      </c>
      <c r="K12" s="174">
        <v>0</v>
      </c>
      <c r="L12" s="174">
        <f t="shared" si="0"/>
        <v>546</v>
      </c>
      <c r="M12" s="158">
        <v>0</v>
      </c>
      <c r="N12" s="175">
        <v>0</v>
      </c>
      <c r="O12" s="158">
        <v>1</v>
      </c>
      <c r="P12" s="158">
        <v>1</v>
      </c>
      <c r="Q12" s="149"/>
    </row>
    <row r="13" spans="1:20" s="177" customFormat="1" x14ac:dyDescent="0.2">
      <c r="A13" s="10">
        <v>9</v>
      </c>
      <c r="B13" s="105" t="s">
        <v>458</v>
      </c>
      <c r="C13" s="174">
        <v>26</v>
      </c>
      <c r="D13" s="174">
        <v>96</v>
      </c>
      <c r="E13" s="174">
        <v>0</v>
      </c>
      <c r="F13" s="174">
        <v>0</v>
      </c>
      <c r="G13" s="174">
        <v>0</v>
      </c>
      <c r="H13" s="174">
        <v>0</v>
      </c>
      <c r="I13" s="174">
        <v>0</v>
      </c>
      <c r="J13" s="174">
        <f t="shared" si="1"/>
        <v>0</v>
      </c>
      <c r="K13" s="174">
        <v>0</v>
      </c>
      <c r="L13" s="174">
        <f t="shared" si="0"/>
        <v>96</v>
      </c>
      <c r="M13" s="158">
        <v>0</v>
      </c>
      <c r="N13" s="175">
        <v>0</v>
      </c>
      <c r="O13" s="158">
        <v>1</v>
      </c>
      <c r="P13" s="158">
        <v>1</v>
      </c>
      <c r="Q13" s="176"/>
    </row>
    <row r="14" spans="1:20" s="87" customFormat="1" ht="30" x14ac:dyDescent="0.25">
      <c r="A14" s="10">
        <v>10</v>
      </c>
      <c r="B14" s="105" t="s">
        <v>459</v>
      </c>
      <c r="C14" s="174">
        <v>4842</v>
      </c>
      <c r="D14" s="174">
        <v>4835</v>
      </c>
      <c r="E14" s="174">
        <v>0</v>
      </c>
      <c r="F14" s="174">
        <v>0</v>
      </c>
      <c r="G14" s="174">
        <v>0</v>
      </c>
      <c r="H14" s="174">
        <v>0</v>
      </c>
      <c r="I14" s="174">
        <v>0</v>
      </c>
      <c r="J14" s="174">
        <v>49</v>
      </c>
      <c r="K14" s="174">
        <v>0</v>
      </c>
      <c r="L14" s="174">
        <f t="shared" si="0"/>
        <v>4786</v>
      </c>
      <c r="M14" s="158">
        <v>0</v>
      </c>
      <c r="N14" s="175">
        <v>0</v>
      </c>
      <c r="O14" s="158">
        <v>1</v>
      </c>
      <c r="P14" s="158">
        <v>1</v>
      </c>
      <c r="Q14" s="176" t="s">
        <v>519</v>
      </c>
    </row>
    <row r="15" spans="1:20" s="87" customFormat="1" x14ac:dyDescent="0.25">
      <c r="A15" s="10">
        <v>11</v>
      </c>
      <c r="B15" s="105" t="s">
        <v>460</v>
      </c>
      <c r="C15" s="174">
        <v>84</v>
      </c>
      <c r="D15" s="174">
        <v>105</v>
      </c>
      <c r="E15" s="174">
        <v>0</v>
      </c>
      <c r="F15" s="174">
        <v>0</v>
      </c>
      <c r="G15" s="174">
        <v>0</v>
      </c>
      <c r="H15" s="174">
        <v>0</v>
      </c>
      <c r="I15" s="174">
        <v>0</v>
      </c>
      <c r="J15" s="174">
        <f t="shared" si="1"/>
        <v>0</v>
      </c>
      <c r="K15" s="174">
        <v>0</v>
      </c>
      <c r="L15" s="174">
        <f t="shared" si="0"/>
        <v>105</v>
      </c>
      <c r="M15" s="158">
        <v>0</v>
      </c>
      <c r="N15" s="175">
        <v>0</v>
      </c>
      <c r="O15" s="158">
        <v>1</v>
      </c>
      <c r="P15" s="158">
        <v>1</v>
      </c>
      <c r="Q15" s="176"/>
    </row>
    <row r="16" spans="1:20" s="177" customFormat="1" x14ac:dyDescent="0.2">
      <c r="A16" s="10">
        <v>12</v>
      </c>
      <c r="B16" s="105" t="s">
        <v>461</v>
      </c>
      <c r="C16" s="174">
        <v>7</v>
      </c>
      <c r="D16" s="174">
        <v>48</v>
      </c>
      <c r="E16" s="174">
        <v>0</v>
      </c>
      <c r="F16" s="174">
        <v>0</v>
      </c>
      <c r="G16" s="174">
        <v>0</v>
      </c>
      <c r="H16" s="174">
        <v>0</v>
      </c>
      <c r="I16" s="174">
        <v>0</v>
      </c>
      <c r="J16" s="174">
        <f t="shared" si="1"/>
        <v>0</v>
      </c>
      <c r="K16" s="174">
        <v>0</v>
      </c>
      <c r="L16" s="174">
        <f t="shared" si="0"/>
        <v>48</v>
      </c>
      <c r="M16" s="158">
        <v>0</v>
      </c>
      <c r="N16" s="175">
        <v>0</v>
      </c>
      <c r="O16" s="158">
        <v>1</v>
      </c>
      <c r="P16" s="158">
        <v>1</v>
      </c>
      <c r="Q16" s="176"/>
    </row>
    <row r="17" spans="1:20" s="177" customFormat="1" x14ac:dyDescent="0.2">
      <c r="A17" s="10">
        <v>13</v>
      </c>
      <c r="B17" s="105" t="s">
        <v>462</v>
      </c>
      <c r="C17" s="174">
        <v>0</v>
      </c>
      <c r="D17" s="174">
        <v>0</v>
      </c>
      <c r="E17" s="174">
        <v>0</v>
      </c>
      <c r="F17" s="174">
        <v>0</v>
      </c>
      <c r="G17" s="174">
        <v>0</v>
      </c>
      <c r="H17" s="174">
        <v>0</v>
      </c>
      <c r="I17" s="174">
        <v>0</v>
      </c>
      <c r="J17" s="174">
        <f t="shared" si="1"/>
        <v>0</v>
      </c>
      <c r="K17" s="174">
        <v>0</v>
      </c>
      <c r="L17" s="174">
        <f t="shared" si="0"/>
        <v>0</v>
      </c>
      <c r="M17" s="158" t="s">
        <v>54</v>
      </c>
      <c r="N17" s="175" t="s">
        <v>54</v>
      </c>
      <c r="O17" s="158" t="s">
        <v>54</v>
      </c>
      <c r="P17" s="158" t="s">
        <v>54</v>
      </c>
      <c r="Q17" s="176"/>
    </row>
    <row r="18" spans="1:20" s="177" customFormat="1" x14ac:dyDescent="0.2">
      <c r="A18" s="10">
        <v>14</v>
      </c>
      <c r="B18" s="105" t="s">
        <v>463</v>
      </c>
      <c r="C18" s="174">
        <v>154</v>
      </c>
      <c r="D18" s="174">
        <v>145</v>
      </c>
      <c r="E18" s="174">
        <v>0</v>
      </c>
      <c r="F18" s="174">
        <v>0</v>
      </c>
      <c r="G18" s="174">
        <v>0</v>
      </c>
      <c r="H18" s="174">
        <v>0</v>
      </c>
      <c r="I18" s="174">
        <v>0</v>
      </c>
      <c r="J18" s="174">
        <f t="shared" si="1"/>
        <v>0</v>
      </c>
      <c r="K18" s="174">
        <v>0</v>
      </c>
      <c r="L18" s="174">
        <f t="shared" si="0"/>
        <v>145</v>
      </c>
      <c r="M18" s="158">
        <v>0</v>
      </c>
      <c r="N18" s="175">
        <v>0</v>
      </c>
      <c r="O18" s="158">
        <v>1</v>
      </c>
      <c r="P18" s="158">
        <v>1</v>
      </c>
      <c r="Q18" s="176"/>
    </row>
    <row r="19" spans="1:20" s="177" customFormat="1" x14ac:dyDescent="0.2">
      <c r="A19" s="10">
        <v>15</v>
      </c>
      <c r="B19" s="105" t="s">
        <v>464</v>
      </c>
      <c r="C19" s="174">
        <v>36</v>
      </c>
      <c r="D19" s="174">
        <v>36</v>
      </c>
      <c r="E19" s="174">
        <v>0</v>
      </c>
      <c r="F19" s="174">
        <v>0</v>
      </c>
      <c r="G19" s="174">
        <v>0</v>
      </c>
      <c r="H19" s="174">
        <v>0</v>
      </c>
      <c r="I19" s="174">
        <v>0</v>
      </c>
      <c r="J19" s="174">
        <f t="shared" si="1"/>
        <v>0</v>
      </c>
      <c r="K19" s="174">
        <v>0</v>
      </c>
      <c r="L19" s="174">
        <f t="shared" si="0"/>
        <v>36</v>
      </c>
      <c r="M19" s="158">
        <v>0</v>
      </c>
      <c r="N19" s="175">
        <v>0</v>
      </c>
      <c r="O19" s="158">
        <v>1</v>
      </c>
      <c r="P19" s="158">
        <v>1</v>
      </c>
      <c r="Q19" s="176"/>
    </row>
    <row r="20" spans="1:20" s="177" customFormat="1" ht="45" x14ac:dyDescent="0.2">
      <c r="A20" s="10">
        <v>16</v>
      </c>
      <c r="B20" s="105" t="s">
        <v>465</v>
      </c>
      <c r="C20" s="174">
        <v>780</v>
      </c>
      <c r="D20" s="174">
        <v>758</v>
      </c>
      <c r="E20" s="174">
        <v>0</v>
      </c>
      <c r="F20" s="174">
        <v>0</v>
      </c>
      <c r="G20" s="174">
        <v>0</v>
      </c>
      <c r="H20" s="174">
        <v>5</v>
      </c>
      <c r="I20" s="174">
        <v>0</v>
      </c>
      <c r="J20" s="174">
        <f t="shared" si="1"/>
        <v>5</v>
      </c>
      <c r="K20" s="174">
        <v>0</v>
      </c>
      <c r="L20" s="174">
        <f t="shared" si="0"/>
        <v>753</v>
      </c>
      <c r="M20" s="158">
        <v>2.6385224274406332E-3</v>
      </c>
      <c r="N20" s="175">
        <v>0</v>
      </c>
      <c r="O20" s="158">
        <v>0.99340369393139838</v>
      </c>
      <c r="P20" s="158">
        <v>0.99340369393139838</v>
      </c>
      <c r="Q20" s="176" t="s">
        <v>61</v>
      </c>
    </row>
    <row r="21" spans="1:20" s="177" customFormat="1" x14ac:dyDescent="0.2">
      <c r="A21" s="10">
        <v>17</v>
      </c>
      <c r="B21" s="105" t="s">
        <v>466</v>
      </c>
      <c r="C21" s="174">
        <v>243</v>
      </c>
      <c r="D21" s="174">
        <v>170</v>
      </c>
      <c r="E21" s="174">
        <v>0</v>
      </c>
      <c r="F21" s="174">
        <v>0</v>
      </c>
      <c r="G21" s="174">
        <v>0</v>
      </c>
      <c r="H21" s="174">
        <v>0</v>
      </c>
      <c r="I21" s="174">
        <v>0</v>
      </c>
      <c r="J21" s="174">
        <f t="shared" si="1"/>
        <v>0</v>
      </c>
      <c r="K21" s="174">
        <v>0</v>
      </c>
      <c r="L21" s="174">
        <f t="shared" si="0"/>
        <v>170</v>
      </c>
      <c r="M21" s="158">
        <v>0</v>
      </c>
      <c r="N21" s="175">
        <v>0</v>
      </c>
      <c r="O21" s="158">
        <v>1</v>
      </c>
      <c r="P21" s="158">
        <v>1</v>
      </c>
      <c r="Q21" s="176"/>
    </row>
    <row r="22" spans="1:20" s="177" customFormat="1" x14ac:dyDescent="0.2">
      <c r="A22" s="10">
        <v>18</v>
      </c>
      <c r="B22" s="105" t="s">
        <v>467</v>
      </c>
      <c r="C22" s="174">
        <v>3</v>
      </c>
      <c r="D22" s="174">
        <v>2</v>
      </c>
      <c r="E22" s="174">
        <v>0</v>
      </c>
      <c r="F22" s="174">
        <v>0</v>
      </c>
      <c r="G22" s="174">
        <v>0</v>
      </c>
      <c r="H22" s="174">
        <v>0</v>
      </c>
      <c r="I22" s="174">
        <v>0</v>
      </c>
      <c r="J22" s="174">
        <f t="shared" si="1"/>
        <v>0</v>
      </c>
      <c r="K22" s="174">
        <v>0</v>
      </c>
      <c r="L22" s="174">
        <f t="shared" si="0"/>
        <v>2</v>
      </c>
      <c r="M22" s="158">
        <v>0</v>
      </c>
      <c r="N22" s="175">
        <v>0</v>
      </c>
      <c r="O22" s="158">
        <v>1</v>
      </c>
      <c r="P22" s="158">
        <v>1</v>
      </c>
      <c r="Q22" s="176"/>
    </row>
    <row r="23" spans="1:20" s="177" customFormat="1" x14ac:dyDescent="0.2">
      <c r="A23" s="10">
        <v>19</v>
      </c>
      <c r="B23" s="105" t="s">
        <v>468</v>
      </c>
      <c r="C23" s="174">
        <v>0</v>
      </c>
      <c r="D23" s="174">
        <v>0</v>
      </c>
      <c r="E23" s="174">
        <v>0</v>
      </c>
      <c r="F23" s="174">
        <v>0</v>
      </c>
      <c r="G23" s="174">
        <v>0</v>
      </c>
      <c r="H23" s="174">
        <v>0</v>
      </c>
      <c r="I23" s="174">
        <v>0</v>
      </c>
      <c r="J23" s="174">
        <f t="shared" si="1"/>
        <v>0</v>
      </c>
      <c r="K23" s="174">
        <v>0</v>
      </c>
      <c r="L23" s="174">
        <f t="shared" si="0"/>
        <v>0</v>
      </c>
      <c r="M23" s="158" t="s">
        <v>54</v>
      </c>
      <c r="N23" s="175" t="s">
        <v>54</v>
      </c>
      <c r="O23" s="158" t="s">
        <v>54</v>
      </c>
      <c r="P23" s="158" t="s">
        <v>54</v>
      </c>
      <c r="Q23" s="176"/>
    </row>
    <row r="24" spans="1:20" s="177" customFormat="1" x14ac:dyDescent="0.2">
      <c r="A24" s="10">
        <v>20</v>
      </c>
      <c r="B24" s="105" t="s">
        <v>469</v>
      </c>
      <c r="C24" s="174">
        <v>0</v>
      </c>
      <c r="D24" s="174">
        <v>227</v>
      </c>
      <c r="E24" s="174">
        <v>0</v>
      </c>
      <c r="F24" s="174">
        <v>0</v>
      </c>
      <c r="G24" s="174">
        <v>0</v>
      </c>
      <c r="H24" s="174">
        <v>0</v>
      </c>
      <c r="I24" s="174">
        <v>0</v>
      </c>
      <c r="J24" s="174">
        <f t="shared" si="1"/>
        <v>0</v>
      </c>
      <c r="K24" s="174">
        <v>0</v>
      </c>
      <c r="L24" s="174">
        <f t="shared" si="0"/>
        <v>227</v>
      </c>
      <c r="M24" s="158">
        <v>0</v>
      </c>
      <c r="N24" s="175">
        <v>0</v>
      </c>
      <c r="O24" s="158">
        <v>1</v>
      </c>
      <c r="P24" s="158">
        <v>1</v>
      </c>
      <c r="Q24" s="176"/>
    </row>
    <row r="25" spans="1:20" s="87" customFormat="1" ht="75" x14ac:dyDescent="0.25">
      <c r="A25" s="10">
        <v>21</v>
      </c>
      <c r="B25" s="105" t="s">
        <v>470</v>
      </c>
      <c r="C25" s="174">
        <v>5030</v>
      </c>
      <c r="D25" s="174">
        <v>6688</v>
      </c>
      <c r="E25" s="174">
        <v>0</v>
      </c>
      <c r="F25" s="174">
        <v>0</v>
      </c>
      <c r="G25" s="174">
        <v>0</v>
      </c>
      <c r="H25" s="174">
        <v>151</v>
      </c>
      <c r="I25" s="174">
        <v>0</v>
      </c>
      <c r="J25" s="174">
        <v>294</v>
      </c>
      <c r="K25" s="174">
        <v>0</v>
      </c>
      <c r="L25" s="174">
        <f t="shared" si="0"/>
        <v>6394</v>
      </c>
      <c r="M25" s="158">
        <v>8.0741626794258378E-3</v>
      </c>
      <c r="N25" s="175">
        <v>0</v>
      </c>
      <c r="O25" s="158">
        <v>0.99192583732057416</v>
      </c>
      <c r="P25" s="158">
        <v>0.99192583732057416</v>
      </c>
      <c r="Q25" s="176" t="s">
        <v>520</v>
      </c>
    </row>
    <row r="26" spans="1:20" s="87" customFormat="1" ht="75" x14ac:dyDescent="0.25">
      <c r="A26" s="10">
        <v>22</v>
      </c>
      <c r="B26" s="105" t="s">
        <v>471</v>
      </c>
      <c r="C26" s="174">
        <v>20720</v>
      </c>
      <c r="D26" s="174">
        <v>20142</v>
      </c>
      <c r="E26" s="174">
        <v>0</v>
      </c>
      <c r="F26" s="174">
        <v>0</v>
      </c>
      <c r="G26" s="174">
        <v>0</v>
      </c>
      <c r="H26" s="174">
        <v>250</v>
      </c>
      <c r="I26" s="174">
        <v>0</v>
      </c>
      <c r="J26" s="174">
        <v>292</v>
      </c>
      <c r="K26" s="174">
        <v>0</v>
      </c>
      <c r="L26" s="174">
        <f t="shared" si="0"/>
        <v>19850</v>
      </c>
      <c r="M26" s="158">
        <v>1.236222817992255E-2</v>
      </c>
      <c r="N26" s="175">
        <v>0</v>
      </c>
      <c r="O26" s="158">
        <v>0.9876377718200775</v>
      </c>
      <c r="P26" s="158">
        <v>0.9876377718200775</v>
      </c>
      <c r="Q26" s="176" t="s">
        <v>521</v>
      </c>
    </row>
    <row r="27" spans="1:20" s="87" customFormat="1" x14ac:dyDescent="0.25">
      <c r="A27" s="10">
        <v>23</v>
      </c>
      <c r="B27" s="105" t="s">
        <v>472</v>
      </c>
      <c r="C27" s="174">
        <v>136</v>
      </c>
      <c r="D27" s="174">
        <v>138</v>
      </c>
      <c r="E27" s="174">
        <v>0</v>
      </c>
      <c r="F27" s="174">
        <v>0</v>
      </c>
      <c r="G27" s="174">
        <v>0</v>
      </c>
      <c r="H27" s="174">
        <v>0</v>
      </c>
      <c r="I27" s="174">
        <v>0</v>
      </c>
      <c r="J27" s="174">
        <f t="shared" si="1"/>
        <v>0</v>
      </c>
      <c r="K27" s="174">
        <v>0</v>
      </c>
      <c r="L27" s="174">
        <f t="shared" si="0"/>
        <v>138</v>
      </c>
      <c r="M27" s="158">
        <v>0</v>
      </c>
      <c r="N27" s="175">
        <v>0</v>
      </c>
      <c r="O27" s="158">
        <v>1</v>
      </c>
      <c r="P27" s="158">
        <v>1</v>
      </c>
      <c r="Q27" s="176">
        <v>0</v>
      </c>
      <c r="R27" s="179"/>
      <c r="S27" s="179"/>
      <c r="T27" s="180"/>
    </row>
    <row r="28" spans="1:20" s="87" customFormat="1" x14ac:dyDescent="0.25">
      <c r="A28" s="10">
        <v>24</v>
      </c>
      <c r="B28" s="105" t="s">
        <v>473</v>
      </c>
      <c r="C28" s="174">
        <v>14681</v>
      </c>
      <c r="D28" s="174">
        <v>10481</v>
      </c>
      <c r="E28" s="174">
        <v>0</v>
      </c>
      <c r="F28" s="174">
        <v>0</v>
      </c>
      <c r="G28" s="174">
        <v>0</v>
      </c>
      <c r="H28" s="174">
        <v>147</v>
      </c>
      <c r="I28" s="174">
        <v>474</v>
      </c>
      <c r="J28" s="174">
        <f t="shared" si="1"/>
        <v>621</v>
      </c>
      <c r="K28" s="174"/>
      <c r="L28" s="174">
        <v>9860</v>
      </c>
      <c r="M28" s="158"/>
      <c r="N28" s="175"/>
      <c r="O28" s="158"/>
      <c r="P28" s="158"/>
      <c r="Q28" s="176"/>
    </row>
    <row r="29" spans="1:20" s="177" customFormat="1" ht="45" x14ac:dyDescent="0.2">
      <c r="A29" s="10">
        <v>25</v>
      </c>
      <c r="B29" s="105" t="s">
        <v>474</v>
      </c>
      <c r="C29" s="174">
        <v>172</v>
      </c>
      <c r="D29" s="174">
        <v>603</v>
      </c>
      <c r="E29" s="174">
        <v>0</v>
      </c>
      <c r="F29" s="174">
        <v>0</v>
      </c>
      <c r="G29" s="174">
        <v>0</v>
      </c>
      <c r="H29" s="174">
        <v>0</v>
      </c>
      <c r="I29" s="174">
        <v>19</v>
      </c>
      <c r="J29" s="174">
        <f t="shared" si="1"/>
        <v>19</v>
      </c>
      <c r="K29" s="174">
        <v>0</v>
      </c>
      <c r="L29" s="174">
        <f t="shared" si="0"/>
        <v>584</v>
      </c>
      <c r="M29" s="158">
        <v>0</v>
      </c>
      <c r="N29" s="175">
        <v>0</v>
      </c>
      <c r="O29" s="158">
        <v>1</v>
      </c>
      <c r="P29" s="158">
        <v>1</v>
      </c>
      <c r="Q29" s="176" t="s">
        <v>522</v>
      </c>
    </row>
    <row r="30" spans="1:20" s="177" customFormat="1" ht="45" x14ac:dyDescent="0.2">
      <c r="A30" s="10">
        <v>26</v>
      </c>
      <c r="B30" s="105" t="s">
        <v>475</v>
      </c>
      <c r="C30" s="174">
        <v>1586</v>
      </c>
      <c r="D30" s="174">
        <v>1465</v>
      </c>
      <c r="E30" s="174">
        <v>0</v>
      </c>
      <c r="F30" s="174">
        <v>0</v>
      </c>
      <c r="G30" s="174">
        <v>0</v>
      </c>
      <c r="H30" s="174">
        <v>30</v>
      </c>
      <c r="I30" s="174">
        <v>0</v>
      </c>
      <c r="J30" s="174">
        <f t="shared" si="1"/>
        <v>30</v>
      </c>
      <c r="K30" s="174">
        <v>0</v>
      </c>
      <c r="L30" s="174">
        <f t="shared" si="0"/>
        <v>1435</v>
      </c>
      <c r="M30" s="158">
        <v>6.1433447098976105E-3</v>
      </c>
      <c r="N30" s="175">
        <v>0</v>
      </c>
      <c r="O30" s="158">
        <v>0.99385665529010236</v>
      </c>
      <c r="P30" s="158">
        <v>0.99385665529010236</v>
      </c>
      <c r="Q30" s="176" t="s">
        <v>523</v>
      </c>
    </row>
    <row r="31" spans="1:20" s="87" customFormat="1" ht="60" x14ac:dyDescent="0.25">
      <c r="A31" s="10">
        <v>27</v>
      </c>
      <c r="B31" s="105" t="s">
        <v>476</v>
      </c>
      <c r="C31" s="174">
        <v>24</v>
      </c>
      <c r="D31" s="174">
        <v>163</v>
      </c>
      <c r="E31" s="174">
        <v>0</v>
      </c>
      <c r="F31" s="174">
        <v>0</v>
      </c>
      <c r="G31" s="174">
        <v>0</v>
      </c>
      <c r="H31" s="174">
        <v>6</v>
      </c>
      <c r="I31" s="174">
        <v>0</v>
      </c>
      <c r="J31" s="174">
        <f t="shared" si="1"/>
        <v>6</v>
      </c>
      <c r="K31" s="174">
        <v>0</v>
      </c>
      <c r="L31" s="174">
        <f t="shared" si="0"/>
        <v>157</v>
      </c>
      <c r="M31" s="158">
        <v>3.0674846625766871E-2</v>
      </c>
      <c r="N31" s="175">
        <v>0</v>
      </c>
      <c r="O31" s="158">
        <v>0.96932515337423308</v>
      </c>
      <c r="P31" s="158">
        <v>0.96932515337423308</v>
      </c>
      <c r="Q31" s="176" t="s">
        <v>524</v>
      </c>
    </row>
    <row r="32" spans="1:20" s="177" customFormat="1" x14ac:dyDescent="0.2">
      <c r="A32" s="10">
        <v>28</v>
      </c>
      <c r="B32" s="105" t="s">
        <v>477</v>
      </c>
      <c r="C32" s="174">
        <v>48</v>
      </c>
      <c r="D32" s="174">
        <v>36</v>
      </c>
      <c r="E32" s="174">
        <v>0</v>
      </c>
      <c r="F32" s="174">
        <v>0</v>
      </c>
      <c r="G32" s="174">
        <v>0</v>
      </c>
      <c r="H32" s="174">
        <v>0</v>
      </c>
      <c r="I32" s="174">
        <v>0</v>
      </c>
      <c r="J32" s="174">
        <f t="shared" si="1"/>
        <v>0</v>
      </c>
      <c r="K32" s="174">
        <v>0</v>
      </c>
      <c r="L32" s="174">
        <f t="shared" si="0"/>
        <v>36</v>
      </c>
      <c r="M32" s="158">
        <v>0</v>
      </c>
      <c r="N32" s="175">
        <v>0</v>
      </c>
      <c r="O32" s="158">
        <v>1</v>
      </c>
      <c r="P32" s="158">
        <v>1</v>
      </c>
      <c r="Q32" s="176"/>
    </row>
    <row r="33" spans="1:17" s="177" customFormat="1" x14ac:dyDescent="0.2">
      <c r="A33" s="10">
        <v>29</v>
      </c>
      <c r="B33" s="105" t="s">
        <v>478</v>
      </c>
      <c r="C33" s="174">
        <v>0</v>
      </c>
      <c r="D33" s="174">
        <v>41</v>
      </c>
      <c r="E33" s="174">
        <v>0</v>
      </c>
      <c r="F33" s="174">
        <v>0</v>
      </c>
      <c r="G33" s="174">
        <v>0</v>
      </c>
      <c r="H33" s="174">
        <v>0</v>
      </c>
      <c r="I33" s="174">
        <v>0</v>
      </c>
      <c r="J33" s="174">
        <f t="shared" si="1"/>
        <v>0</v>
      </c>
      <c r="K33" s="174">
        <v>0</v>
      </c>
      <c r="L33" s="174">
        <f t="shared" si="0"/>
        <v>41</v>
      </c>
      <c r="M33" s="158">
        <v>0</v>
      </c>
      <c r="N33" s="175">
        <v>0</v>
      </c>
      <c r="O33" s="158">
        <v>1</v>
      </c>
      <c r="P33" s="158">
        <v>1</v>
      </c>
      <c r="Q33" s="176"/>
    </row>
    <row r="34" spans="1:17" s="177" customFormat="1" x14ac:dyDescent="0.2">
      <c r="A34" s="10">
        <v>30</v>
      </c>
      <c r="B34" s="105" t="s">
        <v>479</v>
      </c>
      <c r="C34" s="174">
        <v>163</v>
      </c>
      <c r="D34" s="174">
        <v>182</v>
      </c>
      <c r="E34" s="174">
        <v>0</v>
      </c>
      <c r="F34" s="174">
        <v>0</v>
      </c>
      <c r="G34" s="174">
        <v>0</v>
      </c>
      <c r="H34" s="174">
        <v>0</v>
      </c>
      <c r="I34" s="174">
        <v>0</v>
      </c>
      <c r="J34" s="174">
        <f t="shared" si="1"/>
        <v>0</v>
      </c>
      <c r="K34" s="174">
        <v>0</v>
      </c>
      <c r="L34" s="174">
        <f t="shared" si="0"/>
        <v>182</v>
      </c>
      <c r="M34" s="158">
        <v>0</v>
      </c>
      <c r="N34" s="175">
        <v>0</v>
      </c>
      <c r="O34" s="158">
        <v>1</v>
      </c>
      <c r="P34" s="158">
        <v>1</v>
      </c>
      <c r="Q34" s="176"/>
    </row>
    <row r="35" spans="1:17" s="177" customFormat="1" x14ac:dyDescent="0.2">
      <c r="A35" s="10">
        <v>31</v>
      </c>
      <c r="B35" s="105" t="s">
        <v>480</v>
      </c>
      <c r="C35" s="174">
        <v>0</v>
      </c>
      <c r="D35" s="174">
        <v>0</v>
      </c>
      <c r="E35" s="174">
        <v>0</v>
      </c>
      <c r="F35" s="174">
        <v>0</v>
      </c>
      <c r="G35" s="174">
        <v>0</v>
      </c>
      <c r="H35" s="174">
        <v>0</v>
      </c>
      <c r="I35" s="174">
        <v>0</v>
      </c>
      <c r="J35" s="174">
        <f t="shared" si="1"/>
        <v>0</v>
      </c>
      <c r="K35" s="174">
        <v>0</v>
      </c>
      <c r="L35" s="174">
        <f t="shared" si="0"/>
        <v>0</v>
      </c>
      <c r="M35" s="158" t="s">
        <v>54</v>
      </c>
      <c r="N35" s="175" t="s">
        <v>54</v>
      </c>
      <c r="O35" s="158" t="s">
        <v>54</v>
      </c>
      <c r="P35" s="158" t="s">
        <v>54</v>
      </c>
      <c r="Q35" s="176"/>
    </row>
    <row r="36" spans="1:17" s="177" customFormat="1" x14ac:dyDescent="0.2">
      <c r="A36" s="10">
        <v>32</v>
      </c>
      <c r="B36" s="105" t="s">
        <v>481</v>
      </c>
      <c r="C36" s="174">
        <v>3</v>
      </c>
      <c r="D36" s="174">
        <v>3</v>
      </c>
      <c r="E36" s="174">
        <v>0</v>
      </c>
      <c r="F36" s="174">
        <v>0</v>
      </c>
      <c r="G36" s="174">
        <v>0</v>
      </c>
      <c r="H36" s="174">
        <v>0</v>
      </c>
      <c r="I36" s="174">
        <v>0</v>
      </c>
      <c r="J36" s="174">
        <f t="shared" si="1"/>
        <v>0</v>
      </c>
      <c r="K36" s="174">
        <v>0</v>
      </c>
      <c r="L36" s="174">
        <f t="shared" si="0"/>
        <v>3</v>
      </c>
      <c r="M36" s="158">
        <v>0</v>
      </c>
      <c r="N36" s="175">
        <v>0</v>
      </c>
      <c r="O36" s="158">
        <v>1</v>
      </c>
      <c r="P36" s="158">
        <v>1</v>
      </c>
      <c r="Q36" s="176"/>
    </row>
    <row r="37" spans="1:17" s="177" customFormat="1" x14ac:dyDescent="0.2">
      <c r="A37" s="10">
        <v>33</v>
      </c>
      <c r="B37" s="105" t="s">
        <v>482</v>
      </c>
      <c r="C37" s="174">
        <v>14</v>
      </c>
      <c r="D37" s="174">
        <v>12</v>
      </c>
      <c r="E37" s="174">
        <v>0</v>
      </c>
      <c r="F37" s="174">
        <v>0</v>
      </c>
      <c r="G37" s="174">
        <v>0</v>
      </c>
      <c r="H37" s="174">
        <v>0</v>
      </c>
      <c r="I37" s="174">
        <v>0</v>
      </c>
      <c r="J37" s="174">
        <f t="shared" si="1"/>
        <v>0</v>
      </c>
      <c r="K37" s="174">
        <v>0</v>
      </c>
      <c r="L37" s="174">
        <f t="shared" si="0"/>
        <v>12</v>
      </c>
      <c r="M37" s="158">
        <v>0</v>
      </c>
      <c r="N37" s="175">
        <v>0</v>
      </c>
      <c r="O37" s="158">
        <v>1</v>
      </c>
      <c r="P37" s="158">
        <v>1</v>
      </c>
      <c r="Q37" s="176"/>
    </row>
    <row r="38" spans="1:17" s="177" customFormat="1" ht="64.5" customHeight="1" x14ac:dyDescent="0.2">
      <c r="A38" s="10">
        <v>34</v>
      </c>
      <c r="B38" s="105" t="s">
        <v>483</v>
      </c>
      <c r="C38" s="174">
        <v>248</v>
      </c>
      <c r="D38" s="174">
        <v>243</v>
      </c>
      <c r="E38" s="174">
        <v>0</v>
      </c>
      <c r="F38" s="174">
        <v>0</v>
      </c>
      <c r="G38" s="174">
        <v>0</v>
      </c>
      <c r="H38" s="174">
        <v>8</v>
      </c>
      <c r="I38" s="174">
        <v>0</v>
      </c>
      <c r="J38" s="174">
        <v>8</v>
      </c>
      <c r="K38" s="174">
        <v>0</v>
      </c>
      <c r="L38" s="174">
        <f t="shared" si="0"/>
        <v>235</v>
      </c>
      <c r="M38" s="158">
        <v>1.646090534979424E-2</v>
      </c>
      <c r="N38" s="175">
        <v>0</v>
      </c>
      <c r="O38" s="158">
        <v>0.98353909465020573</v>
      </c>
      <c r="P38" s="158">
        <v>0.98353909465020573</v>
      </c>
      <c r="Q38" s="176" t="s">
        <v>525</v>
      </c>
    </row>
    <row r="39" spans="1:17" s="177" customFormat="1" ht="31.5" customHeight="1" x14ac:dyDescent="0.2">
      <c r="A39" s="10">
        <v>35</v>
      </c>
      <c r="B39" s="105" t="s">
        <v>484</v>
      </c>
      <c r="C39" s="174">
        <v>34</v>
      </c>
      <c r="D39" s="174">
        <v>28</v>
      </c>
      <c r="E39" s="174">
        <v>0</v>
      </c>
      <c r="F39" s="174">
        <v>0</v>
      </c>
      <c r="G39" s="174">
        <v>0</v>
      </c>
      <c r="H39" s="174">
        <v>0</v>
      </c>
      <c r="I39" s="174">
        <v>0</v>
      </c>
      <c r="J39" s="174">
        <f t="shared" si="1"/>
        <v>0</v>
      </c>
      <c r="K39" s="174">
        <v>0</v>
      </c>
      <c r="L39" s="174">
        <f t="shared" si="0"/>
        <v>28</v>
      </c>
      <c r="M39" s="158">
        <v>0</v>
      </c>
      <c r="N39" s="175">
        <v>0</v>
      </c>
      <c r="O39" s="158">
        <v>1</v>
      </c>
      <c r="P39" s="158">
        <v>1</v>
      </c>
      <c r="Q39" s="176"/>
    </row>
    <row r="40" spans="1:17" s="177" customFormat="1" x14ac:dyDescent="0.2">
      <c r="A40" s="10">
        <v>36</v>
      </c>
      <c r="B40" s="105" t="s">
        <v>485</v>
      </c>
      <c r="C40" s="174">
        <v>0</v>
      </c>
      <c r="D40" s="174">
        <v>0</v>
      </c>
      <c r="E40" s="174">
        <v>0</v>
      </c>
      <c r="F40" s="174">
        <v>0</v>
      </c>
      <c r="G40" s="174">
        <v>0</v>
      </c>
      <c r="H40" s="174">
        <v>0</v>
      </c>
      <c r="I40" s="174">
        <v>0</v>
      </c>
      <c r="J40" s="174">
        <f t="shared" si="1"/>
        <v>0</v>
      </c>
      <c r="K40" s="174">
        <v>0</v>
      </c>
      <c r="L40" s="174">
        <f t="shared" si="0"/>
        <v>0</v>
      </c>
      <c r="M40" s="158" t="s">
        <v>54</v>
      </c>
      <c r="N40" s="175" t="s">
        <v>54</v>
      </c>
      <c r="O40" s="158" t="s">
        <v>54</v>
      </c>
      <c r="P40" s="158" t="s">
        <v>54</v>
      </c>
      <c r="Q40" s="176"/>
    </row>
    <row r="41" spans="1:17" s="177" customFormat="1" x14ac:dyDescent="0.2">
      <c r="A41" s="10">
        <v>37</v>
      </c>
      <c r="B41" s="105" t="s">
        <v>486</v>
      </c>
      <c r="C41" s="174">
        <v>0</v>
      </c>
      <c r="D41" s="174">
        <v>0</v>
      </c>
      <c r="E41" s="174">
        <v>0</v>
      </c>
      <c r="F41" s="174">
        <v>0</v>
      </c>
      <c r="G41" s="174">
        <v>0</v>
      </c>
      <c r="H41" s="174">
        <v>0</v>
      </c>
      <c r="I41" s="174">
        <v>0</v>
      </c>
      <c r="J41" s="174">
        <f t="shared" si="1"/>
        <v>0</v>
      </c>
      <c r="K41" s="174">
        <v>0</v>
      </c>
      <c r="L41" s="174">
        <f t="shared" si="0"/>
        <v>0</v>
      </c>
      <c r="M41" s="158" t="s">
        <v>54</v>
      </c>
      <c r="N41" s="175" t="s">
        <v>54</v>
      </c>
      <c r="O41" s="158" t="s">
        <v>54</v>
      </c>
      <c r="P41" s="158" t="s">
        <v>54</v>
      </c>
      <c r="Q41" s="176"/>
    </row>
    <row r="42" spans="1:17" s="177" customFormat="1" ht="43.5" customHeight="1" x14ac:dyDescent="0.2">
      <c r="A42" s="10">
        <v>38</v>
      </c>
      <c r="B42" s="105" t="s">
        <v>487</v>
      </c>
      <c r="C42" s="174">
        <v>382</v>
      </c>
      <c r="D42" s="174">
        <v>374</v>
      </c>
      <c r="E42" s="174">
        <v>0</v>
      </c>
      <c r="F42" s="174">
        <v>0</v>
      </c>
      <c r="G42" s="174">
        <v>0</v>
      </c>
      <c r="H42" s="174">
        <v>11</v>
      </c>
      <c r="I42" s="174">
        <v>0</v>
      </c>
      <c r="J42" s="174">
        <f t="shared" si="1"/>
        <v>11</v>
      </c>
      <c r="K42" s="174">
        <v>0</v>
      </c>
      <c r="L42" s="174">
        <f t="shared" si="0"/>
        <v>363</v>
      </c>
      <c r="M42" s="158">
        <v>0</v>
      </c>
      <c r="N42" s="175">
        <v>0</v>
      </c>
      <c r="O42" s="158">
        <v>1</v>
      </c>
      <c r="P42" s="158">
        <v>1</v>
      </c>
      <c r="Q42" s="176" t="s">
        <v>526</v>
      </c>
    </row>
    <row r="43" spans="1:17" s="177" customFormat="1" ht="33.75" customHeight="1" x14ac:dyDescent="0.2">
      <c r="A43" s="10">
        <v>39</v>
      </c>
      <c r="B43" s="105" t="s">
        <v>488</v>
      </c>
      <c r="C43" s="174">
        <v>197</v>
      </c>
      <c r="D43" s="174">
        <v>177</v>
      </c>
      <c r="E43" s="174">
        <v>0</v>
      </c>
      <c r="F43" s="174">
        <v>0</v>
      </c>
      <c r="G43" s="174">
        <v>0</v>
      </c>
      <c r="H43" s="174">
        <v>0</v>
      </c>
      <c r="I43" s="174">
        <v>0</v>
      </c>
      <c r="J43" s="174">
        <v>0</v>
      </c>
      <c r="K43" s="174">
        <v>0</v>
      </c>
      <c r="L43" s="174">
        <f t="shared" si="0"/>
        <v>177</v>
      </c>
      <c r="M43" s="158">
        <v>1.1299435028248588E-2</v>
      </c>
      <c r="N43" s="175">
        <v>0</v>
      </c>
      <c r="O43" s="158">
        <v>0.98870056497175141</v>
      </c>
      <c r="P43" s="158">
        <v>0.98870056497175141</v>
      </c>
      <c r="Q43" s="176"/>
    </row>
    <row r="44" spans="1:17" s="177" customFormat="1" ht="42" customHeight="1" x14ac:dyDescent="0.2">
      <c r="A44" s="10">
        <v>40</v>
      </c>
      <c r="B44" s="105" t="s">
        <v>489</v>
      </c>
      <c r="C44" s="174">
        <v>45</v>
      </c>
      <c r="D44" s="174">
        <v>93</v>
      </c>
      <c r="E44" s="174">
        <v>0</v>
      </c>
      <c r="F44" s="174">
        <v>0</v>
      </c>
      <c r="G44" s="174">
        <v>3</v>
      </c>
      <c r="H44" s="174">
        <v>0</v>
      </c>
      <c r="I44" s="174">
        <v>0</v>
      </c>
      <c r="J44" s="174">
        <f t="shared" si="1"/>
        <v>3</v>
      </c>
      <c r="K44" s="174">
        <v>0</v>
      </c>
      <c r="L44" s="174">
        <f t="shared" si="0"/>
        <v>90</v>
      </c>
      <c r="M44" s="158">
        <v>0.23655913978494625</v>
      </c>
      <c r="N44" s="175">
        <v>0</v>
      </c>
      <c r="O44" s="158">
        <v>0.76344086021505375</v>
      </c>
      <c r="P44" s="158">
        <v>0.76344086021505375</v>
      </c>
      <c r="Q44" s="176" t="s">
        <v>527</v>
      </c>
    </row>
    <row r="45" spans="1:17" s="87" customFormat="1" ht="123" customHeight="1" x14ac:dyDescent="0.25">
      <c r="A45" s="10">
        <v>41</v>
      </c>
      <c r="B45" s="105" t="s">
        <v>490</v>
      </c>
      <c r="C45" s="174">
        <v>105</v>
      </c>
      <c r="D45" s="174">
        <v>104</v>
      </c>
      <c r="E45" s="174">
        <v>0</v>
      </c>
      <c r="F45" s="174">
        <v>0</v>
      </c>
      <c r="G45" s="174">
        <v>9</v>
      </c>
      <c r="H45" s="174">
        <v>0</v>
      </c>
      <c r="I45" s="174">
        <v>0</v>
      </c>
      <c r="J45" s="174">
        <f t="shared" si="1"/>
        <v>9</v>
      </c>
      <c r="K45" s="174">
        <v>0</v>
      </c>
      <c r="L45" s="174">
        <f t="shared" si="0"/>
        <v>95</v>
      </c>
      <c r="M45" s="158">
        <v>9.6153846153846159E-2</v>
      </c>
      <c r="N45" s="175">
        <v>0</v>
      </c>
      <c r="O45" s="158">
        <v>0.90384615384615385</v>
      </c>
      <c r="P45" s="158">
        <v>0.90384615384615385</v>
      </c>
      <c r="Q45" s="176" t="s">
        <v>528</v>
      </c>
    </row>
    <row r="46" spans="1:17" s="177" customFormat="1" x14ac:dyDescent="0.2">
      <c r="A46" s="10">
        <v>42</v>
      </c>
      <c r="B46" s="105" t="s">
        <v>491</v>
      </c>
      <c r="C46" s="174">
        <v>0</v>
      </c>
      <c r="D46" s="174">
        <v>0</v>
      </c>
      <c r="E46" s="174">
        <v>0</v>
      </c>
      <c r="F46" s="174">
        <v>0</v>
      </c>
      <c r="G46" s="174">
        <v>0</v>
      </c>
      <c r="H46" s="174">
        <v>0</v>
      </c>
      <c r="I46" s="174">
        <v>0</v>
      </c>
      <c r="J46" s="174">
        <f t="shared" si="1"/>
        <v>0</v>
      </c>
      <c r="K46" s="174">
        <v>0</v>
      </c>
      <c r="L46" s="174">
        <f t="shared" si="0"/>
        <v>0</v>
      </c>
      <c r="M46" s="158" t="s">
        <v>54</v>
      </c>
      <c r="N46" s="175" t="s">
        <v>54</v>
      </c>
      <c r="O46" s="158" t="s">
        <v>54</v>
      </c>
      <c r="P46" s="158" t="s">
        <v>54</v>
      </c>
      <c r="Q46" s="176"/>
    </row>
    <row r="47" spans="1:17" s="177" customFormat="1" x14ac:dyDescent="0.2">
      <c r="A47" s="10">
        <v>43</v>
      </c>
      <c r="B47" s="105" t="s">
        <v>492</v>
      </c>
      <c r="C47" s="174">
        <v>0</v>
      </c>
      <c r="D47" s="174">
        <v>0</v>
      </c>
      <c r="E47" s="174">
        <v>0</v>
      </c>
      <c r="F47" s="174">
        <v>0</v>
      </c>
      <c r="G47" s="174">
        <v>0</v>
      </c>
      <c r="H47" s="174">
        <v>0</v>
      </c>
      <c r="I47" s="174">
        <v>0</v>
      </c>
      <c r="J47" s="174">
        <f t="shared" si="1"/>
        <v>0</v>
      </c>
      <c r="K47" s="174">
        <v>0</v>
      </c>
      <c r="L47" s="174">
        <f t="shared" si="0"/>
        <v>0</v>
      </c>
      <c r="M47" s="158" t="s">
        <v>54</v>
      </c>
      <c r="N47" s="175" t="s">
        <v>54</v>
      </c>
      <c r="O47" s="158" t="s">
        <v>54</v>
      </c>
      <c r="P47" s="158" t="s">
        <v>54</v>
      </c>
      <c r="Q47" s="176"/>
    </row>
    <row r="48" spans="1:17" s="177" customFormat="1" ht="39.75" customHeight="1" x14ac:dyDescent="0.2">
      <c r="A48" s="10">
        <v>44</v>
      </c>
      <c r="B48" s="105" t="s">
        <v>493</v>
      </c>
      <c r="C48" s="174">
        <v>87</v>
      </c>
      <c r="D48" s="174">
        <v>106</v>
      </c>
      <c r="E48" s="174">
        <v>0</v>
      </c>
      <c r="F48" s="174">
        <v>0</v>
      </c>
      <c r="G48" s="174">
        <v>0</v>
      </c>
      <c r="H48" s="174">
        <v>0</v>
      </c>
      <c r="I48" s="174">
        <v>0</v>
      </c>
      <c r="J48" s="174">
        <v>0</v>
      </c>
      <c r="K48" s="174">
        <v>0</v>
      </c>
      <c r="L48" s="174">
        <f t="shared" si="0"/>
        <v>106</v>
      </c>
      <c r="M48" s="158">
        <v>9.433962264150943E-3</v>
      </c>
      <c r="N48" s="175">
        <v>0</v>
      </c>
      <c r="O48" s="158">
        <v>0.99056603773584906</v>
      </c>
      <c r="P48" s="158">
        <v>0.99056603773584906</v>
      </c>
      <c r="Q48" s="176"/>
    </row>
    <row r="49" spans="1:20" s="177" customFormat="1" x14ac:dyDescent="0.2">
      <c r="A49" s="10">
        <v>45</v>
      </c>
      <c r="B49" s="105" t="s">
        <v>494</v>
      </c>
      <c r="C49" s="174">
        <v>0</v>
      </c>
      <c r="D49" s="174">
        <v>0</v>
      </c>
      <c r="E49" s="174">
        <v>0</v>
      </c>
      <c r="F49" s="174">
        <v>0</v>
      </c>
      <c r="G49" s="174">
        <v>0</v>
      </c>
      <c r="H49" s="174">
        <v>0</v>
      </c>
      <c r="I49" s="174">
        <v>0</v>
      </c>
      <c r="J49" s="174">
        <f t="shared" si="1"/>
        <v>0</v>
      </c>
      <c r="K49" s="174">
        <v>0</v>
      </c>
      <c r="L49" s="174">
        <f t="shared" si="0"/>
        <v>0</v>
      </c>
      <c r="M49" s="158" t="s">
        <v>54</v>
      </c>
      <c r="N49" s="175" t="s">
        <v>54</v>
      </c>
      <c r="O49" s="158" t="s">
        <v>54</v>
      </c>
      <c r="P49" s="158" t="s">
        <v>54</v>
      </c>
      <c r="Q49" s="176"/>
    </row>
    <row r="50" spans="1:20" s="177" customFormat="1" x14ac:dyDescent="0.2">
      <c r="A50" s="10">
        <v>46</v>
      </c>
      <c r="B50" s="105" t="s">
        <v>495</v>
      </c>
      <c r="C50" s="174">
        <v>0</v>
      </c>
      <c r="D50" s="174">
        <v>0</v>
      </c>
      <c r="E50" s="174">
        <v>0</v>
      </c>
      <c r="F50" s="174">
        <v>0</v>
      </c>
      <c r="G50" s="174">
        <v>0</v>
      </c>
      <c r="H50" s="174">
        <v>0</v>
      </c>
      <c r="I50" s="174">
        <v>0</v>
      </c>
      <c r="J50" s="174">
        <f t="shared" si="1"/>
        <v>0</v>
      </c>
      <c r="K50" s="174">
        <v>0</v>
      </c>
      <c r="L50" s="174">
        <f t="shared" si="0"/>
        <v>0</v>
      </c>
      <c r="M50" s="158" t="s">
        <v>54</v>
      </c>
      <c r="N50" s="175" t="s">
        <v>54</v>
      </c>
      <c r="O50" s="158" t="s">
        <v>54</v>
      </c>
      <c r="P50" s="158" t="s">
        <v>54</v>
      </c>
      <c r="Q50" s="176"/>
    </row>
    <row r="51" spans="1:20" s="87" customFormat="1" x14ac:dyDescent="0.25">
      <c r="A51" s="10">
        <v>47</v>
      </c>
      <c r="B51" s="105" t="s">
        <v>496</v>
      </c>
      <c r="C51" s="174">
        <v>61</v>
      </c>
      <c r="D51" s="174">
        <v>165</v>
      </c>
      <c r="E51" s="174">
        <v>0</v>
      </c>
      <c r="F51" s="174">
        <v>0</v>
      </c>
      <c r="G51" s="174">
        <v>0</v>
      </c>
      <c r="H51" s="174">
        <v>0</v>
      </c>
      <c r="I51" s="174">
        <v>0</v>
      </c>
      <c r="J51" s="174">
        <f t="shared" si="1"/>
        <v>0</v>
      </c>
      <c r="K51" s="174">
        <v>0</v>
      </c>
      <c r="L51" s="174">
        <f t="shared" si="0"/>
        <v>165</v>
      </c>
      <c r="M51" s="158">
        <v>0</v>
      </c>
      <c r="N51" s="175">
        <v>0</v>
      </c>
      <c r="O51" s="158">
        <v>1</v>
      </c>
      <c r="P51" s="158">
        <v>1</v>
      </c>
      <c r="Q51" s="176"/>
    </row>
    <row r="52" spans="1:20" s="177" customFormat="1" ht="30" x14ac:dyDescent="0.2">
      <c r="A52" s="10">
        <v>48</v>
      </c>
      <c r="B52" s="105" t="s">
        <v>497</v>
      </c>
      <c r="C52" s="174">
        <v>289</v>
      </c>
      <c r="D52" s="174">
        <v>576</v>
      </c>
      <c r="E52" s="174">
        <v>0</v>
      </c>
      <c r="F52" s="174">
        <v>0</v>
      </c>
      <c r="G52" s="174">
        <v>0</v>
      </c>
      <c r="H52" s="174">
        <v>2</v>
      </c>
      <c r="I52" s="174">
        <v>0</v>
      </c>
      <c r="J52" s="174">
        <f t="shared" si="1"/>
        <v>2</v>
      </c>
      <c r="K52" s="174">
        <v>0</v>
      </c>
      <c r="L52" s="174">
        <f t="shared" si="0"/>
        <v>574</v>
      </c>
      <c r="M52" s="158">
        <v>6.5972222222222224E-2</v>
      </c>
      <c r="N52" s="175">
        <v>0</v>
      </c>
      <c r="O52" s="158">
        <v>0.93402777777777779</v>
      </c>
      <c r="P52" s="158">
        <v>0.93402777777777779</v>
      </c>
      <c r="Q52" s="176" t="s">
        <v>529</v>
      </c>
    </row>
    <row r="53" spans="1:20" s="87" customFormat="1" x14ac:dyDescent="0.25">
      <c r="A53" s="10">
        <v>49</v>
      </c>
      <c r="B53" s="105" t="s">
        <v>498</v>
      </c>
      <c r="C53" s="174">
        <v>656</v>
      </c>
      <c r="D53" s="174">
        <v>595</v>
      </c>
      <c r="E53" s="174">
        <v>0</v>
      </c>
      <c r="F53" s="174">
        <v>0</v>
      </c>
      <c r="G53" s="174">
        <v>0</v>
      </c>
      <c r="H53" s="174">
        <v>0</v>
      </c>
      <c r="I53" s="174">
        <v>0</v>
      </c>
      <c r="J53" s="174">
        <v>0</v>
      </c>
      <c r="K53" s="174">
        <v>0</v>
      </c>
      <c r="L53" s="174">
        <f t="shared" si="0"/>
        <v>595</v>
      </c>
      <c r="M53" s="158">
        <v>1.6806722689075631E-3</v>
      </c>
      <c r="N53" s="175">
        <v>0</v>
      </c>
      <c r="O53" s="158">
        <v>0.99831932773109244</v>
      </c>
      <c r="P53" s="158">
        <v>0.99831932773109244</v>
      </c>
      <c r="Q53" s="176"/>
    </row>
    <row r="54" spans="1:20" s="177" customFormat="1" x14ac:dyDescent="0.2">
      <c r="A54" s="10">
        <v>50</v>
      </c>
      <c r="B54" s="105" t="s">
        <v>499</v>
      </c>
      <c r="C54" s="174">
        <v>117</v>
      </c>
      <c r="D54" s="174">
        <v>117</v>
      </c>
      <c r="E54" s="174">
        <v>0</v>
      </c>
      <c r="F54" s="174">
        <v>0</v>
      </c>
      <c r="G54" s="174">
        <v>0</v>
      </c>
      <c r="H54" s="174">
        <v>0</v>
      </c>
      <c r="I54" s="174">
        <v>0</v>
      </c>
      <c r="J54" s="174">
        <f t="shared" si="1"/>
        <v>0</v>
      </c>
      <c r="K54" s="174">
        <v>0</v>
      </c>
      <c r="L54" s="174">
        <f t="shared" si="0"/>
        <v>117</v>
      </c>
      <c r="M54" s="158">
        <v>2.564102564102564E-2</v>
      </c>
      <c r="N54" s="175">
        <v>0</v>
      </c>
      <c r="O54" s="158">
        <v>0.97435897435897434</v>
      </c>
      <c r="P54" s="158">
        <v>0.97435897435897434</v>
      </c>
      <c r="Q54" s="176"/>
    </row>
    <row r="55" spans="1:20" s="177" customFormat="1" x14ac:dyDescent="0.2">
      <c r="A55" s="10">
        <v>51</v>
      </c>
      <c r="B55" s="105" t="s">
        <v>500</v>
      </c>
      <c r="C55" s="174">
        <v>20</v>
      </c>
      <c r="D55" s="174">
        <v>12</v>
      </c>
      <c r="E55" s="174">
        <v>0</v>
      </c>
      <c r="F55" s="174">
        <v>0</v>
      </c>
      <c r="G55" s="174">
        <v>0</v>
      </c>
      <c r="H55" s="174">
        <v>0</v>
      </c>
      <c r="I55" s="174">
        <v>0</v>
      </c>
      <c r="J55" s="174">
        <f t="shared" si="1"/>
        <v>0</v>
      </c>
      <c r="K55" s="174">
        <v>0</v>
      </c>
      <c r="L55" s="174">
        <f t="shared" si="0"/>
        <v>12</v>
      </c>
      <c r="M55" s="158">
        <v>0</v>
      </c>
      <c r="N55" s="175">
        <v>0</v>
      </c>
      <c r="O55" s="158">
        <v>1</v>
      </c>
      <c r="P55" s="158">
        <v>1</v>
      </c>
      <c r="Q55" s="176"/>
    </row>
    <row r="56" spans="1:20" s="177" customFormat="1" x14ac:dyDescent="0.2">
      <c r="A56" s="10">
        <v>52</v>
      </c>
      <c r="B56" s="105" t="s">
        <v>501</v>
      </c>
      <c r="C56" s="174">
        <v>236</v>
      </c>
      <c r="D56" s="174">
        <v>206</v>
      </c>
      <c r="E56" s="174">
        <v>0</v>
      </c>
      <c r="F56" s="174">
        <v>0</v>
      </c>
      <c r="G56" s="174">
        <v>0</v>
      </c>
      <c r="H56" s="174">
        <v>0</v>
      </c>
      <c r="I56" s="174">
        <v>0</v>
      </c>
      <c r="J56" s="174">
        <v>6</v>
      </c>
      <c r="K56" s="174">
        <v>0</v>
      </c>
      <c r="L56" s="174">
        <f t="shared" si="0"/>
        <v>200</v>
      </c>
      <c r="M56" s="158">
        <v>0</v>
      </c>
      <c r="N56" s="175">
        <v>0</v>
      </c>
      <c r="O56" s="158">
        <v>1</v>
      </c>
      <c r="P56" s="158">
        <v>1</v>
      </c>
      <c r="Q56" s="176" t="s">
        <v>530</v>
      </c>
      <c r="T56" s="177" t="s">
        <v>19</v>
      </c>
    </row>
    <row r="57" spans="1:20" s="177" customFormat="1" x14ac:dyDescent="0.2">
      <c r="A57" s="10">
        <v>53</v>
      </c>
      <c r="B57" s="105" t="s">
        <v>502</v>
      </c>
      <c r="C57" s="174">
        <v>15</v>
      </c>
      <c r="D57" s="174">
        <v>15</v>
      </c>
      <c r="E57" s="174">
        <v>0</v>
      </c>
      <c r="F57" s="174">
        <v>0</v>
      </c>
      <c r="G57" s="174">
        <v>0</v>
      </c>
      <c r="H57" s="174">
        <v>0</v>
      </c>
      <c r="I57" s="174">
        <v>0</v>
      </c>
      <c r="J57" s="174">
        <f t="shared" si="1"/>
        <v>0</v>
      </c>
      <c r="K57" s="174">
        <v>0</v>
      </c>
      <c r="L57" s="174">
        <f t="shared" si="0"/>
        <v>15</v>
      </c>
      <c r="M57" s="158">
        <v>0</v>
      </c>
      <c r="N57" s="175">
        <v>0</v>
      </c>
      <c r="O57" s="158">
        <v>1</v>
      </c>
      <c r="P57" s="158">
        <v>1</v>
      </c>
      <c r="Q57" s="176"/>
    </row>
    <row r="58" spans="1:20" s="177" customFormat="1" x14ac:dyDescent="0.2">
      <c r="A58" s="10">
        <v>54</v>
      </c>
      <c r="B58" s="105" t="s">
        <v>503</v>
      </c>
      <c r="C58" s="174">
        <v>222</v>
      </c>
      <c r="D58" s="174">
        <v>287</v>
      </c>
      <c r="E58" s="174">
        <v>0</v>
      </c>
      <c r="F58" s="174">
        <v>0</v>
      </c>
      <c r="G58" s="174">
        <v>0</v>
      </c>
      <c r="H58" s="174">
        <v>6</v>
      </c>
      <c r="I58" s="174">
        <v>0</v>
      </c>
      <c r="J58" s="174">
        <f t="shared" si="1"/>
        <v>6</v>
      </c>
      <c r="K58" s="174">
        <v>0</v>
      </c>
      <c r="L58" s="174">
        <f t="shared" si="0"/>
        <v>281</v>
      </c>
      <c r="M58" s="158">
        <v>1.0452961672473868E-2</v>
      </c>
      <c r="N58" s="175">
        <v>0</v>
      </c>
      <c r="O58" s="158">
        <v>0.98954703832752611</v>
      </c>
      <c r="P58" s="158">
        <v>0.98954703832752611</v>
      </c>
      <c r="Q58" s="149" t="s">
        <v>530</v>
      </c>
      <c r="T58" s="177" t="s">
        <v>19</v>
      </c>
    </row>
    <row r="59" spans="1:20" s="181" customFormat="1" ht="45" x14ac:dyDescent="0.25">
      <c r="A59" s="10">
        <v>55</v>
      </c>
      <c r="B59" s="105" t="s">
        <v>504</v>
      </c>
      <c r="C59" s="174">
        <v>236</v>
      </c>
      <c r="D59" s="174">
        <v>202</v>
      </c>
      <c r="E59" s="174">
        <v>0</v>
      </c>
      <c r="F59" s="174">
        <v>0</v>
      </c>
      <c r="G59" s="174">
        <v>0</v>
      </c>
      <c r="H59" s="174">
        <v>3</v>
      </c>
      <c r="I59" s="174">
        <v>0</v>
      </c>
      <c r="J59" s="174">
        <f t="shared" si="1"/>
        <v>3</v>
      </c>
      <c r="K59" s="174">
        <v>0</v>
      </c>
      <c r="L59" s="174">
        <f t="shared" si="0"/>
        <v>199</v>
      </c>
      <c r="M59" s="158">
        <v>9.9009900990099011E-3</v>
      </c>
      <c r="N59" s="175">
        <v>0</v>
      </c>
      <c r="O59" s="158">
        <v>0.99009900990099009</v>
      </c>
      <c r="P59" s="158">
        <v>0.99009900990099009</v>
      </c>
      <c r="Q59" s="149" t="s">
        <v>531</v>
      </c>
    </row>
    <row r="60" spans="1:20" s="177" customFormat="1" x14ac:dyDescent="0.2">
      <c r="A60" s="10">
        <v>56</v>
      </c>
      <c r="B60" s="105" t="s">
        <v>505</v>
      </c>
      <c r="C60" s="174">
        <v>149</v>
      </c>
      <c r="D60" s="174">
        <v>171</v>
      </c>
      <c r="E60" s="174">
        <v>0</v>
      </c>
      <c r="F60" s="174">
        <v>0</v>
      </c>
      <c r="G60" s="174">
        <v>0</v>
      </c>
      <c r="H60" s="174">
        <v>0</v>
      </c>
      <c r="I60" s="174">
        <v>0</v>
      </c>
      <c r="J60" s="174">
        <f t="shared" si="1"/>
        <v>0</v>
      </c>
      <c r="K60" s="174">
        <v>0</v>
      </c>
      <c r="L60" s="174">
        <f t="shared" si="0"/>
        <v>171</v>
      </c>
      <c r="M60" s="158">
        <v>0</v>
      </c>
      <c r="N60" s="175">
        <v>0</v>
      </c>
      <c r="O60" s="158">
        <v>1</v>
      </c>
      <c r="P60" s="158">
        <v>1</v>
      </c>
      <c r="Q60" s="176"/>
    </row>
    <row r="61" spans="1:20" s="87" customFormat="1" x14ac:dyDescent="0.25">
      <c r="A61" s="10">
        <v>57</v>
      </c>
      <c r="B61" s="105" t="s">
        <v>506</v>
      </c>
      <c r="C61" s="174">
        <v>168</v>
      </c>
      <c r="D61" s="174">
        <v>187</v>
      </c>
      <c r="E61" s="174">
        <v>0</v>
      </c>
      <c r="F61" s="174">
        <v>0</v>
      </c>
      <c r="G61" s="174">
        <v>0</v>
      </c>
      <c r="H61" s="174">
        <v>0</v>
      </c>
      <c r="I61" s="174">
        <v>0</v>
      </c>
      <c r="J61" s="174">
        <v>15</v>
      </c>
      <c r="K61" s="174">
        <v>0</v>
      </c>
      <c r="L61" s="174">
        <f t="shared" si="0"/>
        <v>172</v>
      </c>
      <c r="M61" s="158">
        <v>0</v>
      </c>
      <c r="N61" s="175">
        <v>0</v>
      </c>
      <c r="O61" s="158">
        <v>1</v>
      </c>
      <c r="P61" s="158">
        <v>1</v>
      </c>
      <c r="Q61" s="176" t="s">
        <v>56</v>
      </c>
    </row>
    <row r="62" spans="1:20" s="87" customFormat="1" x14ac:dyDescent="0.25">
      <c r="A62" s="10">
        <v>58</v>
      </c>
      <c r="B62" s="105" t="s">
        <v>507</v>
      </c>
      <c r="C62" s="174">
        <v>41</v>
      </c>
      <c r="D62" s="174">
        <v>37</v>
      </c>
      <c r="E62" s="174">
        <v>0</v>
      </c>
      <c r="F62" s="174">
        <v>0</v>
      </c>
      <c r="G62" s="174">
        <v>0</v>
      </c>
      <c r="H62" s="174">
        <v>0</v>
      </c>
      <c r="I62" s="174">
        <v>0</v>
      </c>
      <c r="J62" s="174">
        <f t="shared" si="1"/>
        <v>0</v>
      </c>
      <c r="K62" s="174">
        <v>0</v>
      </c>
      <c r="L62" s="174">
        <f t="shared" si="0"/>
        <v>37</v>
      </c>
      <c r="M62" s="158">
        <v>0</v>
      </c>
      <c r="N62" s="175">
        <v>0</v>
      </c>
      <c r="O62" s="158">
        <v>1</v>
      </c>
      <c r="P62" s="158">
        <v>1</v>
      </c>
      <c r="Q62" s="176"/>
    </row>
    <row r="63" spans="1:20" s="87" customFormat="1" ht="59.25" customHeight="1" x14ac:dyDescent="0.25">
      <c r="A63" s="10">
        <v>59</v>
      </c>
      <c r="B63" s="105" t="s">
        <v>508</v>
      </c>
      <c r="C63" s="174">
        <v>3420</v>
      </c>
      <c r="D63" s="174">
        <v>5169</v>
      </c>
      <c r="E63" s="174">
        <v>0</v>
      </c>
      <c r="F63" s="174">
        <v>0</v>
      </c>
      <c r="G63" s="174">
        <v>0</v>
      </c>
      <c r="H63" s="174">
        <v>0</v>
      </c>
      <c r="I63" s="174">
        <v>0</v>
      </c>
      <c r="J63" s="174">
        <v>12</v>
      </c>
      <c r="K63" s="174">
        <v>0</v>
      </c>
      <c r="L63" s="174">
        <f t="shared" si="0"/>
        <v>5157</v>
      </c>
      <c r="M63" s="158">
        <v>1.9346101760495259E-4</v>
      </c>
      <c r="N63" s="175">
        <v>0</v>
      </c>
      <c r="O63" s="158">
        <v>0.99980653898239502</v>
      </c>
      <c r="P63" s="158">
        <v>0.99980653898239502</v>
      </c>
      <c r="Q63" s="149" t="s">
        <v>62</v>
      </c>
    </row>
    <row r="64" spans="1:20" s="87" customFormat="1" ht="29.25" customHeight="1" x14ac:dyDescent="0.25">
      <c r="A64" s="10">
        <v>60</v>
      </c>
      <c r="B64" s="105" t="s">
        <v>509</v>
      </c>
      <c r="C64" s="174">
        <v>528</v>
      </c>
      <c r="D64" s="174">
        <v>546</v>
      </c>
      <c r="E64" s="174">
        <v>0</v>
      </c>
      <c r="F64" s="174">
        <v>0</v>
      </c>
      <c r="G64" s="174">
        <v>0</v>
      </c>
      <c r="H64" s="174">
        <v>0</v>
      </c>
      <c r="I64" s="174">
        <v>0</v>
      </c>
      <c r="J64" s="174">
        <v>0</v>
      </c>
      <c r="K64" s="174">
        <v>0</v>
      </c>
      <c r="L64" s="174">
        <f t="shared" si="0"/>
        <v>546</v>
      </c>
      <c r="M64" s="158" t="s">
        <v>54</v>
      </c>
      <c r="N64" s="175" t="s">
        <v>54</v>
      </c>
      <c r="O64" s="158" t="s">
        <v>54</v>
      </c>
      <c r="P64" s="158" t="s">
        <v>54</v>
      </c>
      <c r="Q64" s="176"/>
    </row>
    <row r="65" spans="1:17" s="87" customFormat="1" ht="27" customHeight="1" x14ac:dyDescent="0.25">
      <c r="A65" s="10">
        <v>61</v>
      </c>
      <c r="B65" s="105" t="s">
        <v>510</v>
      </c>
      <c r="C65" s="174">
        <v>0</v>
      </c>
      <c r="D65" s="174">
        <v>40</v>
      </c>
      <c r="E65" s="174">
        <v>0</v>
      </c>
      <c r="F65" s="174">
        <v>0</v>
      </c>
      <c r="G65" s="174">
        <v>0</v>
      </c>
      <c r="H65" s="174">
        <v>0</v>
      </c>
      <c r="I65" s="174">
        <v>0</v>
      </c>
      <c r="J65" s="174">
        <f t="shared" si="1"/>
        <v>0</v>
      </c>
      <c r="K65" s="174">
        <v>0</v>
      </c>
      <c r="L65" s="174">
        <f t="shared" si="0"/>
        <v>40</v>
      </c>
      <c r="M65" s="158">
        <v>0</v>
      </c>
      <c r="N65" s="175">
        <v>0</v>
      </c>
      <c r="O65" s="158">
        <v>1</v>
      </c>
      <c r="P65" s="158">
        <v>1</v>
      </c>
      <c r="Q65" s="176"/>
    </row>
    <row r="66" spans="1:17" s="87" customFormat="1" ht="58.5" customHeight="1" x14ac:dyDescent="0.25">
      <c r="A66" s="10">
        <v>62</v>
      </c>
      <c r="B66" s="105" t="s">
        <v>511</v>
      </c>
      <c r="C66" s="174">
        <v>104</v>
      </c>
      <c r="D66" s="174">
        <v>90</v>
      </c>
      <c r="E66" s="174">
        <v>0</v>
      </c>
      <c r="F66" s="174">
        <v>1</v>
      </c>
      <c r="G66" s="174">
        <v>0</v>
      </c>
      <c r="H66" s="174">
        <v>0</v>
      </c>
      <c r="I66" s="174">
        <v>0</v>
      </c>
      <c r="J66" s="174">
        <v>4</v>
      </c>
      <c r="K66" s="174">
        <v>0</v>
      </c>
      <c r="L66" s="174">
        <f t="shared" si="0"/>
        <v>86</v>
      </c>
      <c r="M66" s="158">
        <v>1.1111111111111112E-2</v>
      </c>
      <c r="N66" s="175">
        <v>0</v>
      </c>
      <c r="O66" s="158">
        <v>0.98888888888888893</v>
      </c>
      <c r="P66" s="158">
        <v>0.98888888888888893</v>
      </c>
      <c r="Q66" s="176" t="s">
        <v>532</v>
      </c>
    </row>
    <row r="67" spans="1:17" s="87" customFormat="1" x14ac:dyDescent="0.25">
      <c r="A67" s="10">
        <v>63</v>
      </c>
      <c r="B67" s="105" t="s">
        <v>512</v>
      </c>
      <c r="C67" s="174">
        <v>67</v>
      </c>
      <c r="D67" s="174">
        <v>68</v>
      </c>
      <c r="E67" s="174">
        <v>0</v>
      </c>
      <c r="F67" s="174">
        <v>0</v>
      </c>
      <c r="G67" s="174">
        <v>0</v>
      </c>
      <c r="H67" s="174">
        <v>0</v>
      </c>
      <c r="I67" s="174">
        <v>0</v>
      </c>
      <c r="J67" s="174">
        <f t="shared" si="1"/>
        <v>0</v>
      </c>
      <c r="K67" s="174">
        <v>0</v>
      </c>
      <c r="L67" s="174">
        <f t="shared" si="0"/>
        <v>68</v>
      </c>
      <c r="M67" s="158">
        <v>0</v>
      </c>
      <c r="N67" s="175">
        <v>0</v>
      </c>
      <c r="O67" s="158">
        <v>1</v>
      </c>
      <c r="P67" s="158">
        <v>1</v>
      </c>
      <c r="Q67" s="176"/>
    </row>
    <row r="68" spans="1:17" s="87" customFormat="1" x14ac:dyDescent="0.25">
      <c r="A68" s="10">
        <v>64</v>
      </c>
      <c r="B68" s="105" t="s">
        <v>513</v>
      </c>
      <c r="C68" s="174">
        <v>61</v>
      </c>
      <c r="D68" s="174">
        <v>107</v>
      </c>
      <c r="E68" s="174">
        <v>0</v>
      </c>
      <c r="F68" s="174">
        <v>0</v>
      </c>
      <c r="G68" s="174">
        <v>0</v>
      </c>
      <c r="H68" s="174">
        <v>0</v>
      </c>
      <c r="I68" s="174">
        <v>0</v>
      </c>
      <c r="J68" s="174">
        <f t="shared" si="1"/>
        <v>0</v>
      </c>
      <c r="K68" s="174">
        <v>0</v>
      </c>
      <c r="L68" s="174">
        <f t="shared" si="0"/>
        <v>107</v>
      </c>
      <c r="M68" s="158">
        <v>0</v>
      </c>
      <c r="N68" s="175">
        <v>0</v>
      </c>
      <c r="O68" s="158">
        <v>1</v>
      </c>
      <c r="P68" s="158">
        <v>1</v>
      </c>
      <c r="Q68" s="176"/>
    </row>
    <row r="69" spans="1:17" s="87" customFormat="1" x14ac:dyDescent="0.25">
      <c r="A69" s="10">
        <v>65</v>
      </c>
      <c r="B69" s="105" t="s">
        <v>514</v>
      </c>
      <c r="C69" s="174">
        <v>1013</v>
      </c>
      <c r="D69" s="174">
        <v>1236</v>
      </c>
      <c r="E69" s="174">
        <v>0</v>
      </c>
      <c r="F69" s="174">
        <v>0</v>
      </c>
      <c r="G69" s="174">
        <v>0</v>
      </c>
      <c r="H69" s="174">
        <v>0</v>
      </c>
      <c r="I69" s="174">
        <v>0</v>
      </c>
      <c r="J69" s="174">
        <v>21</v>
      </c>
      <c r="K69" s="174">
        <v>0</v>
      </c>
      <c r="L69" s="174">
        <f t="shared" si="0"/>
        <v>1215</v>
      </c>
      <c r="M69" s="158">
        <v>0</v>
      </c>
      <c r="N69" s="175">
        <v>0</v>
      </c>
      <c r="O69" s="158">
        <v>1</v>
      </c>
      <c r="P69" s="158">
        <v>1</v>
      </c>
      <c r="Q69" s="149" t="s">
        <v>533</v>
      </c>
    </row>
    <row r="70" spans="1:17" s="87" customFormat="1" x14ac:dyDescent="0.25">
      <c r="A70" s="10">
        <v>66</v>
      </c>
      <c r="B70" s="105" t="s">
        <v>515</v>
      </c>
      <c r="C70" s="174">
        <v>32</v>
      </c>
      <c r="D70" s="174">
        <v>67</v>
      </c>
      <c r="E70" s="174">
        <v>0</v>
      </c>
      <c r="F70" s="174">
        <v>0</v>
      </c>
      <c r="G70" s="174">
        <v>0</v>
      </c>
      <c r="H70" s="174">
        <v>0</v>
      </c>
      <c r="I70" s="174">
        <v>0</v>
      </c>
      <c r="J70" s="174">
        <f t="shared" ref="J70:J71" si="2">E70+F70+G70+H70+I70</f>
        <v>0</v>
      </c>
      <c r="K70" s="174">
        <v>0</v>
      </c>
      <c r="L70" s="174">
        <f t="shared" ref="L70:L72" si="3">D70-J70-K70</f>
        <v>67</v>
      </c>
      <c r="M70" s="158">
        <v>0</v>
      </c>
      <c r="N70" s="175">
        <v>0</v>
      </c>
      <c r="O70" s="158">
        <v>1</v>
      </c>
      <c r="P70" s="158">
        <v>1</v>
      </c>
      <c r="Q70" s="176"/>
    </row>
    <row r="71" spans="1:17" s="87" customFormat="1" x14ac:dyDescent="0.25">
      <c r="A71" s="10">
        <v>67</v>
      </c>
      <c r="B71" s="105" t="s">
        <v>516</v>
      </c>
      <c r="C71" s="174">
        <v>1486</v>
      </c>
      <c r="D71" s="174">
        <v>2836</v>
      </c>
      <c r="E71" s="174">
        <v>0</v>
      </c>
      <c r="F71" s="174">
        <v>0</v>
      </c>
      <c r="G71" s="174">
        <v>0</v>
      </c>
      <c r="H71" s="174">
        <v>0</v>
      </c>
      <c r="I71" s="174">
        <v>0</v>
      </c>
      <c r="J71" s="174">
        <f t="shared" si="2"/>
        <v>0</v>
      </c>
      <c r="K71" s="174">
        <v>0</v>
      </c>
      <c r="L71" s="174">
        <f t="shared" si="3"/>
        <v>2836</v>
      </c>
      <c r="M71" s="158">
        <v>0</v>
      </c>
      <c r="N71" s="175">
        <v>0</v>
      </c>
      <c r="O71" s="158">
        <v>1</v>
      </c>
      <c r="P71" s="158">
        <v>1</v>
      </c>
      <c r="Q71" s="176"/>
    </row>
    <row r="72" spans="1:17" s="59" customFormat="1" ht="28.5" customHeight="1" x14ac:dyDescent="0.25">
      <c r="A72" s="182"/>
      <c r="B72" s="105" t="s">
        <v>517</v>
      </c>
      <c r="C72" s="183">
        <f>SUM(C5:C71)</f>
        <v>61986</v>
      </c>
      <c r="D72" s="183">
        <f t="shared" ref="D72:K72" si="4">SUM(D5:D71)</f>
        <v>63588</v>
      </c>
      <c r="E72" s="183">
        <f t="shared" si="4"/>
        <v>0</v>
      </c>
      <c r="F72" s="183">
        <f t="shared" si="4"/>
        <v>1</v>
      </c>
      <c r="G72" s="183">
        <f t="shared" si="4"/>
        <v>15</v>
      </c>
      <c r="H72" s="183">
        <f t="shared" si="4"/>
        <v>619</v>
      </c>
      <c r="I72" s="183">
        <f t="shared" si="4"/>
        <v>493</v>
      </c>
      <c r="J72" s="183">
        <f t="shared" si="4"/>
        <v>1444</v>
      </c>
      <c r="K72" s="183">
        <f t="shared" si="4"/>
        <v>0</v>
      </c>
      <c r="L72" s="174">
        <f t="shared" si="3"/>
        <v>62144</v>
      </c>
      <c r="M72" s="157">
        <v>7.3552263545011917E-3</v>
      </c>
      <c r="N72" s="184">
        <v>0</v>
      </c>
      <c r="O72" s="157">
        <v>0.99264477364549886</v>
      </c>
      <c r="P72" s="184">
        <v>0.99264477364549886</v>
      </c>
      <c r="Q72" s="185"/>
    </row>
    <row r="73" spans="1:17" x14ac:dyDescent="0.2">
      <c r="N73" s="155" t="s">
        <v>19</v>
      </c>
      <c r="P73" s="186" t="s">
        <v>54</v>
      </c>
    </row>
    <row r="74" spans="1:17" x14ac:dyDescent="0.2">
      <c r="M74" s="155" t="s">
        <v>19</v>
      </c>
      <c r="P74" s="186" t="s">
        <v>54</v>
      </c>
    </row>
  </sheetData>
  <autoFilter ref="A4:T74" xr:uid="{5AD30A90-B448-4AD9-A394-98A09D10F455}"/>
  <mergeCells count="13">
    <mergeCell ref="A2:T2"/>
    <mergeCell ref="Q3:Q4"/>
    <mergeCell ref="A3:A4"/>
    <mergeCell ref="B3:B4"/>
    <mergeCell ref="C3:D3"/>
    <mergeCell ref="E3:I3"/>
    <mergeCell ref="J3:J4"/>
    <mergeCell ref="K3:K4"/>
    <mergeCell ref="L3:L4"/>
    <mergeCell ref="M3:M4"/>
    <mergeCell ref="N3:N4"/>
    <mergeCell ref="O3:O4"/>
    <mergeCell ref="P3:P4"/>
  </mergeCells>
  <phoneticPr fontId="27" type="noConversion"/>
  <dataValidations count="2">
    <dataValidation type="whole" allowBlank="1" showInputMessage="1" showErrorMessage="1" sqref="C5:K71 L5:L72" xr:uid="{1C50CB80-EA60-4E2C-9653-672A1E270D36}">
      <formula1>0</formula1>
      <formula2>50000</formula2>
    </dataValidation>
    <dataValidation allowBlank="1" showInputMessage="1" showErrorMessage="1" promptTitle="FORMULA USED" prompt="Don't Ammend Here" sqref="B5:B72" xr:uid="{6DD52127-16EB-406D-9846-700C8DE7FF48}"/>
  </dataValidations>
  <pageMargins left="0.27" right="0.27" top="0.22" bottom="0.15" header="0.22" footer="0.21"/>
  <pageSetup paperSize="9" scale="50" orientation="landscape" r:id="rId1"/>
  <rowBreaks count="1" manualBreakCount="1">
    <brk id="33" max="1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915A-C83C-4422-AB2D-891786D76F45}">
  <sheetPr>
    <tabColor rgb="FFFF0000"/>
  </sheetPr>
  <dimension ref="A1:R170"/>
  <sheetViews>
    <sheetView view="pageBreakPreview" zoomScale="50" zoomScaleNormal="70" zoomScaleSheetLayoutView="50" workbookViewId="0">
      <pane ySplit="3" topLeftCell="A4" activePane="bottomLeft" state="frozen"/>
      <selection activeCell="F14" sqref="F14"/>
      <selection pane="bottomLeft" activeCell="S14" sqref="S14"/>
    </sheetView>
  </sheetViews>
  <sheetFormatPr defaultColWidth="9.140625" defaultRowHeight="15.75" x14ac:dyDescent="0.25"/>
  <cols>
    <col min="1" max="1" width="6.5703125" style="141" customWidth="1"/>
    <col min="2" max="2" width="9.140625" style="141"/>
    <col min="3" max="3" width="34.140625" style="141" customWidth="1"/>
    <col min="4" max="4" width="8.5703125" style="141" customWidth="1"/>
    <col min="5" max="5" width="8" style="141" customWidth="1"/>
    <col min="6" max="6" width="6" style="187" customWidth="1"/>
    <col min="7" max="7" width="18" style="187" customWidth="1"/>
    <col min="8" max="8" width="6" style="187" customWidth="1"/>
    <col min="9" max="9" width="11.5703125" style="187" customWidth="1"/>
    <col min="10" max="10" width="9.28515625" style="187" customWidth="1"/>
    <col min="11" max="11" width="12.7109375" style="141" bestFit="1" customWidth="1"/>
    <col min="12" max="12" width="20.42578125" style="141" customWidth="1"/>
    <col min="13" max="13" width="8.7109375" style="141" bestFit="1" customWidth="1"/>
    <col min="14" max="14" width="10.28515625" style="154" bestFit="1" customWidth="1"/>
    <col min="15" max="15" width="11.5703125" style="141" customWidth="1"/>
    <col min="16" max="16" width="53.42578125" style="230" customWidth="1"/>
    <col min="17" max="16384" width="9.140625" style="141"/>
  </cols>
  <sheetData>
    <row r="1" spans="1:16" s="188" customFormat="1" x14ac:dyDescent="0.25">
      <c r="A1" s="276" t="s">
        <v>46</v>
      </c>
      <c r="B1" s="276"/>
      <c r="C1" s="276"/>
      <c r="D1" s="276"/>
      <c r="E1" s="276"/>
      <c r="F1" s="276"/>
      <c r="G1" s="276"/>
      <c r="H1" s="276"/>
      <c r="I1" s="276"/>
      <c r="J1" s="276"/>
      <c r="K1" s="276"/>
      <c r="L1" s="276"/>
      <c r="M1" s="276"/>
      <c r="N1" s="276"/>
      <c r="O1" s="276"/>
      <c r="P1" s="276"/>
    </row>
    <row r="2" spans="1:16" s="6" customFormat="1" ht="15.75" customHeight="1" x14ac:dyDescent="0.25">
      <c r="A2" s="189" t="s">
        <v>0</v>
      </c>
      <c r="B2" s="190" t="s">
        <v>1</v>
      </c>
      <c r="C2" s="191"/>
      <c r="D2" s="192" t="s">
        <v>2</v>
      </c>
      <c r="E2" s="193"/>
      <c r="F2" s="189" t="s">
        <v>47</v>
      </c>
      <c r="G2" s="189"/>
      <c r="H2" s="189"/>
      <c r="I2" s="194" t="s">
        <v>4</v>
      </c>
      <c r="J2" s="195" t="s">
        <v>5</v>
      </c>
      <c r="K2" s="196" t="s">
        <v>6</v>
      </c>
      <c r="L2" s="197" t="s">
        <v>7</v>
      </c>
      <c r="M2" s="197" t="s">
        <v>8</v>
      </c>
      <c r="N2" s="130" t="s">
        <v>9</v>
      </c>
      <c r="O2" s="197" t="s">
        <v>10</v>
      </c>
      <c r="P2" s="198" t="s">
        <v>11</v>
      </c>
    </row>
    <row r="3" spans="1:16" s="6" customFormat="1" ht="56.25" customHeight="1" x14ac:dyDescent="0.25">
      <c r="A3" s="189"/>
      <c r="B3" s="199"/>
      <c r="C3" s="200"/>
      <c r="D3" s="161" t="s">
        <v>48</v>
      </c>
      <c r="E3" s="161" t="s">
        <v>13</v>
      </c>
      <c r="F3" s="201" t="s">
        <v>16</v>
      </c>
      <c r="G3" s="19" t="s">
        <v>49</v>
      </c>
      <c r="H3" s="201" t="s">
        <v>18</v>
      </c>
      <c r="I3" s="202" t="s">
        <v>44</v>
      </c>
      <c r="J3" s="203"/>
      <c r="K3" s="204"/>
      <c r="L3" s="197" t="s">
        <v>57</v>
      </c>
      <c r="M3" s="197"/>
      <c r="N3" s="130"/>
      <c r="O3" s="197"/>
      <c r="P3" s="104"/>
    </row>
    <row r="4" spans="1:16" s="205" customFormat="1" ht="39" customHeight="1" x14ac:dyDescent="0.25">
      <c r="A4" s="81" t="s">
        <v>26</v>
      </c>
      <c r="B4" s="14" t="s">
        <v>27</v>
      </c>
      <c r="C4" s="14"/>
      <c r="D4" s="81" t="s">
        <v>28</v>
      </c>
      <c r="E4" s="81" t="s">
        <v>29</v>
      </c>
      <c r="F4" s="3" t="s">
        <v>30</v>
      </c>
      <c r="G4" s="58" t="s">
        <v>31</v>
      </c>
      <c r="H4" s="81" t="s">
        <v>32</v>
      </c>
      <c r="I4" s="81" t="s">
        <v>33</v>
      </c>
      <c r="J4" s="81" t="s">
        <v>34</v>
      </c>
      <c r="K4" s="81" t="s">
        <v>35</v>
      </c>
      <c r="L4" s="81" t="s">
        <v>36</v>
      </c>
      <c r="M4" s="81" t="s">
        <v>37</v>
      </c>
      <c r="N4" s="81" t="s">
        <v>38</v>
      </c>
      <c r="O4" s="81" t="s">
        <v>39</v>
      </c>
      <c r="P4" s="58" t="s">
        <v>40</v>
      </c>
    </row>
    <row r="5" spans="1:16" ht="15" customHeight="1" x14ac:dyDescent="0.25">
      <c r="A5" s="222">
        <v>1</v>
      </c>
      <c r="B5" s="189" t="s">
        <v>534</v>
      </c>
      <c r="C5" s="238"/>
      <c r="D5" s="208"/>
      <c r="E5" s="208"/>
      <c r="F5" s="209"/>
      <c r="G5" s="209"/>
      <c r="H5" s="209"/>
      <c r="I5" s="210"/>
      <c r="J5" s="209"/>
      <c r="K5" s="208"/>
      <c r="L5" s="208"/>
      <c r="M5" s="208"/>
      <c r="N5" s="211"/>
      <c r="O5" s="208"/>
      <c r="P5" s="212"/>
    </row>
    <row r="6" spans="1:16" s="154" customFormat="1" ht="36.75" customHeight="1" x14ac:dyDescent="0.25">
      <c r="A6" s="222"/>
      <c r="B6" s="213" t="s">
        <v>26</v>
      </c>
      <c r="C6" s="213" t="s">
        <v>535</v>
      </c>
      <c r="D6" s="214">
        <v>65</v>
      </c>
      <c r="E6" s="214">
        <v>65</v>
      </c>
      <c r="F6" s="214">
        <v>0</v>
      </c>
      <c r="G6" s="214">
        <v>2</v>
      </c>
      <c r="H6" s="214">
        <v>0</v>
      </c>
      <c r="I6" s="214">
        <v>0</v>
      </c>
      <c r="J6" s="214">
        <v>0</v>
      </c>
      <c r="K6" s="214">
        <f>E6-I6</f>
        <v>65</v>
      </c>
      <c r="L6" s="215">
        <f>(I6/E6)</f>
        <v>0</v>
      </c>
      <c r="M6" s="157">
        <f>J6/E6</f>
        <v>0</v>
      </c>
      <c r="N6" s="157">
        <f>K6/E6</f>
        <v>1</v>
      </c>
      <c r="O6" s="157">
        <f>M6+N6</f>
        <v>1</v>
      </c>
      <c r="P6" s="13"/>
    </row>
    <row r="7" spans="1:16" x14ac:dyDescent="0.25">
      <c r="A7" s="222"/>
      <c r="B7" s="216" t="s">
        <v>27</v>
      </c>
      <c r="C7" s="213" t="s">
        <v>536</v>
      </c>
      <c r="D7" s="214">
        <v>59</v>
      </c>
      <c r="E7" s="214">
        <v>61</v>
      </c>
      <c r="F7" s="214">
        <v>0</v>
      </c>
      <c r="G7" s="214">
        <v>0</v>
      </c>
      <c r="H7" s="214">
        <v>0</v>
      </c>
      <c r="I7" s="214">
        <f t="shared" ref="I7:I69" si="0">F7+G7+H7+H7</f>
        <v>0</v>
      </c>
      <c r="J7" s="214">
        <v>0</v>
      </c>
      <c r="K7" s="214">
        <f t="shared" ref="K7:K70" si="1">E7-I7</f>
        <v>61</v>
      </c>
      <c r="L7" s="215">
        <f t="shared" ref="L7:L70" si="2">(I7/E7)</f>
        <v>0</v>
      </c>
      <c r="M7" s="157">
        <f t="shared" ref="M7:M70" si="3">J7/E7</f>
        <v>0</v>
      </c>
      <c r="N7" s="157">
        <f t="shared" ref="N7:N70" si="4">K7/E7</f>
        <v>1</v>
      </c>
      <c r="O7" s="157">
        <f t="shared" ref="O7:O70" si="5">M7+N7</f>
        <v>1</v>
      </c>
      <c r="P7" s="13"/>
    </row>
    <row r="8" spans="1:16" x14ac:dyDescent="0.25">
      <c r="A8" s="222"/>
      <c r="B8" s="239" t="s">
        <v>28</v>
      </c>
      <c r="C8" s="213" t="s">
        <v>537</v>
      </c>
      <c r="D8" s="214">
        <v>0</v>
      </c>
      <c r="E8" s="214">
        <v>0</v>
      </c>
      <c r="F8" s="214">
        <v>0</v>
      </c>
      <c r="G8" s="214">
        <v>0</v>
      </c>
      <c r="H8" s="214">
        <v>0</v>
      </c>
      <c r="I8" s="214">
        <f t="shared" si="0"/>
        <v>0</v>
      </c>
      <c r="J8" s="214">
        <v>0</v>
      </c>
      <c r="K8" s="214">
        <f t="shared" si="1"/>
        <v>0</v>
      </c>
      <c r="L8" s="215" t="e">
        <f t="shared" si="2"/>
        <v>#DIV/0!</v>
      </c>
      <c r="M8" s="157" t="e">
        <f t="shared" si="3"/>
        <v>#DIV/0!</v>
      </c>
      <c r="N8" s="157" t="e">
        <f t="shared" si="4"/>
        <v>#DIV/0!</v>
      </c>
      <c r="O8" s="157" t="e">
        <f t="shared" si="5"/>
        <v>#DIV/0!</v>
      </c>
      <c r="P8" s="13"/>
    </row>
    <row r="9" spans="1:16" x14ac:dyDescent="0.25">
      <c r="A9" s="222"/>
      <c r="B9" s="216" t="s">
        <v>29</v>
      </c>
      <c r="C9" s="213" t="s">
        <v>538</v>
      </c>
      <c r="D9" s="214">
        <v>59</v>
      </c>
      <c r="E9" s="214">
        <v>45</v>
      </c>
      <c r="F9" s="214">
        <v>0</v>
      </c>
      <c r="G9" s="214">
        <v>0</v>
      </c>
      <c r="H9" s="214">
        <v>0</v>
      </c>
      <c r="I9" s="214">
        <f t="shared" si="0"/>
        <v>0</v>
      </c>
      <c r="J9" s="214">
        <v>0</v>
      </c>
      <c r="K9" s="214">
        <f t="shared" si="1"/>
        <v>45</v>
      </c>
      <c r="L9" s="215">
        <f t="shared" si="2"/>
        <v>0</v>
      </c>
      <c r="M9" s="157">
        <f t="shared" si="3"/>
        <v>0</v>
      </c>
      <c r="N9" s="157">
        <f t="shared" si="4"/>
        <v>1</v>
      </c>
      <c r="O9" s="157">
        <f t="shared" si="5"/>
        <v>1</v>
      </c>
      <c r="P9" s="7"/>
    </row>
    <row r="10" spans="1:16" x14ac:dyDescent="0.25">
      <c r="A10" s="222"/>
      <c r="B10" s="216" t="s">
        <v>30</v>
      </c>
      <c r="C10" s="213" t="s">
        <v>539</v>
      </c>
      <c r="D10" s="214">
        <v>0</v>
      </c>
      <c r="E10" s="214">
        <v>0</v>
      </c>
      <c r="F10" s="214">
        <v>0</v>
      </c>
      <c r="G10" s="214">
        <v>0</v>
      </c>
      <c r="H10" s="214">
        <v>0</v>
      </c>
      <c r="I10" s="214">
        <f t="shared" si="0"/>
        <v>0</v>
      </c>
      <c r="J10" s="214">
        <v>0</v>
      </c>
      <c r="K10" s="214">
        <f t="shared" si="1"/>
        <v>0</v>
      </c>
      <c r="L10" s="215" t="e">
        <f t="shared" si="2"/>
        <v>#DIV/0!</v>
      </c>
      <c r="M10" s="157" t="e">
        <f t="shared" si="3"/>
        <v>#DIV/0!</v>
      </c>
      <c r="N10" s="157" t="e">
        <f t="shared" si="4"/>
        <v>#DIV/0!</v>
      </c>
      <c r="O10" s="157" t="e">
        <f t="shared" si="5"/>
        <v>#DIV/0!</v>
      </c>
      <c r="P10" s="13" t="s">
        <v>54</v>
      </c>
    </row>
    <row r="11" spans="1:16" ht="15.75" customHeight="1" x14ac:dyDescent="0.25">
      <c r="A11" s="222">
        <v>2</v>
      </c>
      <c r="B11" s="238" t="s">
        <v>540</v>
      </c>
      <c r="C11" s="238"/>
      <c r="D11" s="214"/>
      <c r="E11" s="214"/>
      <c r="F11" s="214"/>
      <c r="G11" s="214">
        <v>0</v>
      </c>
      <c r="H11" s="214">
        <v>0</v>
      </c>
      <c r="I11" s="214">
        <f t="shared" si="0"/>
        <v>0</v>
      </c>
      <c r="J11" s="214">
        <v>0</v>
      </c>
      <c r="K11" s="214">
        <f t="shared" si="1"/>
        <v>0</v>
      </c>
      <c r="L11" s="215" t="e">
        <f t="shared" si="2"/>
        <v>#DIV/0!</v>
      </c>
      <c r="M11" s="157" t="e">
        <f t="shared" si="3"/>
        <v>#DIV/0!</v>
      </c>
      <c r="N11" s="157" t="e">
        <f t="shared" si="4"/>
        <v>#DIV/0!</v>
      </c>
      <c r="O11" s="157" t="e">
        <f t="shared" si="5"/>
        <v>#DIV/0!</v>
      </c>
      <c r="P11" s="13" t="s">
        <v>54</v>
      </c>
    </row>
    <row r="12" spans="1:16" x14ac:dyDescent="0.25">
      <c r="A12" s="222"/>
      <c r="B12" s="216" t="s">
        <v>26</v>
      </c>
      <c r="C12" s="216" t="s">
        <v>541</v>
      </c>
      <c r="D12" s="214">
        <v>59</v>
      </c>
      <c r="E12" s="214">
        <v>61</v>
      </c>
      <c r="F12" s="214">
        <v>0</v>
      </c>
      <c r="G12" s="214">
        <v>0</v>
      </c>
      <c r="H12" s="214">
        <v>0</v>
      </c>
      <c r="I12" s="214">
        <f t="shared" si="0"/>
        <v>0</v>
      </c>
      <c r="J12" s="214">
        <v>0</v>
      </c>
      <c r="K12" s="214">
        <f t="shared" si="1"/>
        <v>61</v>
      </c>
      <c r="L12" s="215">
        <f t="shared" si="2"/>
        <v>0</v>
      </c>
      <c r="M12" s="157">
        <f t="shared" si="3"/>
        <v>0</v>
      </c>
      <c r="N12" s="157">
        <f t="shared" si="4"/>
        <v>1</v>
      </c>
      <c r="O12" s="157">
        <f t="shared" si="5"/>
        <v>1</v>
      </c>
      <c r="P12" s="13" t="s">
        <v>54</v>
      </c>
    </row>
    <row r="13" spans="1:16" x14ac:dyDescent="0.25">
      <c r="A13" s="222"/>
      <c r="B13" s="216" t="s">
        <v>27</v>
      </c>
      <c r="C13" s="216" t="s">
        <v>542</v>
      </c>
      <c r="D13" s="214">
        <v>0</v>
      </c>
      <c r="E13" s="214">
        <v>0</v>
      </c>
      <c r="F13" s="214">
        <v>0</v>
      </c>
      <c r="G13" s="214">
        <v>0</v>
      </c>
      <c r="H13" s="214">
        <v>0</v>
      </c>
      <c r="I13" s="214">
        <f t="shared" si="0"/>
        <v>0</v>
      </c>
      <c r="J13" s="214">
        <v>0</v>
      </c>
      <c r="K13" s="214">
        <f t="shared" si="1"/>
        <v>0</v>
      </c>
      <c r="L13" s="215" t="e">
        <f t="shared" si="2"/>
        <v>#DIV/0!</v>
      </c>
      <c r="M13" s="157" t="e">
        <f t="shared" si="3"/>
        <v>#DIV/0!</v>
      </c>
      <c r="N13" s="157" t="e">
        <f t="shared" si="4"/>
        <v>#DIV/0!</v>
      </c>
      <c r="O13" s="157" t="e">
        <f t="shared" si="5"/>
        <v>#DIV/0!</v>
      </c>
      <c r="P13" s="13" t="s">
        <v>54</v>
      </c>
    </row>
    <row r="14" spans="1:16" x14ac:dyDescent="0.25">
      <c r="A14" s="222"/>
      <c r="B14" s="216" t="s">
        <v>28</v>
      </c>
      <c r="C14" s="216" t="s">
        <v>543</v>
      </c>
      <c r="D14" s="214">
        <v>118</v>
      </c>
      <c r="E14" s="214">
        <v>122</v>
      </c>
      <c r="F14" s="214">
        <v>0</v>
      </c>
      <c r="G14" s="214">
        <v>0</v>
      </c>
      <c r="H14" s="214">
        <v>0</v>
      </c>
      <c r="I14" s="214">
        <f t="shared" si="0"/>
        <v>0</v>
      </c>
      <c r="J14" s="214">
        <v>0</v>
      </c>
      <c r="K14" s="214">
        <f t="shared" si="1"/>
        <v>122</v>
      </c>
      <c r="L14" s="215">
        <f t="shared" si="2"/>
        <v>0</v>
      </c>
      <c r="M14" s="157">
        <f t="shared" si="3"/>
        <v>0</v>
      </c>
      <c r="N14" s="157">
        <f t="shared" si="4"/>
        <v>1</v>
      </c>
      <c r="O14" s="157">
        <f t="shared" si="5"/>
        <v>1</v>
      </c>
      <c r="P14" s="13" t="s">
        <v>54</v>
      </c>
    </row>
    <row r="15" spans="1:16" ht="15" customHeight="1" x14ac:dyDescent="0.25">
      <c r="A15" s="222">
        <v>3</v>
      </c>
      <c r="B15" s="238" t="s">
        <v>544</v>
      </c>
      <c r="C15" s="238"/>
      <c r="D15" s="214"/>
      <c r="E15" s="214"/>
      <c r="F15" s="214"/>
      <c r="G15" s="214">
        <v>0</v>
      </c>
      <c r="H15" s="214">
        <v>0</v>
      </c>
      <c r="I15" s="214">
        <f t="shared" si="0"/>
        <v>0</v>
      </c>
      <c r="J15" s="214">
        <v>0</v>
      </c>
      <c r="K15" s="214">
        <f t="shared" si="1"/>
        <v>0</v>
      </c>
      <c r="L15" s="215" t="e">
        <f t="shared" si="2"/>
        <v>#DIV/0!</v>
      </c>
      <c r="M15" s="157" t="e">
        <f t="shared" si="3"/>
        <v>#DIV/0!</v>
      </c>
      <c r="N15" s="157" t="e">
        <f t="shared" si="4"/>
        <v>#DIV/0!</v>
      </c>
      <c r="O15" s="157" t="e">
        <f t="shared" si="5"/>
        <v>#DIV/0!</v>
      </c>
      <c r="P15" s="13" t="s">
        <v>54</v>
      </c>
    </row>
    <row r="16" spans="1:16" x14ac:dyDescent="0.25">
      <c r="A16" s="222"/>
      <c r="B16" s="216" t="s">
        <v>26</v>
      </c>
      <c r="C16" s="216" t="s">
        <v>545</v>
      </c>
      <c r="D16" s="214">
        <v>59</v>
      </c>
      <c r="E16" s="214">
        <v>61</v>
      </c>
      <c r="F16" s="214">
        <v>0</v>
      </c>
      <c r="G16" s="214">
        <v>0</v>
      </c>
      <c r="H16" s="214">
        <v>0</v>
      </c>
      <c r="I16" s="214">
        <f t="shared" si="0"/>
        <v>0</v>
      </c>
      <c r="J16" s="214">
        <v>0</v>
      </c>
      <c r="K16" s="214">
        <f t="shared" si="1"/>
        <v>61</v>
      </c>
      <c r="L16" s="215">
        <f t="shared" si="2"/>
        <v>0</v>
      </c>
      <c r="M16" s="157">
        <f t="shared" si="3"/>
        <v>0</v>
      </c>
      <c r="N16" s="157">
        <f t="shared" si="4"/>
        <v>1</v>
      </c>
      <c r="O16" s="157">
        <f t="shared" si="5"/>
        <v>1</v>
      </c>
      <c r="P16" s="13" t="s">
        <v>54</v>
      </c>
    </row>
    <row r="17" spans="1:16" x14ac:dyDescent="0.25">
      <c r="A17" s="222"/>
      <c r="B17" s="216" t="s">
        <v>27</v>
      </c>
      <c r="C17" s="216" t="s">
        <v>546</v>
      </c>
      <c r="D17" s="214">
        <v>0</v>
      </c>
      <c r="E17" s="214">
        <v>0</v>
      </c>
      <c r="F17" s="214">
        <v>0</v>
      </c>
      <c r="G17" s="214">
        <v>0</v>
      </c>
      <c r="H17" s="214">
        <v>0</v>
      </c>
      <c r="I17" s="214">
        <f t="shared" si="0"/>
        <v>0</v>
      </c>
      <c r="J17" s="214">
        <v>0</v>
      </c>
      <c r="K17" s="214">
        <f t="shared" si="1"/>
        <v>0</v>
      </c>
      <c r="L17" s="215" t="e">
        <f t="shared" si="2"/>
        <v>#DIV/0!</v>
      </c>
      <c r="M17" s="157" t="e">
        <f t="shared" si="3"/>
        <v>#DIV/0!</v>
      </c>
      <c r="N17" s="157" t="e">
        <f t="shared" si="4"/>
        <v>#DIV/0!</v>
      </c>
      <c r="O17" s="157" t="e">
        <f t="shared" si="5"/>
        <v>#DIV/0!</v>
      </c>
      <c r="P17" s="13" t="s">
        <v>54</v>
      </c>
    </row>
    <row r="18" spans="1:16" x14ac:dyDescent="0.25">
      <c r="A18" s="222"/>
      <c r="B18" s="216" t="s">
        <v>28</v>
      </c>
      <c r="C18" s="216" t="s">
        <v>547</v>
      </c>
      <c r="D18" s="214">
        <v>0</v>
      </c>
      <c r="E18" s="214">
        <v>0</v>
      </c>
      <c r="F18" s="214">
        <v>0</v>
      </c>
      <c r="G18" s="214">
        <v>0</v>
      </c>
      <c r="H18" s="214">
        <v>0</v>
      </c>
      <c r="I18" s="214">
        <f t="shared" si="0"/>
        <v>0</v>
      </c>
      <c r="J18" s="214">
        <v>0</v>
      </c>
      <c r="K18" s="214">
        <f t="shared" si="1"/>
        <v>0</v>
      </c>
      <c r="L18" s="215" t="e">
        <f t="shared" si="2"/>
        <v>#DIV/0!</v>
      </c>
      <c r="M18" s="157" t="e">
        <f t="shared" si="3"/>
        <v>#DIV/0!</v>
      </c>
      <c r="N18" s="157" t="e">
        <f t="shared" si="4"/>
        <v>#DIV/0!</v>
      </c>
      <c r="O18" s="157" t="e">
        <f t="shared" si="5"/>
        <v>#DIV/0!</v>
      </c>
      <c r="P18" s="13" t="s">
        <v>54</v>
      </c>
    </row>
    <row r="19" spans="1:16" x14ac:dyDescent="0.25">
      <c r="A19" s="222"/>
      <c r="B19" s="216" t="s">
        <v>29</v>
      </c>
      <c r="C19" s="216" t="s">
        <v>548</v>
      </c>
      <c r="D19" s="214">
        <v>0</v>
      </c>
      <c r="E19" s="214">
        <v>0</v>
      </c>
      <c r="F19" s="214">
        <v>0</v>
      </c>
      <c r="G19" s="214">
        <v>0</v>
      </c>
      <c r="H19" s="214">
        <v>0</v>
      </c>
      <c r="I19" s="214">
        <f t="shared" si="0"/>
        <v>0</v>
      </c>
      <c r="J19" s="214">
        <v>0</v>
      </c>
      <c r="K19" s="214">
        <f t="shared" si="1"/>
        <v>0</v>
      </c>
      <c r="L19" s="215" t="e">
        <f t="shared" si="2"/>
        <v>#DIV/0!</v>
      </c>
      <c r="M19" s="157" t="e">
        <f t="shared" si="3"/>
        <v>#DIV/0!</v>
      </c>
      <c r="N19" s="157" t="e">
        <f t="shared" si="4"/>
        <v>#DIV/0!</v>
      </c>
      <c r="O19" s="157" t="e">
        <f t="shared" si="5"/>
        <v>#DIV/0!</v>
      </c>
      <c r="P19" s="13" t="s">
        <v>54</v>
      </c>
    </row>
    <row r="20" spans="1:16" x14ac:dyDescent="0.25">
      <c r="A20" s="222"/>
      <c r="B20" s="216" t="s">
        <v>29</v>
      </c>
      <c r="C20" s="216" t="s">
        <v>549</v>
      </c>
      <c r="D20" s="214">
        <v>0</v>
      </c>
      <c r="E20" s="214">
        <v>0</v>
      </c>
      <c r="F20" s="214">
        <v>0</v>
      </c>
      <c r="G20" s="214">
        <v>0</v>
      </c>
      <c r="H20" s="214">
        <v>0</v>
      </c>
      <c r="I20" s="214">
        <f t="shared" si="0"/>
        <v>0</v>
      </c>
      <c r="J20" s="214">
        <v>0</v>
      </c>
      <c r="K20" s="214">
        <f t="shared" si="1"/>
        <v>0</v>
      </c>
      <c r="L20" s="215" t="e">
        <f t="shared" si="2"/>
        <v>#DIV/0!</v>
      </c>
      <c r="M20" s="157" t="e">
        <f t="shared" si="3"/>
        <v>#DIV/0!</v>
      </c>
      <c r="N20" s="157" t="e">
        <f t="shared" si="4"/>
        <v>#DIV/0!</v>
      </c>
      <c r="O20" s="157" t="e">
        <f t="shared" si="5"/>
        <v>#DIV/0!</v>
      </c>
      <c r="P20" s="13" t="s">
        <v>54</v>
      </c>
    </row>
    <row r="21" spans="1:16" ht="15.75" customHeight="1" x14ac:dyDescent="0.25">
      <c r="A21" s="222">
        <v>4</v>
      </c>
      <c r="B21" s="238" t="s">
        <v>550</v>
      </c>
      <c r="C21" s="238"/>
      <c r="D21" s="214"/>
      <c r="E21" s="214"/>
      <c r="F21" s="214"/>
      <c r="G21" s="214">
        <v>0</v>
      </c>
      <c r="H21" s="214">
        <v>0</v>
      </c>
      <c r="I21" s="214">
        <f t="shared" si="0"/>
        <v>0</v>
      </c>
      <c r="J21" s="214">
        <v>0</v>
      </c>
      <c r="K21" s="214">
        <f t="shared" si="1"/>
        <v>0</v>
      </c>
      <c r="L21" s="215" t="e">
        <f t="shared" si="2"/>
        <v>#DIV/0!</v>
      </c>
      <c r="M21" s="157" t="e">
        <f t="shared" si="3"/>
        <v>#DIV/0!</v>
      </c>
      <c r="N21" s="157" t="e">
        <f t="shared" si="4"/>
        <v>#DIV/0!</v>
      </c>
      <c r="O21" s="157" t="e">
        <f t="shared" si="5"/>
        <v>#DIV/0!</v>
      </c>
      <c r="P21" s="13" t="s">
        <v>54</v>
      </c>
    </row>
    <row r="22" spans="1:16" s="154" customFormat="1" ht="39.75" customHeight="1" x14ac:dyDescent="0.25">
      <c r="A22" s="222"/>
      <c r="B22" s="216" t="s">
        <v>26</v>
      </c>
      <c r="C22" s="216" t="s">
        <v>551</v>
      </c>
      <c r="D22" s="214">
        <v>41</v>
      </c>
      <c r="E22" s="214">
        <v>37</v>
      </c>
      <c r="F22" s="214">
        <v>0</v>
      </c>
      <c r="G22" s="214">
        <v>2</v>
      </c>
      <c r="H22" s="214">
        <v>0</v>
      </c>
      <c r="I22" s="214">
        <f t="shared" si="0"/>
        <v>2</v>
      </c>
      <c r="J22" s="214">
        <v>0</v>
      </c>
      <c r="K22" s="214">
        <f t="shared" si="1"/>
        <v>35</v>
      </c>
      <c r="L22" s="215">
        <f t="shared" si="2"/>
        <v>5.4054054054054057E-2</v>
      </c>
      <c r="M22" s="157">
        <f t="shared" si="3"/>
        <v>0</v>
      </c>
      <c r="N22" s="157">
        <f t="shared" si="4"/>
        <v>0.94594594594594594</v>
      </c>
      <c r="O22" s="157">
        <f t="shared" si="5"/>
        <v>0.94594594594594594</v>
      </c>
      <c r="P22" s="217" t="s">
        <v>701</v>
      </c>
    </row>
    <row r="23" spans="1:16" x14ac:dyDescent="0.25">
      <c r="A23" s="222"/>
      <c r="B23" s="216" t="s">
        <v>27</v>
      </c>
      <c r="C23" s="216" t="s">
        <v>552</v>
      </c>
      <c r="D23" s="214">
        <v>41</v>
      </c>
      <c r="E23" s="214">
        <v>37</v>
      </c>
      <c r="F23" s="214">
        <v>0</v>
      </c>
      <c r="G23" s="214">
        <v>3</v>
      </c>
      <c r="H23" s="214">
        <v>0</v>
      </c>
      <c r="I23" s="214">
        <f t="shared" si="0"/>
        <v>3</v>
      </c>
      <c r="J23" s="214">
        <v>0</v>
      </c>
      <c r="K23" s="214">
        <f t="shared" si="1"/>
        <v>34</v>
      </c>
      <c r="L23" s="215">
        <f t="shared" si="2"/>
        <v>8.1081081081081086E-2</v>
      </c>
      <c r="M23" s="157">
        <f t="shared" si="3"/>
        <v>0</v>
      </c>
      <c r="N23" s="157">
        <f t="shared" si="4"/>
        <v>0.91891891891891897</v>
      </c>
      <c r="O23" s="157">
        <f t="shared" si="5"/>
        <v>0.91891891891891897</v>
      </c>
      <c r="P23" s="13"/>
    </row>
    <row r="24" spans="1:16" x14ac:dyDescent="0.25">
      <c r="A24" s="222"/>
      <c r="B24" s="216" t="s">
        <v>28</v>
      </c>
      <c r="C24" s="216" t="s">
        <v>553</v>
      </c>
      <c r="D24" s="214">
        <v>41</v>
      </c>
      <c r="E24" s="214">
        <v>37</v>
      </c>
      <c r="F24" s="214">
        <v>0</v>
      </c>
      <c r="G24" s="214">
        <v>0</v>
      </c>
      <c r="H24" s="214">
        <v>0</v>
      </c>
      <c r="I24" s="214">
        <f t="shared" si="0"/>
        <v>0</v>
      </c>
      <c r="J24" s="214">
        <v>0</v>
      </c>
      <c r="K24" s="214">
        <f t="shared" si="1"/>
        <v>37</v>
      </c>
      <c r="L24" s="215">
        <f t="shared" si="2"/>
        <v>0</v>
      </c>
      <c r="M24" s="157">
        <f t="shared" si="3"/>
        <v>0</v>
      </c>
      <c r="N24" s="157">
        <f t="shared" si="4"/>
        <v>1</v>
      </c>
      <c r="O24" s="157">
        <f t="shared" si="5"/>
        <v>1</v>
      </c>
      <c r="P24" s="13" t="s">
        <v>54</v>
      </c>
    </row>
    <row r="25" spans="1:16" x14ac:dyDescent="0.25">
      <c r="A25" s="222"/>
      <c r="B25" s="216" t="s">
        <v>29</v>
      </c>
      <c r="C25" s="216" t="s">
        <v>554</v>
      </c>
      <c r="D25" s="214">
        <v>41</v>
      </c>
      <c r="E25" s="214">
        <v>37</v>
      </c>
      <c r="F25" s="214">
        <v>0</v>
      </c>
      <c r="G25" s="214">
        <v>0</v>
      </c>
      <c r="H25" s="214">
        <v>0</v>
      </c>
      <c r="I25" s="214">
        <f t="shared" si="0"/>
        <v>0</v>
      </c>
      <c r="J25" s="214">
        <v>0</v>
      </c>
      <c r="K25" s="214">
        <f t="shared" si="1"/>
        <v>37</v>
      </c>
      <c r="L25" s="215">
        <f t="shared" si="2"/>
        <v>0</v>
      </c>
      <c r="M25" s="157">
        <f t="shared" si="3"/>
        <v>0</v>
      </c>
      <c r="N25" s="157">
        <f t="shared" si="4"/>
        <v>1</v>
      </c>
      <c r="O25" s="157">
        <f t="shared" si="5"/>
        <v>1</v>
      </c>
      <c r="P25" s="13" t="s">
        <v>54</v>
      </c>
    </row>
    <row r="26" spans="1:16" ht="15.75" customHeight="1" x14ac:dyDescent="0.25">
      <c r="A26" s="222">
        <v>5</v>
      </c>
      <c r="B26" s="238" t="s">
        <v>555</v>
      </c>
      <c r="C26" s="238"/>
      <c r="D26" s="214"/>
      <c r="E26" s="214"/>
      <c r="F26" s="214"/>
      <c r="G26" s="214">
        <v>0</v>
      </c>
      <c r="H26" s="214">
        <v>0</v>
      </c>
      <c r="I26" s="214">
        <f t="shared" si="0"/>
        <v>0</v>
      </c>
      <c r="J26" s="214">
        <v>0</v>
      </c>
      <c r="K26" s="214">
        <f t="shared" si="1"/>
        <v>0</v>
      </c>
      <c r="L26" s="215" t="e">
        <f t="shared" si="2"/>
        <v>#DIV/0!</v>
      </c>
      <c r="M26" s="157" t="e">
        <f t="shared" si="3"/>
        <v>#DIV/0!</v>
      </c>
      <c r="N26" s="157" t="e">
        <f t="shared" si="4"/>
        <v>#DIV/0!</v>
      </c>
      <c r="O26" s="157" t="e">
        <f t="shared" si="5"/>
        <v>#DIV/0!</v>
      </c>
      <c r="P26" s="13" t="s">
        <v>54</v>
      </c>
    </row>
    <row r="27" spans="1:16" ht="42.75" x14ac:dyDescent="0.25">
      <c r="A27" s="222"/>
      <c r="B27" s="216" t="s">
        <v>26</v>
      </c>
      <c r="C27" s="216" t="s">
        <v>556</v>
      </c>
      <c r="D27" s="214">
        <v>41</v>
      </c>
      <c r="E27" s="214">
        <v>37</v>
      </c>
      <c r="F27" s="214">
        <v>0</v>
      </c>
      <c r="G27" s="214">
        <v>7</v>
      </c>
      <c r="H27" s="214">
        <v>0</v>
      </c>
      <c r="I27" s="214">
        <f t="shared" si="0"/>
        <v>7</v>
      </c>
      <c r="J27" s="214">
        <v>0</v>
      </c>
      <c r="K27" s="214">
        <f t="shared" si="1"/>
        <v>30</v>
      </c>
      <c r="L27" s="215">
        <f t="shared" si="2"/>
        <v>0.1891891891891892</v>
      </c>
      <c r="M27" s="157">
        <f t="shared" si="3"/>
        <v>0</v>
      </c>
      <c r="N27" s="157">
        <f t="shared" si="4"/>
        <v>0.81081081081081086</v>
      </c>
      <c r="O27" s="157">
        <f t="shared" si="5"/>
        <v>0.81081081081081086</v>
      </c>
      <c r="P27" s="218" t="s">
        <v>143</v>
      </c>
    </row>
    <row r="28" spans="1:16" x14ac:dyDescent="0.25">
      <c r="A28" s="222"/>
      <c r="B28" s="216" t="s">
        <v>27</v>
      </c>
      <c r="C28" s="216" t="s">
        <v>557</v>
      </c>
      <c r="D28" s="214">
        <v>82</v>
      </c>
      <c r="E28" s="214">
        <v>68</v>
      </c>
      <c r="F28" s="214">
        <v>0</v>
      </c>
      <c r="G28" s="214">
        <v>0</v>
      </c>
      <c r="H28" s="214">
        <v>0</v>
      </c>
      <c r="I28" s="214">
        <f t="shared" si="0"/>
        <v>0</v>
      </c>
      <c r="J28" s="214">
        <v>0</v>
      </c>
      <c r="K28" s="214">
        <f t="shared" si="1"/>
        <v>68</v>
      </c>
      <c r="L28" s="215">
        <f t="shared" si="2"/>
        <v>0</v>
      </c>
      <c r="M28" s="157">
        <f t="shared" si="3"/>
        <v>0</v>
      </c>
      <c r="N28" s="157">
        <f t="shared" si="4"/>
        <v>1</v>
      </c>
      <c r="O28" s="157">
        <f t="shared" si="5"/>
        <v>1</v>
      </c>
      <c r="P28" s="13" t="s">
        <v>54</v>
      </c>
    </row>
    <row r="29" spans="1:16" ht="15.75" customHeight="1" x14ac:dyDescent="0.25">
      <c r="A29" s="222">
        <v>6</v>
      </c>
      <c r="B29" s="238" t="s">
        <v>558</v>
      </c>
      <c r="C29" s="238"/>
      <c r="D29" s="214"/>
      <c r="E29" s="214"/>
      <c r="F29" s="214"/>
      <c r="G29" s="214">
        <v>0</v>
      </c>
      <c r="H29" s="214">
        <v>0</v>
      </c>
      <c r="I29" s="214">
        <f t="shared" si="0"/>
        <v>0</v>
      </c>
      <c r="J29" s="214">
        <v>0</v>
      </c>
      <c r="K29" s="214">
        <f t="shared" si="1"/>
        <v>0</v>
      </c>
      <c r="L29" s="215" t="e">
        <f t="shared" si="2"/>
        <v>#DIV/0!</v>
      </c>
      <c r="M29" s="157" t="e">
        <f t="shared" si="3"/>
        <v>#DIV/0!</v>
      </c>
      <c r="N29" s="157" t="e">
        <f t="shared" si="4"/>
        <v>#DIV/0!</v>
      </c>
      <c r="O29" s="157" t="e">
        <f t="shared" si="5"/>
        <v>#DIV/0!</v>
      </c>
      <c r="P29" s="13" t="s">
        <v>54</v>
      </c>
    </row>
    <row r="30" spans="1:16" x14ac:dyDescent="0.25">
      <c r="A30" s="222"/>
      <c r="B30" s="216" t="s">
        <v>26</v>
      </c>
      <c r="C30" s="216" t="s">
        <v>559</v>
      </c>
      <c r="D30" s="214">
        <v>0</v>
      </c>
      <c r="E30" s="214">
        <v>0</v>
      </c>
      <c r="F30" s="214">
        <v>0</v>
      </c>
      <c r="G30" s="214">
        <v>0</v>
      </c>
      <c r="H30" s="214">
        <v>0</v>
      </c>
      <c r="I30" s="214">
        <f t="shared" si="0"/>
        <v>0</v>
      </c>
      <c r="J30" s="214">
        <v>0</v>
      </c>
      <c r="K30" s="214">
        <f t="shared" si="1"/>
        <v>0</v>
      </c>
      <c r="L30" s="215" t="e">
        <f t="shared" si="2"/>
        <v>#DIV/0!</v>
      </c>
      <c r="M30" s="157" t="e">
        <f t="shared" si="3"/>
        <v>#DIV/0!</v>
      </c>
      <c r="N30" s="157" t="e">
        <f t="shared" si="4"/>
        <v>#DIV/0!</v>
      </c>
      <c r="O30" s="157" t="e">
        <f t="shared" si="5"/>
        <v>#DIV/0!</v>
      </c>
      <c r="P30" s="13" t="s">
        <v>54</v>
      </c>
    </row>
    <row r="31" spans="1:16" x14ac:dyDescent="0.25">
      <c r="A31" s="222"/>
      <c r="B31" s="216" t="s">
        <v>27</v>
      </c>
      <c r="C31" s="216" t="s">
        <v>560</v>
      </c>
      <c r="D31" s="214">
        <v>41</v>
      </c>
      <c r="E31" s="214">
        <v>34</v>
      </c>
      <c r="F31" s="214">
        <v>0</v>
      </c>
      <c r="G31" s="214">
        <v>0</v>
      </c>
      <c r="H31" s="214">
        <v>0</v>
      </c>
      <c r="I31" s="214">
        <f t="shared" si="0"/>
        <v>0</v>
      </c>
      <c r="J31" s="214">
        <v>0</v>
      </c>
      <c r="K31" s="214">
        <f t="shared" si="1"/>
        <v>34</v>
      </c>
      <c r="L31" s="215">
        <f t="shared" si="2"/>
        <v>0</v>
      </c>
      <c r="M31" s="157">
        <f t="shared" si="3"/>
        <v>0</v>
      </c>
      <c r="N31" s="157">
        <f t="shared" si="4"/>
        <v>1</v>
      </c>
      <c r="O31" s="157">
        <f t="shared" si="5"/>
        <v>1</v>
      </c>
      <c r="P31" s="13" t="s">
        <v>54</v>
      </c>
    </row>
    <row r="32" spans="1:16" x14ac:dyDescent="0.25">
      <c r="A32" s="222"/>
      <c r="B32" s="216" t="s">
        <v>28</v>
      </c>
      <c r="C32" s="216" t="s">
        <v>561</v>
      </c>
      <c r="D32" s="214">
        <v>0</v>
      </c>
      <c r="E32" s="214">
        <v>0</v>
      </c>
      <c r="F32" s="214">
        <v>0</v>
      </c>
      <c r="G32" s="214">
        <v>0</v>
      </c>
      <c r="H32" s="214">
        <v>0</v>
      </c>
      <c r="I32" s="214">
        <f t="shared" si="0"/>
        <v>0</v>
      </c>
      <c r="J32" s="214">
        <v>0</v>
      </c>
      <c r="K32" s="214">
        <f t="shared" si="1"/>
        <v>0</v>
      </c>
      <c r="L32" s="215" t="e">
        <f t="shared" si="2"/>
        <v>#DIV/0!</v>
      </c>
      <c r="M32" s="157" t="e">
        <f t="shared" si="3"/>
        <v>#DIV/0!</v>
      </c>
      <c r="N32" s="157" t="e">
        <f t="shared" si="4"/>
        <v>#DIV/0!</v>
      </c>
      <c r="O32" s="157" t="e">
        <f t="shared" si="5"/>
        <v>#DIV/0!</v>
      </c>
      <c r="P32" s="13" t="s">
        <v>54</v>
      </c>
    </row>
    <row r="33" spans="1:16" x14ac:dyDescent="0.25">
      <c r="A33" s="222"/>
      <c r="B33" s="216" t="s">
        <v>29</v>
      </c>
      <c r="C33" s="216" t="s">
        <v>562</v>
      </c>
      <c r="D33" s="214">
        <v>0</v>
      </c>
      <c r="E33" s="214">
        <v>0</v>
      </c>
      <c r="F33" s="214">
        <v>0</v>
      </c>
      <c r="G33" s="214">
        <v>0</v>
      </c>
      <c r="H33" s="214">
        <v>0</v>
      </c>
      <c r="I33" s="214">
        <f t="shared" si="0"/>
        <v>0</v>
      </c>
      <c r="J33" s="214">
        <v>0</v>
      </c>
      <c r="K33" s="214">
        <f t="shared" si="1"/>
        <v>0</v>
      </c>
      <c r="L33" s="215" t="e">
        <f t="shared" si="2"/>
        <v>#DIV/0!</v>
      </c>
      <c r="M33" s="157" t="e">
        <f t="shared" si="3"/>
        <v>#DIV/0!</v>
      </c>
      <c r="N33" s="157" t="e">
        <f t="shared" si="4"/>
        <v>#DIV/0!</v>
      </c>
      <c r="O33" s="157" t="e">
        <f t="shared" si="5"/>
        <v>#DIV/0!</v>
      </c>
      <c r="P33" s="13" t="s">
        <v>54</v>
      </c>
    </row>
    <row r="34" spans="1:16" x14ac:dyDescent="0.25">
      <c r="A34" s="222"/>
      <c r="B34" s="216" t="s">
        <v>30</v>
      </c>
      <c r="C34" s="216" t="s">
        <v>563</v>
      </c>
      <c r="D34" s="214">
        <v>41</v>
      </c>
      <c r="E34" s="214">
        <v>34</v>
      </c>
      <c r="F34" s="214">
        <v>0</v>
      </c>
      <c r="G34" s="214">
        <v>0</v>
      </c>
      <c r="H34" s="214">
        <v>0</v>
      </c>
      <c r="I34" s="214">
        <f t="shared" si="0"/>
        <v>0</v>
      </c>
      <c r="J34" s="214">
        <v>0</v>
      </c>
      <c r="K34" s="214">
        <f t="shared" si="1"/>
        <v>34</v>
      </c>
      <c r="L34" s="215">
        <f t="shared" si="2"/>
        <v>0</v>
      </c>
      <c r="M34" s="157">
        <f t="shared" si="3"/>
        <v>0</v>
      </c>
      <c r="N34" s="157">
        <f t="shared" si="4"/>
        <v>1</v>
      </c>
      <c r="O34" s="157">
        <f t="shared" si="5"/>
        <v>1</v>
      </c>
      <c r="P34" s="13" t="s">
        <v>54</v>
      </c>
    </row>
    <row r="35" spans="1:16" ht="15.75" customHeight="1" x14ac:dyDescent="0.25">
      <c r="A35" s="222">
        <v>7</v>
      </c>
      <c r="B35" s="238" t="s">
        <v>564</v>
      </c>
      <c r="C35" s="238"/>
      <c r="D35" s="214"/>
      <c r="E35" s="214"/>
      <c r="F35" s="214"/>
      <c r="G35" s="214">
        <v>0</v>
      </c>
      <c r="H35" s="214">
        <v>0</v>
      </c>
      <c r="I35" s="214">
        <f t="shared" si="0"/>
        <v>0</v>
      </c>
      <c r="J35" s="214">
        <v>0</v>
      </c>
      <c r="K35" s="214">
        <f t="shared" si="1"/>
        <v>0</v>
      </c>
      <c r="L35" s="215" t="e">
        <f t="shared" si="2"/>
        <v>#DIV/0!</v>
      </c>
      <c r="M35" s="157" t="e">
        <f t="shared" si="3"/>
        <v>#DIV/0!</v>
      </c>
      <c r="N35" s="157" t="e">
        <f t="shared" si="4"/>
        <v>#DIV/0!</v>
      </c>
      <c r="O35" s="157" t="e">
        <f t="shared" si="5"/>
        <v>#DIV/0!</v>
      </c>
      <c r="P35" s="13" t="s">
        <v>54</v>
      </c>
    </row>
    <row r="36" spans="1:16" x14ac:dyDescent="0.25">
      <c r="A36" s="222"/>
      <c r="B36" s="216" t="s">
        <v>26</v>
      </c>
      <c r="C36" s="216" t="s">
        <v>565</v>
      </c>
      <c r="D36" s="214">
        <v>98</v>
      </c>
      <c r="E36" s="214">
        <v>98</v>
      </c>
      <c r="F36" s="214">
        <v>0</v>
      </c>
      <c r="G36" s="214">
        <v>0</v>
      </c>
      <c r="H36" s="214">
        <v>0</v>
      </c>
      <c r="I36" s="214">
        <f t="shared" si="0"/>
        <v>0</v>
      </c>
      <c r="J36" s="214">
        <v>0</v>
      </c>
      <c r="K36" s="214">
        <f t="shared" si="1"/>
        <v>98</v>
      </c>
      <c r="L36" s="215">
        <f t="shared" si="2"/>
        <v>0</v>
      </c>
      <c r="M36" s="157">
        <f t="shared" si="3"/>
        <v>0</v>
      </c>
      <c r="N36" s="157">
        <f t="shared" si="4"/>
        <v>1</v>
      </c>
      <c r="O36" s="157">
        <f t="shared" si="5"/>
        <v>1</v>
      </c>
      <c r="P36" s="13" t="s">
        <v>54</v>
      </c>
    </row>
    <row r="37" spans="1:16" x14ac:dyDescent="0.25">
      <c r="A37" s="222"/>
      <c r="B37" s="216" t="s">
        <v>27</v>
      </c>
      <c r="C37" s="216" t="s">
        <v>566</v>
      </c>
      <c r="D37" s="214">
        <v>0</v>
      </c>
      <c r="E37" s="214">
        <v>0</v>
      </c>
      <c r="F37" s="214">
        <v>0</v>
      </c>
      <c r="G37" s="214">
        <v>0</v>
      </c>
      <c r="H37" s="214">
        <v>0</v>
      </c>
      <c r="I37" s="214">
        <f t="shared" si="0"/>
        <v>0</v>
      </c>
      <c r="J37" s="214">
        <v>0</v>
      </c>
      <c r="K37" s="214">
        <f t="shared" si="1"/>
        <v>0</v>
      </c>
      <c r="L37" s="215" t="e">
        <f t="shared" si="2"/>
        <v>#DIV/0!</v>
      </c>
      <c r="M37" s="157" t="e">
        <f t="shared" si="3"/>
        <v>#DIV/0!</v>
      </c>
      <c r="N37" s="157" t="e">
        <f t="shared" si="4"/>
        <v>#DIV/0!</v>
      </c>
      <c r="O37" s="157" t="e">
        <f t="shared" si="5"/>
        <v>#DIV/0!</v>
      </c>
      <c r="P37" s="13" t="s">
        <v>54</v>
      </c>
    </row>
    <row r="38" spans="1:16" x14ac:dyDescent="0.25">
      <c r="A38" s="222"/>
      <c r="B38" s="216" t="s">
        <v>28</v>
      </c>
      <c r="C38" s="216" t="s">
        <v>567</v>
      </c>
      <c r="D38" s="214">
        <v>30</v>
      </c>
      <c r="E38" s="214">
        <v>30</v>
      </c>
      <c r="F38" s="214">
        <v>0</v>
      </c>
      <c r="G38" s="214">
        <v>0</v>
      </c>
      <c r="H38" s="214">
        <v>0</v>
      </c>
      <c r="I38" s="214">
        <f t="shared" si="0"/>
        <v>0</v>
      </c>
      <c r="J38" s="214">
        <v>0</v>
      </c>
      <c r="K38" s="214">
        <f t="shared" si="1"/>
        <v>30</v>
      </c>
      <c r="L38" s="215">
        <f t="shared" si="2"/>
        <v>0</v>
      </c>
      <c r="M38" s="157">
        <f t="shared" si="3"/>
        <v>0</v>
      </c>
      <c r="N38" s="157">
        <f t="shared" si="4"/>
        <v>1</v>
      </c>
      <c r="O38" s="157">
        <f t="shared" si="5"/>
        <v>1</v>
      </c>
      <c r="P38" s="13" t="s">
        <v>54</v>
      </c>
    </row>
    <row r="39" spans="1:16" x14ac:dyDescent="0.25">
      <c r="A39" s="222"/>
      <c r="B39" s="216" t="s">
        <v>29</v>
      </c>
      <c r="C39" s="216" t="s">
        <v>568</v>
      </c>
      <c r="D39" s="214">
        <v>0</v>
      </c>
      <c r="E39" s="214">
        <v>0</v>
      </c>
      <c r="F39" s="214">
        <v>0</v>
      </c>
      <c r="G39" s="214">
        <v>0</v>
      </c>
      <c r="H39" s="214">
        <v>0</v>
      </c>
      <c r="I39" s="214">
        <f t="shared" si="0"/>
        <v>0</v>
      </c>
      <c r="J39" s="214">
        <v>0</v>
      </c>
      <c r="K39" s="214">
        <f t="shared" si="1"/>
        <v>0</v>
      </c>
      <c r="L39" s="215" t="e">
        <f t="shared" si="2"/>
        <v>#DIV/0!</v>
      </c>
      <c r="M39" s="157" t="e">
        <f t="shared" si="3"/>
        <v>#DIV/0!</v>
      </c>
      <c r="N39" s="157" t="e">
        <f t="shared" si="4"/>
        <v>#DIV/0!</v>
      </c>
      <c r="O39" s="157" t="e">
        <f t="shared" si="5"/>
        <v>#DIV/0!</v>
      </c>
      <c r="P39" s="13" t="s">
        <v>54</v>
      </c>
    </row>
    <row r="40" spans="1:16" ht="15.75" customHeight="1" x14ac:dyDescent="0.25">
      <c r="A40" s="222">
        <v>8</v>
      </c>
      <c r="B40" s="238" t="s">
        <v>569</v>
      </c>
      <c r="C40" s="238"/>
      <c r="D40" s="214"/>
      <c r="E40" s="214"/>
      <c r="F40" s="214"/>
      <c r="G40" s="214">
        <v>0</v>
      </c>
      <c r="H40" s="214">
        <v>0</v>
      </c>
      <c r="I40" s="214">
        <f t="shared" si="0"/>
        <v>0</v>
      </c>
      <c r="J40" s="214">
        <v>0</v>
      </c>
      <c r="K40" s="214">
        <f t="shared" si="1"/>
        <v>0</v>
      </c>
      <c r="L40" s="215" t="e">
        <f t="shared" si="2"/>
        <v>#DIV/0!</v>
      </c>
      <c r="M40" s="157" t="e">
        <f t="shared" si="3"/>
        <v>#DIV/0!</v>
      </c>
      <c r="N40" s="157" t="e">
        <f t="shared" si="4"/>
        <v>#DIV/0!</v>
      </c>
      <c r="O40" s="157" t="e">
        <f t="shared" si="5"/>
        <v>#DIV/0!</v>
      </c>
      <c r="P40" s="13" t="s">
        <v>54</v>
      </c>
    </row>
    <row r="41" spans="1:16" ht="39.75" customHeight="1" x14ac:dyDescent="0.25">
      <c r="A41" s="222"/>
      <c r="B41" s="216" t="s">
        <v>26</v>
      </c>
      <c r="C41" s="216" t="s">
        <v>570</v>
      </c>
      <c r="D41" s="214">
        <v>106</v>
      </c>
      <c r="E41" s="214">
        <v>114</v>
      </c>
      <c r="F41" s="214">
        <v>0</v>
      </c>
      <c r="G41" s="214">
        <v>3</v>
      </c>
      <c r="H41" s="214">
        <v>0</v>
      </c>
      <c r="I41" s="214">
        <f t="shared" si="0"/>
        <v>3</v>
      </c>
      <c r="J41" s="214">
        <v>0</v>
      </c>
      <c r="K41" s="214">
        <f t="shared" si="1"/>
        <v>111</v>
      </c>
      <c r="L41" s="215">
        <f t="shared" si="2"/>
        <v>2.6315789473684209E-2</v>
      </c>
      <c r="M41" s="157">
        <f t="shared" si="3"/>
        <v>0</v>
      </c>
      <c r="N41" s="157">
        <f t="shared" si="4"/>
        <v>0.97368421052631582</v>
      </c>
      <c r="O41" s="157">
        <f t="shared" si="5"/>
        <v>0.97368421052631582</v>
      </c>
      <c r="P41" s="13"/>
    </row>
    <row r="42" spans="1:16" x14ac:dyDescent="0.25">
      <c r="A42" s="222"/>
      <c r="B42" s="216" t="s">
        <v>27</v>
      </c>
      <c r="C42" s="216" t="s">
        <v>571</v>
      </c>
      <c r="D42" s="214">
        <v>98</v>
      </c>
      <c r="E42" s="214">
        <v>98</v>
      </c>
      <c r="F42" s="214">
        <v>0</v>
      </c>
      <c r="G42" s="214">
        <v>0</v>
      </c>
      <c r="H42" s="214">
        <v>0</v>
      </c>
      <c r="I42" s="214">
        <f t="shared" si="0"/>
        <v>0</v>
      </c>
      <c r="J42" s="214">
        <v>0</v>
      </c>
      <c r="K42" s="214">
        <f t="shared" si="1"/>
        <v>98</v>
      </c>
      <c r="L42" s="215">
        <f t="shared" si="2"/>
        <v>0</v>
      </c>
      <c r="M42" s="157">
        <f t="shared" si="3"/>
        <v>0</v>
      </c>
      <c r="N42" s="157">
        <f t="shared" si="4"/>
        <v>1</v>
      </c>
      <c r="O42" s="157">
        <f t="shared" si="5"/>
        <v>1</v>
      </c>
      <c r="P42" s="13" t="s">
        <v>54</v>
      </c>
    </row>
    <row r="43" spans="1:16" ht="15.75" customHeight="1" x14ac:dyDescent="0.25">
      <c r="A43" s="222">
        <v>9</v>
      </c>
      <c r="B43" s="238" t="s">
        <v>572</v>
      </c>
      <c r="C43" s="238"/>
      <c r="D43" s="214"/>
      <c r="E43" s="214"/>
      <c r="F43" s="214"/>
      <c r="G43" s="214">
        <v>0</v>
      </c>
      <c r="H43" s="214">
        <v>0</v>
      </c>
      <c r="I43" s="214">
        <f t="shared" si="0"/>
        <v>0</v>
      </c>
      <c r="J43" s="214">
        <v>0</v>
      </c>
      <c r="K43" s="214">
        <f t="shared" si="1"/>
        <v>0</v>
      </c>
      <c r="L43" s="215" t="e">
        <f t="shared" si="2"/>
        <v>#DIV/0!</v>
      </c>
      <c r="M43" s="157" t="e">
        <f t="shared" si="3"/>
        <v>#DIV/0!</v>
      </c>
      <c r="N43" s="157" t="e">
        <f t="shared" si="4"/>
        <v>#DIV/0!</v>
      </c>
      <c r="O43" s="157" t="e">
        <f t="shared" si="5"/>
        <v>#DIV/0!</v>
      </c>
      <c r="P43" s="13" t="s">
        <v>54</v>
      </c>
    </row>
    <row r="44" spans="1:16" x14ac:dyDescent="0.25">
      <c r="A44" s="222"/>
      <c r="B44" s="216" t="s">
        <v>26</v>
      </c>
      <c r="C44" s="216" t="s">
        <v>573</v>
      </c>
      <c r="D44" s="214">
        <v>110</v>
      </c>
      <c r="E44" s="214">
        <v>110</v>
      </c>
      <c r="F44" s="214">
        <v>0</v>
      </c>
      <c r="G44" s="214">
        <v>0</v>
      </c>
      <c r="H44" s="214">
        <v>0</v>
      </c>
      <c r="I44" s="214">
        <f t="shared" si="0"/>
        <v>0</v>
      </c>
      <c r="J44" s="214">
        <v>0</v>
      </c>
      <c r="K44" s="214">
        <f t="shared" si="1"/>
        <v>110</v>
      </c>
      <c r="L44" s="215">
        <f t="shared" si="2"/>
        <v>0</v>
      </c>
      <c r="M44" s="157">
        <f t="shared" si="3"/>
        <v>0</v>
      </c>
      <c r="N44" s="157">
        <f t="shared" si="4"/>
        <v>1</v>
      </c>
      <c r="O44" s="157">
        <f t="shared" si="5"/>
        <v>1</v>
      </c>
      <c r="P44" s="13" t="s">
        <v>54</v>
      </c>
    </row>
    <row r="45" spans="1:16" x14ac:dyDescent="0.25">
      <c r="A45" s="222"/>
      <c r="B45" s="216" t="s">
        <v>27</v>
      </c>
      <c r="C45" s="216" t="s">
        <v>574</v>
      </c>
      <c r="D45" s="214">
        <v>0</v>
      </c>
      <c r="E45" s="214">
        <v>0</v>
      </c>
      <c r="F45" s="214">
        <v>0</v>
      </c>
      <c r="G45" s="214">
        <v>0</v>
      </c>
      <c r="H45" s="214">
        <v>0</v>
      </c>
      <c r="I45" s="214">
        <f t="shared" si="0"/>
        <v>0</v>
      </c>
      <c r="J45" s="214">
        <v>0</v>
      </c>
      <c r="K45" s="214">
        <f t="shared" si="1"/>
        <v>0</v>
      </c>
      <c r="L45" s="215" t="e">
        <f t="shared" si="2"/>
        <v>#DIV/0!</v>
      </c>
      <c r="M45" s="157" t="e">
        <f t="shared" si="3"/>
        <v>#DIV/0!</v>
      </c>
      <c r="N45" s="157" t="e">
        <f t="shared" si="4"/>
        <v>#DIV/0!</v>
      </c>
      <c r="O45" s="157" t="e">
        <f t="shared" si="5"/>
        <v>#DIV/0!</v>
      </c>
      <c r="P45" s="13" t="s">
        <v>54</v>
      </c>
    </row>
    <row r="46" spans="1:16" x14ac:dyDescent="0.25">
      <c r="A46" s="222"/>
      <c r="B46" s="216" t="s">
        <v>28</v>
      </c>
      <c r="C46" s="216" t="s">
        <v>575</v>
      </c>
      <c r="D46" s="214">
        <v>0</v>
      </c>
      <c r="E46" s="214">
        <v>0</v>
      </c>
      <c r="F46" s="214">
        <v>0</v>
      </c>
      <c r="G46" s="214">
        <v>0</v>
      </c>
      <c r="H46" s="214">
        <v>0</v>
      </c>
      <c r="I46" s="214">
        <f t="shared" si="0"/>
        <v>0</v>
      </c>
      <c r="J46" s="214">
        <v>0</v>
      </c>
      <c r="K46" s="214">
        <f t="shared" si="1"/>
        <v>0</v>
      </c>
      <c r="L46" s="215" t="e">
        <f t="shared" si="2"/>
        <v>#DIV/0!</v>
      </c>
      <c r="M46" s="157" t="e">
        <f t="shared" si="3"/>
        <v>#DIV/0!</v>
      </c>
      <c r="N46" s="157" t="e">
        <f t="shared" si="4"/>
        <v>#DIV/0!</v>
      </c>
      <c r="O46" s="157" t="e">
        <f t="shared" si="5"/>
        <v>#DIV/0!</v>
      </c>
      <c r="P46" s="13" t="s">
        <v>54</v>
      </c>
    </row>
    <row r="47" spans="1:16" x14ac:dyDescent="0.25">
      <c r="A47" s="222"/>
      <c r="B47" s="216" t="s">
        <v>29</v>
      </c>
      <c r="C47" s="216" t="s">
        <v>576</v>
      </c>
      <c r="D47" s="214">
        <v>0</v>
      </c>
      <c r="E47" s="214">
        <v>0</v>
      </c>
      <c r="F47" s="214">
        <v>0</v>
      </c>
      <c r="G47" s="214">
        <v>0</v>
      </c>
      <c r="H47" s="214">
        <v>0</v>
      </c>
      <c r="I47" s="214">
        <f t="shared" si="0"/>
        <v>0</v>
      </c>
      <c r="J47" s="214">
        <v>0</v>
      </c>
      <c r="K47" s="214">
        <f t="shared" si="1"/>
        <v>0</v>
      </c>
      <c r="L47" s="215" t="e">
        <f t="shared" si="2"/>
        <v>#DIV/0!</v>
      </c>
      <c r="M47" s="157" t="e">
        <f t="shared" si="3"/>
        <v>#DIV/0!</v>
      </c>
      <c r="N47" s="157" t="e">
        <f t="shared" si="4"/>
        <v>#DIV/0!</v>
      </c>
      <c r="O47" s="157" t="e">
        <f t="shared" si="5"/>
        <v>#DIV/0!</v>
      </c>
      <c r="P47" s="13" t="s">
        <v>54</v>
      </c>
    </row>
    <row r="48" spans="1:16" ht="15.75" customHeight="1" x14ac:dyDescent="0.25">
      <c r="A48" s="222">
        <v>10</v>
      </c>
      <c r="B48" s="238" t="s">
        <v>577</v>
      </c>
      <c r="C48" s="238"/>
      <c r="D48" s="214"/>
      <c r="E48" s="214"/>
      <c r="F48" s="214"/>
      <c r="G48" s="214">
        <v>0</v>
      </c>
      <c r="H48" s="214">
        <v>0</v>
      </c>
      <c r="I48" s="214">
        <f t="shared" si="0"/>
        <v>0</v>
      </c>
      <c r="J48" s="214">
        <v>0</v>
      </c>
      <c r="K48" s="214">
        <f t="shared" si="1"/>
        <v>0</v>
      </c>
      <c r="L48" s="215" t="e">
        <f t="shared" si="2"/>
        <v>#DIV/0!</v>
      </c>
      <c r="M48" s="157" t="e">
        <f t="shared" si="3"/>
        <v>#DIV/0!</v>
      </c>
      <c r="N48" s="157" t="e">
        <f t="shared" si="4"/>
        <v>#DIV/0!</v>
      </c>
      <c r="O48" s="157" t="e">
        <f t="shared" si="5"/>
        <v>#DIV/0!</v>
      </c>
      <c r="P48" s="13" t="s">
        <v>54</v>
      </c>
    </row>
    <row r="49" spans="1:16" x14ac:dyDescent="0.25">
      <c r="A49" s="222"/>
      <c r="B49" s="216" t="s">
        <v>26</v>
      </c>
      <c r="C49" s="216" t="s">
        <v>578</v>
      </c>
      <c r="D49" s="214">
        <v>0</v>
      </c>
      <c r="E49" s="214">
        <v>0</v>
      </c>
      <c r="F49" s="214">
        <v>0</v>
      </c>
      <c r="G49" s="214">
        <v>0</v>
      </c>
      <c r="H49" s="214">
        <v>0</v>
      </c>
      <c r="I49" s="214">
        <f t="shared" si="0"/>
        <v>0</v>
      </c>
      <c r="J49" s="214">
        <v>0</v>
      </c>
      <c r="K49" s="214">
        <f t="shared" si="1"/>
        <v>0</v>
      </c>
      <c r="L49" s="215" t="e">
        <f t="shared" si="2"/>
        <v>#DIV/0!</v>
      </c>
      <c r="M49" s="157" t="e">
        <f t="shared" si="3"/>
        <v>#DIV/0!</v>
      </c>
      <c r="N49" s="157" t="e">
        <f t="shared" si="4"/>
        <v>#DIV/0!</v>
      </c>
      <c r="O49" s="157" t="e">
        <f t="shared" si="5"/>
        <v>#DIV/0!</v>
      </c>
      <c r="P49" s="13" t="s">
        <v>54</v>
      </c>
    </row>
    <row r="50" spans="1:16" x14ac:dyDescent="0.25">
      <c r="A50" s="222"/>
      <c r="B50" s="216" t="s">
        <v>27</v>
      </c>
      <c r="C50" s="216" t="s">
        <v>579</v>
      </c>
      <c r="D50" s="214">
        <v>0</v>
      </c>
      <c r="E50" s="214">
        <v>0</v>
      </c>
      <c r="F50" s="214">
        <v>0</v>
      </c>
      <c r="G50" s="214">
        <v>0</v>
      </c>
      <c r="H50" s="214">
        <v>0</v>
      </c>
      <c r="I50" s="214">
        <f t="shared" si="0"/>
        <v>0</v>
      </c>
      <c r="J50" s="214">
        <v>0</v>
      </c>
      <c r="K50" s="214">
        <f t="shared" si="1"/>
        <v>0</v>
      </c>
      <c r="L50" s="215" t="e">
        <f t="shared" si="2"/>
        <v>#DIV/0!</v>
      </c>
      <c r="M50" s="157" t="e">
        <f t="shared" si="3"/>
        <v>#DIV/0!</v>
      </c>
      <c r="N50" s="157" t="e">
        <f t="shared" si="4"/>
        <v>#DIV/0!</v>
      </c>
      <c r="O50" s="157" t="e">
        <f t="shared" si="5"/>
        <v>#DIV/0!</v>
      </c>
      <c r="P50" s="13" t="s">
        <v>54</v>
      </c>
    </row>
    <row r="51" spans="1:16" x14ac:dyDescent="0.25">
      <c r="A51" s="222"/>
      <c r="B51" s="216" t="s">
        <v>28</v>
      </c>
      <c r="C51" s="216" t="s">
        <v>580</v>
      </c>
      <c r="D51" s="214">
        <v>0</v>
      </c>
      <c r="E51" s="214">
        <v>0</v>
      </c>
      <c r="F51" s="214">
        <v>0</v>
      </c>
      <c r="G51" s="214">
        <v>0</v>
      </c>
      <c r="H51" s="214">
        <v>0</v>
      </c>
      <c r="I51" s="214">
        <f t="shared" si="0"/>
        <v>0</v>
      </c>
      <c r="J51" s="214">
        <v>0</v>
      </c>
      <c r="K51" s="214">
        <f t="shared" si="1"/>
        <v>0</v>
      </c>
      <c r="L51" s="215" t="e">
        <f t="shared" si="2"/>
        <v>#DIV/0!</v>
      </c>
      <c r="M51" s="157" t="e">
        <f t="shared" si="3"/>
        <v>#DIV/0!</v>
      </c>
      <c r="N51" s="157" t="e">
        <f t="shared" si="4"/>
        <v>#DIV/0!</v>
      </c>
      <c r="O51" s="157" t="e">
        <f t="shared" si="5"/>
        <v>#DIV/0!</v>
      </c>
      <c r="P51" s="13" t="s">
        <v>54</v>
      </c>
    </row>
    <row r="52" spans="1:16" x14ac:dyDescent="0.25">
      <c r="A52" s="222"/>
      <c r="B52" s="216" t="s">
        <v>29</v>
      </c>
      <c r="C52" s="216" t="s">
        <v>581</v>
      </c>
      <c r="D52" s="214">
        <v>0</v>
      </c>
      <c r="E52" s="214">
        <v>0</v>
      </c>
      <c r="F52" s="214">
        <v>0</v>
      </c>
      <c r="G52" s="214">
        <v>0</v>
      </c>
      <c r="H52" s="214">
        <v>0</v>
      </c>
      <c r="I52" s="214">
        <f t="shared" si="0"/>
        <v>0</v>
      </c>
      <c r="J52" s="214">
        <v>0</v>
      </c>
      <c r="K52" s="214">
        <f t="shared" si="1"/>
        <v>0</v>
      </c>
      <c r="L52" s="215" t="e">
        <f t="shared" si="2"/>
        <v>#DIV/0!</v>
      </c>
      <c r="M52" s="157" t="e">
        <f t="shared" si="3"/>
        <v>#DIV/0!</v>
      </c>
      <c r="N52" s="157" t="e">
        <f t="shared" si="4"/>
        <v>#DIV/0!</v>
      </c>
      <c r="O52" s="157" t="e">
        <f t="shared" si="5"/>
        <v>#DIV/0!</v>
      </c>
      <c r="P52" s="13" t="s">
        <v>54</v>
      </c>
    </row>
    <row r="53" spans="1:16" ht="15.75" customHeight="1" x14ac:dyDescent="0.25">
      <c r="A53" s="222">
        <v>11</v>
      </c>
      <c r="B53" s="238" t="s">
        <v>582</v>
      </c>
      <c r="C53" s="238"/>
      <c r="D53" s="214"/>
      <c r="E53" s="214"/>
      <c r="F53" s="214"/>
      <c r="G53" s="214">
        <v>0</v>
      </c>
      <c r="H53" s="214">
        <v>0</v>
      </c>
      <c r="I53" s="214">
        <f t="shared" si="0"/>
        <v>0</v>
      </c>
      <c r="J53" s="214">
        <v>0</v>
      </c>
      <c r="K53" s="214">
        <f t="shared" si="1"/>
        <v>0</v>
      </c>
      <c r="L53" s="215" t="e">
        <f t="shared" si="2"/>
        <v>#DIV/0!</v>
      </c>
      <c r="M53" s="157" t="e">
        <f t="shared" si="3"/>
        <v>#DIV/0!</v>
      </c>
      <c r="N53" s="157" t="e">
        <f t="shared" si="4"/>
        <v>#DIV/0!</v>
      </c>
      <c r="O53" s="157" t="e">
        <f t="shared" si="5"/>
        <v>#DIV/0!</v>
      </c>
      <c r="P53" s="13" t="s">
        <v>54</v>
      </c>
    </row>
    <row r="54" spans="1:16" x14ac:dyDescent="0.25">
      <c r="A54" s="222"/>
      <c r="B54" s="216" t="s">
        <v>26</v>
      </c>
      <c r="C54" s="216" t="s">
        <v>583</v>
      </c>
      <c r="D54" s="214">
        <v>0</v>
      </c>
      <c r="E54" s="214">
        <v>0</v>
      </c>
      <c r="F54" s="214">
        <v>0</v>
      </c>
      <c r="G54" s="214">
        <v>0</v>
      </c>
      <c r="H54" s="214">
        <v>0</v>
      </c>
      <c r="I54" s="214">
        <f t="shared" si="0"/>
        <v>0</v>
      </c>
      <c r="J54" s="214">
        <v>0</v>
      </c>
      <c r="K54" s="214">
        <f t="shared" si="1"/>
        <v>0</v>
      </c>
      <c r="L54" s="215" t="e">
        <f t="shared" si="2"/>
        <v>#DIV/0!</v>
      </c>
      <c r="M54" s="157" t="e">
        <f t="shared" si="3"/>
        <v>#DIV/0!</v>
      </c>
      <c r="N54" s="157" t="e">
        <f t="shared" si="4"/>
        <v>#DIV/0!</v>
      </c>
      <c r="O54" s="157" t="e">
        <f t="shared" si="5"/>
        <v>#DIV/0!</v>
      </c>
      <c r="P54" s="13" t="s">
        <v>54</v>
      </c>
    </row>
    <row r="55" spans="1:16" x14ac:dyDescent="0.25">
      <c r="A55" s="222"/>
      <c r="B55" s="216" t="s">
        <v>27</v>
      </c>
      <c r="C55" s="216" t="s">
        <v>584</v>
      </c>
      <c r="D55" s="214">
        <v>0</v>
      </c>
      <c r="E55" s="214">
        <v>0</v>
      </c>
      <c r="F55" s="214">
        <v>0</v>
      </c>
      <c r="G55" s="214">
        <v>0</v>
      </c>
      <c r="H55" s="214">
        <v>0</v>
      </c>
      <c r="I55" s="214">
        <f t="shared" si="0"/>
        <v>0</v>
      </c>
      <c r="J55" s="214">
        <v>0</v>
      </c>
      <c r="K55" s="214">
        <f t="shared" si="1"/>
        <v>0</v>
      </c>
      <c r="L55" s="215" t="e">
        <f t="shared" si="2"/>
        <v>#DIV/0!</v>
      </c>
      <c r="M55" s="157" t="e">
        <f t="shared" si="3"/>
        <v>#DIV/0!</v>
      </c>
      <c r="N55" s="157" t="e">
        <f t="shared" si="4"/>
        <v>#DIV/0!</v>
      </c>
      <c r="O55" s="157" t="e">
        <f t="shared" si="5"/>
        <v>#DIV/0!</v>
      </c>
      <c r="P55" s="13" t="s">
        <v>54</v>
      </c>
    </row>
    <row r="56" spans="1:16" ht="15.75" customHeight="1" x14ac:dyDescent="0.25">
      <c r="A56" s="222">
        <v>12</v>
      </c>
      <c r="B56" s="238" t="s">
        <v>585</v>
      </c>
      <c r="C56" s="238"/>
      <c r="D56" s="214"/>
      <c r="E56" s="214"/>
      <c r="F56" s="214"/>
      <c r="G56" s="214">
        <v>0</v>
      </c>
      <c r="H56" s="214">
        <v>0</v>
      </c>
      <c r="I56" s="214">
        <f t="shared" si="0"/>
        <v>0</v>
      </c>
      <c r="J56" s="214">
        <v>0</v>
      </c>
      <c r="K56" s="214">
        <f t="shared" si="1"/>
        <v>0</v>
      </c>
      <c r="L56" s="215" t="e">
        <f t="shared" si="2"/>
        <v>#DIV/0!</v>
      </c>
      <c r="M56" s="157" t="e">
        <f t="shared" si="3"/>
        <v>#DIV/0!</v>
      </c>
      <c r="N56" s="157" t="e">
        <f t="shared" si="4"/>
        <v>#DIV/0!</v>
      </c>
      <c r="O56" s="157" t="e">
        <f t="shared" si="5"/>
        <v>#DIV/0!</v>
      </c>
      <c r="P56" s="13" t="s">
        <v>54</v>
      </c>
    </row>
    <row r="57" spans="1:16" x14ac:dyDescent="0.25">
      <c r="A57" s="222"/>
      <c r="B57" s="216" t="s">
        <v>26</v>
      </c>
      <c r="C57" s="216" t="s">
        <v>586</v>
      </c>
      <c r="D57" s="214">
        <v>0</v>
      </c>
      <c r="E57" s="214">
        <v>0</v>
      </c>
      <c r="F57" s="214">
        <v>0</v>
      </c>
      <c r="G57" s="214">
        <v>0</v>
      </c>
      <c r="H57" s="214">
        <v>0</v>
      </c>
      <c r="I57" s="214">
        <f t="shared" si="0"/>
        <v>0</v>
      </c>
      <c r="J57" s="214">
        <v>0</v>
      </c>
      <c r="K57" s="214">
        <f t="shared" si="1"/>
        <v>0</v>
      </c>
      <c r="L57" s="215" t="e">
        <f t="shared" si="2"/>
        <v>#DIV/0!</v>
      </c>
      <c r="M57" s="157" t="e">
        <f t="shared" si="3"/>
        <v>#DIV/0!</v>
      </c>
      <c r="N57" s="157" t="e">
        <f t="shared" si="4"/>
        <v>#DIV/0!</v>
      </c>
      <c r="O57" s="157" t="e">
        <f t="shared" si="5"/>
        <v>#DIV/0!</v>
      </c>
      <c r="P57" s="13" t="s">
        <v>54</v>
      </c>
    </row>
    <row r="58" spans="1:16" ht="15.75" customHeight="1" x14ac:dyDescent="0.25">
      <c r="A58" s="222">
        <v>13</v>
      </c>
      <c r="B58" s="238" t="s">
        <v>587</v>
      </c>
      <c r="C58" s="238"/>
      <c r="D58" s="214"/>
      <c r="E58" s="214"/>
      <c r="F58" s="214"/>
      <c r="G58" s="214">
        <v>0</v>
      </c>
      <c r="H58" s="214">
        <v>0</v>
      </c>
      <c r="I58" s="214">
        <f t="shared" si="0"/>
        <v>0</v>
      </c>
      <c r="J58" s="214">
        <v>0</v>
      </c>
      <c r="K58" s="214">
        <f t="shared" si="1"/>
        <v>0</v>
      </c>
      <c r="L58" s="215" t="e">
        <f t="shared" si="2"/>
        <v>#DIV/0!</v>
      </c>
      <c r="M58" s="157" t="e">
        <f t="shared" si="3"/>
        <v>#DIV/0!</v>
      </c>
      <c r="N58" s="157" t="e">
        <f t="shared" si="4"/>
        <v>#DIV/0!</v>
      </c>
      <c r="O58" s="157" t="e">
        <f t="shared" si="5"/>
        <v>#DIV/0!</v>
      </c>
      <c r="P58" s="13" t="s">
        <v>54</v>
      </c>
    </row>
    <row r="59" spans="1:16" x14ac:dyDescent="0.25">
      <c r="A59" s="222"/>
      <c r="B59" s="216" t="s">
        <v>26</v>
      </c>
      <c r="C59" s="216" t="s">
        <v>588</v>
      </c>
      <c r="D59" s="214">
        <v>0</v>
      </c>
      <c r="E59" s="214">
        <v>0</v>
      </c>
      <c r="F59" s="214">
        <v>0</v>
      </c>
      <c r="G59" s="214">
        <v>0</v>
      </c>
      <c r="H59" s="214">
        <v>0</v>
      </c>
      <c r="I59" s="214">
        <f t="shared" si="0"/>
        <v>0</v>
      </c>
      <c r="J59" s="214">
        <v>0</v>
      </c>
      <c r="K59" s="214">
        <f t="shared" si="1"/>
        <v>0</v>
      </c>
      <c r="L59" s="215" t="e">
        <f t="shared" si="2"/>
        <v>#DIV/0!</v>
      </c>
      <c r="M59" s="157" t="e">
        <f t="shared" si="3"/>
        <v>#DIV/0!</v>
      </c>
      <c r="N59" s="157" t="e">
        <f t="shared" si="4"/>
        <v>#DIV/0!</v>
      </c>
      <c r="O59" s="157" t="e">
        <f t="shared" si="5"/>
        <v>#DIV/0!</v>
      </c>
      <c r="P59" s="13" t="s">
        <v>54</v>
      </c>
    </row>
    <row r="60" spans="1:16" x14ac:dyDescent="0.25">
      <c r="A60" s="222"/>
      <c r="B60" s="216" t="s">
        <v>27</v>
      </c>
      <c r="C60" s="216" t="s">
        <v>589</v>
      </c>
      <c r="D60" s="214">
        <v>0</v>
      </c>
      <c r="E60" s="214">
        <v>0</v>
      </c>
      <c r="F60" s="214">
        <v>0</v>
      </c>
      <c r="G60" s="214">
        <v>0</v>
      </c>
      <c r="H60" s="214">
        <v>0</v>
      </c>
      <c r="I60" s="214">
        <f t="shared" si="0"/>
        <v>0</v>
      </c>
      <c r="J60" s="214">
        <v>0</v>
      </c>
      <c r="K60" s="214">
        <f t="shared" si="1"/>
        <v>0</v>
      </c>
      <c r="L60" s="215" t="e">
        <f t="shared" si="2"/>
        <v>#DIV/0!</v>
      </c>
      <c r="M60" s="157" t="e">
        <f t="shared" si="3"/>
        <v>#DIV/0!</v>
      </c>
      <c r="N60" s="157" t="e">
        <f t="shared" si="4"/>
        <v>#DIV/0!</v>
      </c>
      <c r="O60" s="157" t="e">
        <f t="shared" si="5"/>
        <v>#DIV/0!</v>
      </c>
      <c r="P60" s="13" t="s">
        <v>54</v>
      </c>
    </row>
    <row r="61" spans="1:16" ht="15.75" customHeight="1" x14ac:dyDescent="0.25">
      <c r="A61" s="222">
        <v>14</v>
      </c>
      <c r="B61" s="238" t="s">
        <v>590</v>
      </c>
      <c r="C61" s="238"/>
      <c r="D61" s="214"/>
      <c r="E61" s="214"/>
      <c r="F61" s="214"/>
      <c r="G61" s="214">
        <v>0</v>
      </c>
      <c r="H61" s="214">
        <v>0</v>
      </c>
      <c r="I61" s="214">
        <f t="shared" si="0"/>
        <v>0</v>
      </c>
      <c r="J61" s="214">
        <v>0</v>
      </c>
      <c r="K61" s="214">
        <f t="shared" si="1"/>
        <v>0</v>
      </c>
      <c r="L61" s="215" t="e">
        <f t="shared" si="2"/>
        <v>#DIV/0!</v>
      </c>
      <c r="M61" s="157" t="e">
        <f t="shared" si="3"/>
        <v>#DIV/0!</v>
      </c>
      <c r="N61" s="157" t="e">
        <f t="shared" si="4"/>
        <v>#DIV/0!</v>
      </c>
      <c r="O61" s="157" t="e">
        <f t="shared" si="5"/>
        <v>#DIV/0!</v>
      </c>
      <c r="P61" s="13" t="s">
        <v>54</v>
      </c>
    </row>
    <row r="62" spans="1:16" x14ac:dyDescent="0.25">
      <c r="A62" s="222"/>
      <c r="B62" s="216" t="s">
        <v>26</v>
      </c>
      <c r="C62" s="216" t="s">
        <v>591</v>
      </c>
      <c r="D62" s="214">
        <v>0</v>
      </c>
      <c r="E62" s="214">
        <v>0</v>
      </c>
      <c r="F62" s="214">
        <v>0</v>
      </c>
      <c r="G62" s="214">
        <v>0</v>
      </c>
      <c r="H62" s="214">
        <v>0</v>
      </c>
      <c r="I62" s="214">
        <f t="shared" si="0"/>
        <v>0</v>
      </c>
      <c r="J62" s="214">
        <v>0</v>
      </c>
      <c r="K62" s="214">
        <f t="shared" si="1"/>
        <v>0</v>
      </c>
      <c r="L62" s="215" t="e">
        <f t="shared" si="2"/>
        <v>#DIV/0!</v>
      </c>
      <c r="M62" s="157" t="e">
        <f t="shared" si="3"/>
        <v>#DIV/0!</v>
      </c>
      <c r="N62" s="157" t="e">
        <f t="shared" si="4"/>
        <v>#DIV/0!</v>
      </c>
      <c r="O62" s="157" t="e">
        <f t="shared" si="5"/>
        <v>#DIV/0!</v>
      </c>
      <c r="P62" s="13" t="s">
        <v>54</v>
      </c>
    </row>
    <row r="63" spans="1:16" x14ac:dyDescent="0.25">
      <c r="A63" s="222"/>
      <c r="B63" s="216" t="s">
        <v>27</v>
      </c>
      <c r="C63" s="216" t="s">
        <v>592</v>
      </c>
      <c r="D63" s="214">
        <v>0</v>
      </c>
      <c r="E63" s="214">
        <v>0</v>
      </c>
      <c r="F63" s="214">
        <v>0</v>
      </c>
      <c r="G63" s="214">
        <v>0</v>
      </c>
      <c r="H63" s="214">
        <v>0</v>
      </c>
      <c r="I63" s="214">
        <f t="shared" si="0"/>
        <v>0</v>
      </c>
      <c r="J63" s="214">
        <v>0</v>
      </c>
      <c r="K63" s="214">
        <f t="shared" si="1"/>
        <v>0</v>
      </c>
      <c r="L63" s="215" t="e">
        <f t="shared" si="2"/>
        <v>#DIV/0!</v>
      </c>
      <c r="M63" s="157" t="e">
        <f t="shared" si="3"/>
        <v>#DIV/0!</v>
      </c>
      <c r="N63" s="157" t="e">
        <f t="shared" si="4"/>
        <v>#DIV/0!</v>
      </c>
      <c r="O63" s="157" t="e">
        <f t="shared" si="5"/>
        <v>#DIV/0!</v>
      </c>
      <c r="P63" s="13" t="s">
        <v>54</v>
      </c>
    </row>
    <row r="64" spans="1:16" ht="15.75" customHeight="1" x14ac:dyDescent="0.25">
      <c r="A64" s="222">
        <v>15</v>
      </c>
      <c r="B64" s="238" t="s">
        <v>593</v>
      </c>
      <c r="C64" s="238"/>
      <c r="D64" s="214"/>
      <c r="E64" s="214"/>
      <c r="F64" s="214"/>
      <c r="G64" s="214">
        <v>0</v>
      </c>
      <c r="H64" s="214">
        <v>0</v>
      </c>
      <c r="I64" s="214">
        <f t="shared" si="0"/>
        <v>0</v>
      </c>
      <c r="J64" s="214">
        <v>0</v>
      </c>
      <c r="K64" s="214">
        <f t="shared" si="1"/>
        <v>0</v>
      </c>
      <c r="L64" s="215" t="e">
        <f t="shared" si="2"/>
        <v>#DIV/0!</v>
      </c>
      <c r="M64" s="157" t="e">
        <f t="shared" si="3"/>
        <v>#DIV/0!</v>
      </c>
      <c r="N64" s="157" t="e">
        <f t="shared" si="4"/>
        <v>#DIV/0!</v>
      </c>
      <c r="O64" s="157" t="e">
        <f t="shared" si="5"/>
        <v>#DIV/0!</v>
      </c>
      <c r="P64" s="13" t="s">
        <v>54</v>
      </c>
    </row>
    <row r="65" spans="1:18" x14ac:dyDescent="0.25">
      <c r="A65" s="222"/>
      <c r="B65" s="216" t="s">
        <v>26</v>
      </c>
      <c r="C65" s="216" t="s">
        <v>594</v>
      </c>
      <c r="D65" s="214">
        <v>0</v>
      </c>
      <c r="E65" s="214">
        <v>0</v>
      </c>
      <c r="F65" s="214">
        <v>0</v>
      </c>
      <c r="G65" s="214">
        <v>0</v>
      </c>
      <c r="H65" s="214">
        <v>0</v>
      </c>
      <c r="I65" s="214">
        <f t="shared" si="0"/>
        <v>0</v>
      </c>
      <c r="J65" s="214">
        <v>0</v>
      </c>
      <c r="K65" s="214">
        <f t="shared" si="1"/>
        <v>0</v>
      </c>
      <c r="L65" s="215" t="e">
        <f t="shared" si="2"/>
        <v>#DIV/0!</v>
      </c>
      <c r="M65" s="157" t="e">
        <f t="shared" si="3"/>
        <v>#DIV/0!</v>
      </c>
      <c r="N65" s="157" t="e">
        <f t="shared" si="4"/>
        <v>#DIV/0!</v>
      </c>
      <c r="O65" s="157" t="e">
        <f t="shared" si="5"/>
        <v>#DIV/0!</v>
      </c>
      <c r="P65" s="13" t="s">
        <v>54</v>
      </c>
    </row>
    <row r="66" spans="1:18" x14ac:dyDescent="0.25">
      <c r="A66" s="222"/>
      <c r="B66" s="216" t="s">
        <v>27</v>
      </c>
      <c r="C66" s="216" t="s">
        <v>595</v>
      </c>
      <c r="D66" s="214">
        <v>0</v>
      </c>
      <c r="E66" s="214">
        <v>0</v>
      </c>
      <c r="F66" s="214">
        <v>0</v>
      </c>
      <c r="G66" s="214">
        <v>0</v>
      </c>
      <c r="H66" s="214">
        <v>0</v>
      </c>
      <c r="I66" s="214">
        <f t="shared" si="0"/>
        <v>0</v>
      </c>
      <c r="J66" s="214">
        <v>0</v>
      </c>
      <c r="K66" s="214">
        <f t="shared" si="1"/>
        <v>0</v>
      </c>
      <c r="L66" s="215" t="e">
        <f t="shared" si="2"/>
        <v>#DIV/0!</v>
      </c>
      <c r="M66" s="157" t="e">
        <f t="shared" si="3"/>
        <v>#DIV/0!</v>
      </c>
      <c r="N66" s="157" t="e">
        <f t="shared" si="4"/>
        <v>#DIV/0!</v>
      </c>
      <c r="O66" s="157" t="e">
        <f t="shared" si="5"/>
        <v>#DIV/0!</v>
      </c>
      <c r="P66" s="13" t="s">
        <v>54</v>
      </c>
    </row>
    <row r="67" spans="1:18" s="220" customFormat="1" ht="15" customHeight="1" x14ac:dyDescent="0.25">
      <c r="A67" s="206" t="s">
        <v>50</v>
      </c>
      <c r="B67" s="207"/>
      <c r="C67" s="219"/>
      <c r="D67" s="214"/>
      <c r="E67" s="214"/>
      <c r="F67" s="214"/>
      <c r="G67" s="214">
        <v>0</v>
      </c>
      <c r="H67" s="214">
        <v>0</v>
      </c>
      <c r="I67" s="214">
        <f t="shared" si="0"/>
        <v>0</v>
      </c>
      <c r="J67" s="214">
        <v>0</v>
      </c>
      <c r="K67" s="214">
        <f t="shared" si="1"/>
        <v>0</v>
      </c>
      <c r="L67" s="215" t="e">
        <f t="shared" si="2"/>
        <v>#DIV/0!</v>
      </c>
      <c r="M67" s="157" t="e">
        <f t="shared" si="3"/>
        <v>#DIV/0!</v>
      </c>
      <c r="N67" s="157" t="e">
        <f t="shared" si="4"/>
        <v>#DIV/0!</v>
      </c>
      <c r="O67" s="157" t="e">
        <f t="shared" si="5"/>
        <v>#DIV/0!</v>
      </c>
      <c r="P67" s="13" t="s">
        <v>54</v>
      </c>
    </row>
    <row r="68" spans="1:18" s="154" customFormat="1" ht="42.75" customHeight="1" x14ac:dyDescent="0.25">
      <c r="A68" s="81">
        <v>16</v>
      </c>
      <c r="B68" s="274" t="s">
        <v>596</v>
      </c>
      <c r="C68" s="274"/>
      <c r="D68" s="214">
        <v>32</v>
      </c>
      <c r="E68" s="214">
        <v>37</v>
      </c>
      <c r="F68" s="214">
        <v>0</v>
      </c>
      <c r="G68" s="214">
        <v>0</v>
      </c>
      <c r="H68" s="214">
        <v>0</v>
      </c>
      <c r="I68" s="214">
        <v>0</v>
      </c>
      <c r="J68" s="214">
        <v>0</v>
      </c>
      <c r="K68" s="214">
        <f t="shared" si="1"/>
        <v>37</v>
      </c>
      <c r="L68" s="215">
        <f t="shared" si="2"/>
        <v>0</v>
      </c>
      <c r="M68" s="157">
        <f t="shared" si="3"/>
        <v>0</v>
      </c>
      <c r="N68" s="157">
        <f t="shared" si="4"/>
        <v>1</v>
      </c>
      <c r="O68" s="157">
        <f t="shared" si="5"/>
        <v>1</v>
      </c>
      <c r="P68" s="105"/>
      <c r="R68" s="154" t="s">
        <v>19</v>
      </c>
    </row>
    <row r="69" spans="1:18" s="154" customFormat="1" ht="48.75" customHeight="1" x14ac:dyDescent="0.25">
      <c r="A69" s="81">
        <v>17</v>
      </c>
      <c r="B69" s="274" t="s">
        <v>597</v>
      </c>
      <c r="C69" s="274"/>
      <c r="D69" s="214">
        <v>388</v>
      </c>
      <c r="E69" s="214">
        <v>166</v>
      </c>
      <c r="F69" s="214">
        <v>5</v>
      </c>
      <c r="G69" s="214">
        <v>0</v>
      </c>
      <c r="H69" s="214">
        <v>0</v>
      </c>
      <c r="I69" s="214">
        <f t="shared" si="0"/>
        <v>5</v>
      </c>
      <c r="J69" s="214">
        <v>0</v>
      </c>
      <c r="K69" s="214">
        <f t="shared" si="1"/>
        <v>161</v>
      </c>
      <c r="L69" s="215">
        <f t="shared" si="2"/>
        <v>3.0120481927710843E-2</v>
      </c>
      <c r="M69" s="157">
        <f t="shared" si="3"/>
        <v>0</v>
      </c>
      <c r="N69" s="157">
        <f t="shared" si="4"/>
        <v>0.96987951807228912</v>
      </c>
      <c r="O69" s="157">
        <f t="shared" si="5"/>
        <v>0.96987951807228912</v>
      </c>
      <c r="P69" s="13" t="s">
        <v>713</v>
      </c>
    </row>
    <row r="70" spans="1:18" s="221" customFormat="1" ht="132" customHeight="1" x14ac:dyDescent="0.25">
      <c r="A70" s="81">
        <v>18</v>
      </c>
      <c r="B70" s="274" t="s">
        <v>598</v>
      </c>
      <c r="C70" s="274"/>
      <c r="D70" s="214">
        <v>215</v>
      </c>
      <c r="E70" s="214">
        <v>240</v>
      </c>
      <c r="F70" s="214">
        <v>4</v>
      </c>
      <c r="G70" s="214">
        <v>0</v>
      </c>
      <c r="H70" s="214">
        <v>0</v>
      </c>
      <c r="I70" s="214">
        <v>4</v>
      </c>
      <c r="J70" s="214">
        <v>0</v>
      </c>
      <c r="K70" s="214">
        <f t="shared" si="1"/>
        <v>236</v>
      </c>
      <c r="L70" s="215">
        <f t="shared" si="2"/>
        <v>1.6666666666666666E-2</v>
      </c>
      <c r="M70" s="157">
        <f t="shared" si="3"/>
        <v>0</v>
      </c>
      <c r="N70" s="157">
        <f t="shared" si="4"/>
        <v>0.98333333333333328</v>
      </c>
      <c r="O70" s="157">
        <f t="shared" si="5"/>
        <v>0.98333333333333328</v>
      </c>
      <c r="P70" s="105" t="s">
        <v>704</v>
      </c>
    </row>
    <row r="71" spans="1:18" ht="63.75" customHeight="1" x14ac:dyDescent="0.25">
      <c r="A71" s="81">
        <v>19</v>
      </c>
      <c r="B71" s="274" t="s">
        <v>599</v>
      </c>
      <c r="C71" s="274"/>
      <c r="D71" s="214">
        <v>24</v>
      </c>
      <c r="E71" s="214">
        <v>204</v>
      </c>
      <c r="F71" s="214">
        <v>1</v>
      </c>
      <c r="G71" s="214">
        <v>0</v>
      </c>
      <c r="H71" s="214">
        <v>0</v>
      </c>
      <c r="I71" s="214">
        <v>1</v>
      </c>
      <c r="J71" s="214">
        <v>0</v>
      </c>
      <c r="K71" s="214">
        <f t="shared" ref="K71:K134" si="6">E71-I71</f>
        <v>203</v>
      </c>
      <c r="L71" s="215">
        <f t="shared" ref="L71:L134" si="7">(I71/E71)</f>
        <v>4.9019607843137254E-3</v>
      </c>
      <c r="M71" s="157">
        <f t="shared" ref="M71:M134" si="8">J71/E71</f>
        <v>0</v>
      </c>
      <c r="N71" s="157">
        <f t="shared" ref="N71:N134" si="9">K71/E71</f>
        <v>0.99509803921568629</v>
      </c>
      <c r="O71" s="157">
        <f t="shared" ref="O71:O134" si="10">M71+N71</f>
        <v>0.99509803921568629</v>
      </c>
      <c r="P71" s="13" t="s">
        <v>705</v>
      </c>
    </row>
    <row r="72" spans="1:18" ht="203.25" customHeight="1" x14ac:dyDescent="0.25">
      <c r="A72" s="81">
        <v>20</v>
      </c>
      <c r="B72" s="274" t="s">
        <v>600</v>
      </c>
      <c r="C72" s="274"/>
      <c r="D72" s="214">
        <v>130</v>
      </c>
      <c r="E72" s="214">
        <v>142</v>
      </c>
      <c r="F72" s="214">
        <v>3</v>
      </c>
      <c r="G72" s="214">
        <v>0</v>
      </c>
      <c r="H72" s="214">
        <v>0</v>
      </c>
      <c r="I72" s="214">
        <v>3</v>
      </c>
      <c r="J72" s="214">
        <v>0</v>
      </c>
      <c r="K72" s="214">
        <f t="shared" si="6"/>
        <v>139</v>
      </c>
      <c r="L72" s="215">
        <f t="shared" si="7"/>
        <v>2.1126760563380281E-2</v>
      </c>
      <c r="M72" s="157">
        <f t="shared" si="8"/>
        <v>0</v>
      </c>
      <c r="N72" s="157">
        <f t="shared" si="9"/>
        <v>0.97887323943661975</v>
      </c>
      <c r="O72" s="157">
        <f t="shared" si="10"/>
        <v>0.97887323943661975</v>
      </c>
      <c r="P72" s="13" t="s">
        <v>695</v>
      </c>
    </row>
    <row r="73" spans="1:18" s="154" customFormat="1" ht="74.25" customHeight="1" x14ac:dyDescent="0.25">
      <c r="A73" s="81">
        <v>21</v>
      </c>
      <c r="B73" s="274" t="s">
        <v>601</v>
      </c>
      <c r="C73" s="274"/>
      <c r="D73" s="214">
        <v>106</v>
      </c>
      <c r="E73" s="214">
        <v>116</v>
      </c>
      <c r="F73" s="214">
        <v>5</v>
      </c>
      <c r="G73" s="214">
        <v>0</v>
      </c>
      <c r="H73" s="214">
        <v>0</v>
      </c>
      <c r="I73" s="214">
        <v>5</v>
      </c>
      <c r="J73" s="214">
        <v>0</v>
      </c>
      <c r="K73" s="214">
        <f t="shared" si="6"/>
        <v>111</v>
      </c>
      <c r="L73" s="215">
        <f t="shared" si="7"/>
        <v>4.3103448275862072E-2</v>
      </c>
      <c r="M73" s="157">
        <f t="shared" si="8"/>
        <v>0</v>
      </c>
      <c r="N73" s="157">
        <f t="shared" si="9"/>
        <v>0.9568965517241379</v>
      </c>
      <c r="O73" s="157">
        <f t="shared" si="10"/>
        <v>0.9568965517241379</v>
      </c>
      <c r="P73" s="13" t="s">
        <v>696</v>
      </c>
    </row>
    <row r="74" spans="1:18" s="154" customFormat="1" ht="28.5" customHeight="1" x14ac:dyDescent="0.25">
      <c r="A74" s="81">
        <v>22</v>
      </c>
      <c r="B74" s="274" t="s">
        <v>602</v>
      </c>
      <c r="C74" s="274"/>
      <c r="D74" s="214">
        <v>8</v>
      </c>
      <c r="E74" s="214">
        <v>9</v>
      </c>
      <c r="F74" s="214">
        <v>3</v>
      </c>
      <c r="G74" s="214">
        <v>0</v>
      </c>
      <c r="H74" s="214">
        <v>0</v>
      </c>
      <c r="I74" s="214">
        <v>3</v>
      </c>
      <c r="J74" s="214">
        <v>0</v>
      </c>
      <c r="K74" s="214">
        <f t="shared" si="6"/>
        <v>6</v>
      </c>
      <c r="L74" s="215">
        <f t="shared" si="7"/>
        <v>0.33333333333333331</v>
      </c>
      <c r="M74" s="157">
        <f t="shared" si="8"/>
        <v>0</v>
      </c>
      <c r="N74" s="157">
        <f t="shared" si="9"/>
        <v>0.66666666666666663</v>
      </c>
      <c r="O74" s="157">
        <f t="shared" si="10"/>
        <v>0.66666666666666663</v>
      </c>
      <c r="P74" s="13" t="s">
        <v>706</v>
      </c>
    </row>
    <row r="75" spans="1:18" ht="20.25" customHeight="1" x14ac:dyDescent="0.25">
      <c r="A75" s="15">
        <v>23</v>
      </c>
      <c r="B75" s="274" t="s">
        <v>603</v>
      </c>
      <c r="C75" s="274"/>
      <c r="D75" s="214">
        <v>5</v>
      </c>
      <c r="E75" s="214">
        <v>9</v>
      </c>
      <c r="F75" s="214">
        <v>0</v>
      </c>
      <c r="G75" s="214">
        <v>0</v>
      </c>
      <c r="H75" s="214">
        <v>0</v>
      </c>
      <c r="I75" s="214">
        <f t="shared" ref="I75:I134" si="11">F75+G75+H75+H75</f>
        <v>0</v>
      </c>
      <c r="J75" s="214">
        <v>0</v>
      </c>
      <c r="K75" s="214">
        <f t="shared" si="6"/>
        <v>9</v>
      </c>
      <c r="L75" s="215">
        <f t="shared" si="7"/>
        <v>0</v>
      </c>
      <c r="M75" s="157">
        <f t="shared" si="8"/>
        <v>0</v>
      </c>
      <c r="N75" s="157">
        <f t="shared" si="9"/>
        <v>1</v>
      </c>
      <c r="O75" s="157">
        <f t="shared" si="10"/>
        <v>1</v>
      </c>
      <c r="P75" s="13" t="s">
        <v>54</v>
      </c>
    </row>
    <row r="76" spans="1:18" s="154" customFormat="1" x14ac:dyDescent="0.25">
      <c r="A76" s="81">
        <v>24</v>
      </c>
      <c r="B76" s="274" t="s">
        <v>604</v>
      </c>
      <c r="C76" s="274"/>
      <c r="D76" s="214">
        <v>14</v>
      </c>
      <c r="E76" s="214">
        <v>14</v>
      </c>
      <c r="F76" s="214">
        <v>0</v>
      </c>
      <c r="G76" s="214">
        <v>0</v>
      </c>
      <c r="H76" s="214">
        <v>0</v>
      </c>
      <c r="I76" s="214">
        <f t="shared" si="11"/>
        <v>0</v>
      </c>
      <c r="J76" s="214">
        <v>0</v>
      </c>
      <c r="K76" s="214">
        <f t="shared" si="6"/>
        <v>14</v>
      </c>
      <c r="L76" s="215">
        <f t="shared" si="7"/>
        <v>0</v>
      </c>
      <c r="M76" s="157">
        <f t="shared" si="8"/>
        <v>0</v>
      </c>
      <c r="N76" s="157">
        <f t="shared" si="9"/>
        <v>1</v>
      </c>
      <c r="O76" s="157">
        <f t="shared" si="10"/>
        <v>1</v>
      </c>
      <c r="P76" s="13" t="s">
        <v>54</v>
      </c>
    </row>
    <row r="77" spans="1:18" s="154" customFormat="1" ht="33.75" customHeight="1" x14ac:dyDescent="0.25">
      <c r="A77" s="81">
        <v>25</v>
      </c>
      <c r="B77" s="274" t="s">
        <v>605</v>
      </c>
      <c r="C77" s="274"/>
      <c r="D77" s="214">
        <v>0</v>
      </c>
      <c r="E77" s="214">
        <v>0</v>
      </c>
      <c r="F77" s="214">
        <v>0</v>
      </c>
      <c r="G77" s="214">
        <v>0</v>
      </c>
      <c r="H77" s="214">
        <v>0</v>
      </c>
      <c r="I77" s="214">
        <f t="shared" si="11"/>
        <v>0</v>
      </c>
      <c r="J77" s="214">
        <v>0</v>
      </c>
      <c r="K77" s="214">
        <f t="shared" si="6"/>
        <v>0</v>
      </c>
      <c r="L77" s="215" t="e">
        <f t="shared" si="7"/>
        <v>#DIV/0!</v>
      </c>
      <c r="M77" s="157" t="e">
        <f t="shared" si="8"/>
        <v>#DIV/0!</v>
      </c>
      <c r="N77" s="157" t="e">
        <f t="shared" si="9"/>
        <v>#DIV/0!</v>
      </c>
      <c r="O77" s="157" t="e">
        <f t="shared" si="10"/>
        <v>#DIV/0!</v>
      </c>
      <c r="P77" s="13" t="s">
        <v>54</v>
      </c>
    </row>
    <row r="78" spans="1:18" ht="15.75" customHeight="1" x14ac:dyDescent="0.25">
      <c r="A78" s="15">
        <v>26</v>
      </c>
      <c r="B78" s="274" t="s">
        <v>606</v>
      </c>
      <c r="C78" s="274"/>
      <c r="D78" s="214">
        <v>0</v>
      </c>
      <c r="E78" s="214">
        <v>0</v>
      </c>
      <c r="F78" s="214">
        <v>0</v>
      </c>
      <c r="G78" s="214">
        <v>0</v>
      </c>
      <c r="H78" s="214">
        <v>0</v>
      </c>
      <c r="I78" s="214">
        <f t="shared" si="11"/>
        <v>0</v>
      </c>
      <c r="J78" s="214">
        <v>0</v>
      </c>
      <c r="K78" s="214">
        <f t="shared" si="6"/>
        <v>0</v>
      </c>
      <c r="L78" s="215" t="e">
        <f t="shared" si="7"/>
        <v>#DIV/0!</v>
      </c>
      <c r="M78" s="157" t="e">
        <f t="shared" si="8"/>
        <v>#DIV/0!</v>
      </c>
      <c r="N78" s="157" t="e">
        <f t="shared" si="9"/>
        <v>#DIV/0!</v>
      </c>
      <c r="O78" s="157" t="e">
        <f t="shared" si="10"/>
        <v>#DIV/0!</v>
      </c>
      <c r="P78" s="13" t="s">
        <v>54</v>
      </c>
    </row>
    <row r="79" spans="1:18" s="154" customFormat="1" x14ac:dyDescent="0.25">
      <c r="A79" s="81">
        <v>27</v>
      </c>
      <c r="B79" s="274" t="s">
        <v>607</v>
      </c>
      <c r="C79" s="274"/>
      <c r="D79" s="214">
        <v>161</v>
      </c>
      <c r="E79" s="214">
        <v>139</v>
      </c>
      <c r="F79" s="214">
        <v>0</v>
      </c>
      <c r="G79" s="214">
        <v>0</v>
      </c>
      <c r="H79" s="214">
        <v>0</v>
      </c>
      <c r="I79" s="214">
        <f t="shared" si="11"/>
        <v>0</v>
      </c>
      <c r="J79" s="214">
        <v>0</v>
      </c>
      <c r="K79" s="214">
        <f t="shared" si="6"/>
        <v>139</v>
      </c>
      <c r="L79" s="215">
        <f t="shared" si="7"/>
        <v>0</v>
      </c>
      <c r="M79" s="157">
        <f t="shared" si="8"/>
        <v>0</v>
      </c>
      <c r="N79" s="157">
        <f t="shared" si="9"/>
        <v>1</v>
      </c>
      <c r="O79" s="157">
        <f t="shared" si="10"/>
        <v>1</v>
      </c>
      <c r="P79" s="13" t="s">
        <v>54</v>
      </c>
    </row>
    <row r="80" spans="1:18" s="220" customFormat="1" ht="14.25" customHeight="1" x14ac:dyDescent="0.25">
      <c r="A80" s="206" t="s">
        <v>51</v>
      </c>
      <c r="B80" s="207"/>
      <c r="C80" s="207"/>
      <c r="D80" s="214"/>
      <c r="E80" s="214"/>
      <c r="F80" s="214"/>
      <c r="G80" s="214">
        <v>0</v>
      </c>
      <c r="H80" s="214">
        <v>0</v>
      </c>
      <c r="I80" s="214">
        <f t="shared" si="11"/>
        <v>0</v>
      </c>
      <c r="J80" s="214">
        <v>0</v>
      </c>
      <c r="K80" s="214">
        <f t="shared" si="6"/>
        <v>0</v>
      </c>
      <c r="L80" s="215" t="e">
        <f t="shared" si="7"/>
        <v>#DIV/0!</v>
      </c>
      <c r="M80" s="157" t="e">
        <f t="shared" si="8"/>
        <v>#DIV/0!</v>
      </c>
      <c r="N80" s="157" t="e">
        <f t="shared" si="9"/>
        <v>#DIV/0!</v>
      </c>
      <c r="O80" s="157" t="e">
        <f t="shared" si="10"/>
        <v>#DIV/0!</v>
      </c>
      <c r="P80" s="13" t="s">
        <v>54</v>
      </c>
    </row>
    <row r="81" spans="1:16" ht="93" customHeight="1" x14ac:dyDescent="0.25">
      <c r="A81" s="81">
        <v>28</v>
      </c>
      <c r="B81" s="274" t="s">
        <v>608</v>
      </c>
      <c r="C81" s="274"/>
      <c r="D81" s="214">
        <v>304</v>
      </c>
      <c r="E81" s="214">
        <v>339</v>
      </c>
      <c r="F81" s="214">
        <v>2</v>
      </c>
      <c r="G81" s="214">
        <v>0</v>
      </c>
      <c r="H81" s="214">
        <v>0</v>
      </c>
      <c r="I81" s="214">
        <v>2</v>
      </c>
      <c r="J81" s="214">
        <v>0</v>
      </c>
      <c r="K81" s="214">
        <f t="shared" si="6"/>
        <v>337</v>
      </c>
      <c r="L81" s="215">
        <f t="shared" si="7"/>
        <v>5.8997050147492625E-3</v>
      </c>
      <c r="M81" s="157">
        <f t="shared" si="8"/>
        <v>0</v>
      </c>
      <c r="N81" s="157">
        <f t="shared" si="9"/>
        <v>0.99410029498525077</v>
      </c>
      <c r="O81" s="157">
        <f t="shared" si="10"/>
        <v>0.99410029498525077</v>
      </c>
      <c r="P81" s="13" t="s">
        <v>707</v>
      </c>
    </row>
    <row r="82" spans="1:16" ht="36" customHeight="1" x14ac:dyDescent="0.25">
      <c r="A82" s="15">
        <v>29</v>
      </c>
      <c r="B82" s="274" t="s">
        <v>609</v>
      </c>
      <c r="C82" s="274"/>
      <c r="D82" s="214">
        <v>16</v>
      </c>
      <c r="E82" s="214">
        <v>11</v>
      </c>
      <c r="F82" s="214">
        <v>0</v>
      </c>
      <c r="G82" s="214">
        <v>0</v>
      </c>
      <c r="H82" s="214">
        <v>0</v>
      </c>
      <c r="I82" s="214">
        <v>0</v>
      </c>
      <c r="J82" s="214">
        <v>0</v>
      </c>
      <c r="K82" s="214">
        <f t="shared" si="6"/>
        <v>11</v>
      </c>
      <c r="L82" s="215">
        <f t="shared" si="7"/>
        <v>0</v>
      </c>
      <c r="M82" s="157">
        <f t="shared" si="8"/>
        <v>0</v>
      </c>
      <c r="N82" s="157">
        <f t="shared" si="9"/>
        <v>1</v>
      </c>
      <c r="O82" s="157">
        <f t="shared" si="10"/>
        <v>1</v>
      </c>
      <c r="P82" s="13"/>
    </row>
    <row r="83" spans="1:16" ht="15.75" customHeight="1" x14ac:dyDescent="0.25">
      <c r="A83" s="15">
        <v>30</v>
      </c>
      <c r="B83" s="274" t="s">
        <v>610</v>
      </c>
      <c r="C83" s="274"/>
      <c r="D83" s="214">
        <v>27</v>
      </c>
      <c r="E83" s="214">
        <v>28</v>
      </c>
      <c r="F83" s="214">
        <v>0</v>
      </c>
      <c r="G83" s="214">
        <v>0</v>
      </c>
      <c r="H83" s="214">
        <v>0</v>
      </c>
      <c r="I83" s="214">
        <f t="shared" si="11"/>
        <v>0</v>
      </c>
      <c r="J83" s="214">
        <v>0</v>
      </c>
      <c r="K83" s="214">
        <f t="shared" si="6"/>
        <v>28</v>
      </c>
      <c r="L83" s="215">
        <f t="shared" si="7"/>
        <v>0</v>
      </c>
      <c r="M83" s="157">
        <f t="shared" si="8"/>
        <v>0</v>
      </c>
      <c r="N83" s="157">
        <f t="shared" si="9"/>
        <v>1</v>
      </c>
      <c r="O83" s="157">
        <f t="shared" si="10"/>
        <v>1</v>
      </c>
      <c r="P83" s="13"/>
    </row>
    <row r="84" spans="1:16" s="224" customFormat="1" ht="152.25" customHeight="1" x14ac:dyDescent="0.25">
      <c r="A84" s="81">
        <v>31</v>
      </c>
      <c r="B84" s="274" t="s">
        <v>611</v>
      </c>
      <c r="C84" s="274"/>
      <c r="D84" s="214">
        <v>52</v>
      </c>
      <c r="E84" s="214">
        <v>50</v>
      </c>
      <c r="F84" s="214">
        <v>1</v>
      </c>
      <c r="G84" s="214">
        <v>2</v>
      </c>
      <c r="H84" s="214">
        <v>0</v>
      </c>
      <c r="I84" s="214">
        <f t="shared" si="11"/>
        <v>3</v>
      </c>
      <c r="J84" s="214">
        <v>0</v>
      </c>
      <c r="K84" s="214">
        <f t="shared" si="6"/>
        <v>47</v>
      </c>
      <c r="L84" s="215">
        <f t="shared" si="7"/>
        <v>0.06</v>
      </c>
      <c r="M84" s="157">
        <f t="shared" si="8"/>
        <v>0</v>
      </c>
      <c r="N84" s="157">
        <f t="shared" si="9"/>
        <v>0.94</v>
      </c>
      <c r="O84" s="157">
        <f t="shared" si="10"/>
        <v>0.94</v>
      </c>
      <c r="P84" s="223" t="s">
        <v>708</v>
      </c>
    </row>
    <row r="85" spans="1:16" ht="21" customHeight="1" x14ac:dyDescent="0.25">
      <c r="A85" s="15">
        <v>32</v>
      </c>
      <c r="B85" s="274" t="s">
        <v>612</v>
      </c>
      <c r="C85" s="274"/>
      <c r="D85" s="214">
        <v>47</v>
      </c>
      <c r="E85" s="214">
        <v>47</v>
      </c>
      <c r="F85" s="214">
        <v>0</v>
      </c>
      <c r="G85" s="214">
        <v>0</v>
      </c>
      <c r="H85" s="214">
        <v>0</v>
      </c>
      <c r="I85" s="214">
        <f t="shared" si="11"/>
        <v>0</v>
      </c>
      <c r="J85" s="214">
        <v>0</v>
      </c>
      <c r="K85" s="214">
        <f t="shared" si="6"/>
        <v>47</v>
      </c>
      <c r="L85" s="215">
        <f t="shared" si="7"/>
        <v>0</v>
      </c>
      <c r="M85" s="157">
        <f t="shared" si="8"/>
        <v>0</v>
      </c>
      <c r="N85" s="157">
        <f t="shared" si="9"/>
        <v>1</v>
      </c>
      <c r="O85" s="157">
        <f t="shared" si="10"/>
        <v>1</v>
      </c>
      <c r="P85" s="13"/>
    </row>
    <row r="86" spans="1:16" ht="15.75" customHeight="1" x14ac:dyDescent="0.25">
      <c r="A86" s="15">
        <v>33</v>
      </c>
      <c r="B86" s="274" t="s">
        <v>613</v>
      </c>
      <c r="C86" s="274"/>
      <c r="D86" s="214">
        <v>0</v>
      </c>
      <c r="E86" s="214">
        <v>0</v>
      </c>
      <c r="F86" s="214">
        <v>0</v>
      </c>
      <c r="G86" s="214">
        <v>0</v>
      </c>
      <c r="H86" s="214">
        <v>0</v>
      </c>
      <c r="I86" s="214">
        <f t="shared" si="11"/>
        <v>0</v>
      </c>
      <c r="J86" s="214">
        <v>0</v>
      </c>
      <c r="K86" s="214">
        <f t="shared" si="6"/>
        <v>0</v>
      </c>
      <c r="L86" s="215" t="e">
        <f>(I86/E86)</f>
        <v>#DIV/0!</v>
      </c>
      <c r="M86" s="157" t="e">
        <f t="shared" si="8"/>
        <v>#DIV/0!</v>
      </c>
      <c r="N86" s="157" t="e">
        <f t="shared" si="9"/>
        <v>#DIV/0!</v>
      </c>
      <c r="O86" s="157" t="e">
        <f t="shared" si="10"/>
        <v>#DIV/0!</v>
      </c>
      <c r="P86" s="13" t="s">
        <v>54</v>
      </c>
    </row>
    <row r="87" spans="1:16" s="220" customFormat="1" ht="15" customHeight="1" x14ac:dyDescent="0.25">
      <c r="A87" s="206" t="s">
        <v>52</v>
      </c>
      <c r="B87" s="207"/>
      <c r="C87" s="207"/>
      <c r="D87" s="214"/>
      <c r="E87" s="214"/>
      <c r="F87" s="214"/>
      <c r="G87" s="214">
        <v>0</v>
      </c>
      <c r="H87" s="214">
        <v>0</v>
      </c>
      <c r="I87" s="214">
        <f t="shared" si="11"/>
        <v>0</v>
      </c>
      <c r="J87" s="214">
        <v>0</v>
      </c>
      <c r="K87" s="214">
        <f t="shared" si="6"/>
        <v>0</v>
      </c>
      <c r="L87" s="215" t="e">
        <f t="shared" si="7"/>
        <v>#DIV/0!</v>
      </c>
      <c r="M87" s="157" t="e">
        <f t="shared" si="8"/>
        <v>#DIV/0!</v>
      </c>
      <c r="N87" s="157" t="e">
        <f t="shared" si="9"/>
        <v>#DIV/0!</v>
      </c>
      <c r="O87" s="157" t="e">
        <f t="shared" si="10"/>
        <v>#DIV/0!</v>
      </c>
      <c r="P87" s="13" t="s">
        <v>54</v>
      </c>
    </row>
    <row r="88" spans="1:16" ht="24" customHeight="1" x14ac:dyDescent="0.25">
      <c r="A88" s="15">
        <v>34</v>
      </c>
      <c r="B88" s="275" t="s">
        <v>614</v>
      </c>
      <c r="C88" s="275"/>
      <c r="D88" s="214">
        <v>411</v>
      </c>
      <c r="E88" s="214">
        <v>465</v>
      </c>
      <c r="F88" s="214">
        <v>0</v>
      </c>
      <c r="G88" s="214">
        <v>0</v>
      </c>
      <c r="H88" s="214">
        <v>0</v>
      </c>
      <c r="I88" s="214">
        <f t="shared" si="11"/>
        <v>0</v>
      </c>
      <c r="J88" s="214">
        <v>0</v>
      </c>
      <c r="K88" s="214">
        <f t="shared" si="6"/>
        <v>465</v>
      </c>
      <c r="L88" s="215">
        <f t="shared" si="7"/>
        <v>0</v>
      </c>
      <c r="M88" s="157">
        <f t="shared" si="8"/>
        <v>0</v>
      </c>
      <c r="N88" s="157">
        <f t="shared" si="9"/>
        <v>1</v>
      </c>
      <c r="O88" s="157">
        <f t="shared" si="10"/>
        <v>1</v>
      </c>
      <c r="P88" s="13" t="s">
        <v>54</v>
      </c>
    </row>
    <row r="89" spans="1:16" x14ac:dyDescent="0.25">
      <c r="A89" s="225">
        <v>35</v>
      </c>
      <c r="B89" s="275" t="s">
        <v>615</v>
      </c>
      <c r="C89" s="275"/>
      <c r="D89" s="214">
        <v>188</v>
      </c>
      <c r="E89" s="214">
        <v>206</v>
      </c>
      <c r="F89" s="214">
        <v>0</v>
      </c>
      <c r="G89" s="214">
        <v>0</v>
      </c>
      <c r="H89" s="214">
        <v>0</v>
      </c>
      <c r="I89" s="214">
        <f t="shared" si="11"/>
        <v>0</v>
      </c>
      <c r="J89" s="214">
        <v>0</v>
      </c>
      <c r="K89" s="214">
        <f t="shared" si="6"/>
        <v>206</v>
      </c>
      <c r="L89" s="215">
        <f t="shared" si="7"/>
        <v>0</v>
      </c>
      <c r="M89" s="157">
        <f t="shared" si="8"/>
        <v>0</v>
      </c>
      <c r="N89" s="157">
        <f t="shared" si="9"/>
        <v>1</v>
      </c>
      <c r="O89" s="157">
        <f t="shared" si="10"/>
        <v>1</v>
      </c>
      <c r="P89" s="13" t="s">
        <v>54</v>
      </c>
    </row>
    <row r="90" spans="1:16" ht="79.5" customHeight="1" x14ac:dyDescent="0.25">
      <c r="A90" s="81">
        <v>36</v>
      </c>
      <c r="B90" s="275" t="s">
        <v>616</v>
      </c>
      <c r="C90" s="275"/>
      <c r="D90" s="214">
        <v>677</v>
      </c>
      <c r="E90" s="214">
        <v>697</v>
      </c>
      <c r="F90" s="214">
        <v>10</v>
      </c>
      <c r="G90" s="214">
        <v>2</v>
      </c>
      <c r="H90" s="214">
        <v>0</v>
      </c>
      <c r="I90" s="214">
        <f t="shared" si="11"/>
        <v>12</v>
      </c>
      <c r="J90" s="214">
        <v>0</v>
      </c>
      <c r="K90" s="214">
        <f t="shared" si="6"/>
        <v>685</v>
      </c>
      <c r="L90" s="215">
        <f t="shared" si="7"/>
        <v>1.721664275466284E-2</v>
      </c>
      <c r="M90" s="157">
        <f t="shared" si="8"/>
        <v>0</v>
      </c>
      <c r="N90" s="157">
        <f t="shared" si="9"/>
        <v>0.98278335724533716</v>
      </c>
      <c r="O90" s="157">
        <f t="shared" si="10"/>
        <v>0.98278335724533716</v>
      </c>
      <c r="P90" s="13" t="s">
        <v>697</v>
      </c>
    </row>
    <row r="91" spans="1:16" ht="177" customHeight="1" x14ac:dyDescent="0.25">
      <c r="A91" s="226">
        <v>37</v>
      </c>
      <c r="B91" s="275" t="s">
        <v>617</v>
      </c>
      <c r="C91" s="275"/>
      <c r="D91" s="214">
        <v>1065</v>
      </c>
      <c r="E91" s="214">
        <v>896</v>
      </c>
      <c r="F91" s="214">
        <v>9</v>
      </c>
      <c r="G91" s="214">
        <v>6</v>
      </c>
      <c r="H91" s="214">
        <v>0</v>
      </c>
      <c r="I91" s="214">
        <v>15</v>
      </c>
      <c r="J91" s="214">
        <v>0</v>
      </c>
      <c r="K91" s="214">
        <f t="shared" si="6"/>
        <v>881</v>
      </c>
      <c r="L91" s="215">
        <f t="shared" si="7"/>
        <v>1.6741071428571428E-2</v>
      </c>
      <c r="M91" s="157">
        <f t="shared" si="8"/>
        <v>0</v>
      </c>
      <c r="N91" s="157">
        <f t="shared" si="9"/>
        <v>0.9832589285714286</v>
      </c>
      <c r="O91" s="157">
        <f t="shared" si="10"/>
        <v>0.9832589285714286</v>
      </c>
      <c r="P91" s="13" t="s">
        <v>698</v>
      </c>
    </row>
    <row r="92" spans="1:16" ht="15.75" customHeight="1" x14ac:dyDescent="0.25">
      <c r="A92" s="15">
        <v>38</v>
      </c>
      <c r="B92" s="275" t="s">
        <v>618</v>
      </c>
      <c r="C92" s="275"/>
      <c r="D92" s="214">
        <v>0</v>
      </c>
      <c r="E92" s="214">
        <v>6</v>
      </c>
      <c r="F92" s="214">
        <v>6</v>
      </c>
      <c r="G92" s="214">
        <v>0</v>
      </c>
      <c r="H92" s="214">
        <v>0</v>
      </c>
      <c r="I92" s="214">
        <f t="shared" si="11"/>
        <v>6</v>
      </c>
      <c r="J92" s="214">
        <v>0</v>
      </c>
      <c r="K92" s="214">
        <f t="shared" si="6"/>
        <v>0</v>
      </c>
      <c r="L92" s="215">
        <f t="shared" si="7"/>
        <v>1</v>
      </c>
      <c r="M92" s="157">
        <f t="shared" si="8"/>
        <v>0</v>
      </c>
      <c r="N92" s="157">
        <f t="shared" si="9"/>
        <v>0</v>
      </c>
      <c r="O92" s="157">
        <f t="shared" si="10"/>
        <v>0</v>
      </c>
      <c r="P92" s="13"/>
    </row>
    <row r="93" spans="1:16" ht="15" customHeight="1" x14ac:dyDescent="0.25">
      <c r="A93" s="15">
        <v>39</v>
      </c>
      <c r="B93" s="275" t="s">
        <v>619</v>
      </c>
      <c r="C93" s="275"/>
      <c r="D93" s="214">
        <v>0</v>
      </c>
      <c r="E93" s="214">
        <v>0</v>
      </c>
      <c r="F93" s="214">
        <v>0</v>
      </c>
      <c r="G93" s="214">
        <v>0</v>
      </c>
      <c r="H93" s="214">
        <v>0</v>
      </c>
      <c r="I93" s="214">
        <f t="shared" si="11"/>
        <v>0</v>
      </c>
      <c r="J93" s="214">
        <v>0</v>
      </c>
      <c r="K93" s="214">
        <f t="shared" si="6"/>
        <v>0</v>
      </c>
      <c r="L93" s="215" t="e">
        <f t="shared" si="7"/>
        <v>#DIV/0!</v>
      </c>
      <c r="M93" s="157" t="e">
        <f t="shared" si="8"/>
        <v>#DIV/0!</v>
      </c>
      <c r="N93" s="157" t="e">
        <f t="shared" si="9"/>
        <v>#DIV/0!</v>
      </c>
      <c r="O93" s="157" t="e">
        <f t="shared" si="10"/>
        <v>#DIV/0!</v>
      </c>
      <c r="P93" s="13" t="s">
        <v>54</v>
      </c>
    </row>
    <row r="94" spans="1:16" s="154" customFormat="1" ht="44.25" customHeight="1" x14ac:dyDescent="0.25">
      <c r="A94" s="81">
        <v>40</v>
      </c>
      <c r="B94" s="275" t="s">
        <v>620</v>
      </c>
      <c r="C94" s="275"/>
      <c r="D94" s="214">
        <v>36</v>
      </c>
      <c r="E94" s="214">
        <v>25</v>
      </c>
      <c r="F94" s="214">
        <v>0</v>
      </c>
      <c r="G94" s="214">
        <v>1</v>
      </c>
      <c r="H94" s="214">
        <v>0</v>
      </c>
      <c r="I94" s="214">
        <f t="shared" si="11"/>
        <v>1</v>
      </c>
      <c r="J94" s="214">
        <v>0</v>
      </c>
      <c r="K94" s="214">
        <f t="shared" si="6"/>
        <v>24</v>
      </c>
      <c r="L94" s="215">
        <f t="shared" si="7"/>
        <v>0.04</v>
      </c>
      <c r="M94" s="157">
        <f t="shared" si="8"/>
        <v>0</v>
      </c>
      <c r="N94" s="157">
        <f t="shared" si="9"/>
        <v>0.96</v>
      </c>
      <c r="O94" s="157">
        <f t="shared" si="10"/>
        <v>0.96</v>
      </c>
      <c r="P94" s="227" t="s">
        <v>712</v>
      </c>
    </row>
    <row r="95" spans="1:16" ht="15.75" customHeight="1" x14ac:dyDescent="0.25">
      <c r="A95" s="15">
        <v>41</v>
      </c>
      <c r="B95" s="275" t="s">
        <v>621</v>
      </c>
      <c r="C95" s="275"/>
      <c r="D95" s="214">
        <v>0</v>
      </c>
      <c r="E95" s="214">
        <v>18</v>
      </c>
      <c r="F95" s="214">
        <v>0</v>
      </c>
      <c r="G95" s="214">
        <v>0</v>
      </c>
      <c r="H95" s="214">
        <v>0</v>
      </c>
      <c r="I95" s="214">
        <f t="shared" si="11"/>
        <v>0</v>
      </c>
      <c r="J95" s="214">
        <v>0</v>
      </c>
      <c r="K95" s="214">
        <f t="shared" si="6"/>
        <v>18</v>
      </c>
      <c r="L95" s="215">
        <f t="shared" si="7"/>
        <v>0</v>
      </c>
      <c r="M95" s="157">
        <f t="shared" si="8"/>
        <v>0</v>
      </c>
      <c r="N95" s="157">
        <f t="shared" si="9"/>
        <v>1</v>
      </c>
      <c r="O95" s="157">
        <f t="shared" si="10"/>
        <v>1</v>
      </c>
      <c r="P95" s="13" t="s">
        <v>54</v>
      </c>
    </row>
    <row r="96" spans="1:16" s="154" customFormat="1" x14ac:dyDescent="0.25">
      <c r="A96" s="15">
        <v>42</v>
      </c>
      <c r="B96" s="275" t="s">
        <v>622</v>
      </c>
      <c r="C96" s="275"/>
      <c r="D96" s="214">
        <v>0</v>
      </c>
      <c r="E96" s="214">
        <v>17</v>
      </c>
      <c r="F96" s="214">
        <v>0</v>
      </c>
      <c r="G96" s="214">
        <v>0</v>
      </c>
      <c r="H96" s="214">
        <v>0</v>
      </c>
      <c r="I96" s="214">
        <f t="shared" si="11"/>
        <v>0</v>
      </c>
      <c r="J96" s="214">
        <v>0</v>
      </c>
      <c r="K96" s="214">
        <f t="shared" si="6"/>
        <v>17</v>
      </c>
      <c r="L96" s="215">
        <f t="shared" si="7"/>
        <v>0</v>
      </c>
      <c r="M96" s="157">
        <f t="shared" si="8"/>
        <v>0</v>
      </c>
      <c r="N96" s="157">
        <f t="shared" si="9"/>
        <v>1</v>
      </c>
      <c r="O96" s="157">
        <f t="shared" si="10"/>
        <v>1</v>
      </c>
      <c r="P96" s="13" t="s">
        <v>54</v>
      </c>
    </row>
    <row r="97" spans="1:16" x14ac:dyDescent="0.25">
      <c r="A97" s="15">
        <v>43</v>
      </c>
      <c r="B97" s="275" t="s">
        <v>623</v>
      </c>
      <c r="C97" s="275"/>
      <c r="D97" s="214">
        <v>58</v>
      </c>
      <c r="E97" s="214">
        <v>14</v>
      </c>
      <c r="F97" s="214">
        <v>0</v>
      </c>
      <c r="G97" s="214">
        <v>0</v>
      </c>
      <c r="H97" s="214">
        <v>0</v>
      </c>
      <c r="I97" s="214">
        <f t="shared" si="11"/>
        <v>0</v>
      </c>
      <c r="J97" s="214">
        <v>0</v>
      </c>
      <c r="K97" s="214">
        <f t="shared" si="6"/>
        <v>14</v>
      </c>
      <c r="L97" s="215">
        <f t="shared" si="7"/>
        <v>0</v>
      </c>
      <c r="M97" s="157">
        <f t="shared" si="8"/>
        <v>0</v>
      </c>
      <c r="N97" s="157">
        <f t="shared" si="9"/>
        <v>1</v>
      </c>
      <c r="O97" s="157">
        <f t="shared" si="10"/>
        <v>1</v>
      </c>
      <c r="P97" s="13" t="s">
        <v>54</v>
      </c>
    </row>
    <row r="98" spans="1:16" ht="181.5" customHeight="1" x14ac:dyDescent="0.25">
      <c r="A98" s="81">
        <v>44</v>
      </c>
      <c r="B98" s="275" t="s">
        <v>624</v>
      </c>
      <c r="C98" s="275"/>
      <c r="D98" s="214">
        <v>1968</v>
      </c>
      <c r="E98" s="214">
        <v>1900</v>
      </c>
      <c r="F98" s="214">
        <v>32</v>
      </c>
      <c r="G98" s="214">
        <v>1</v>
      </c>
      <c r="H98" s="214">
        <v>0</v>
      </c>
      <c r="I98" s="214">
        <v>33</v>
      </c>
      <c r="J98" s="214">
        <v>0</v>
      </c>
      <c r="K98" s="214">
        <f t="shared" si="6"/>
        <v>1867</v>
      </c>
      <c r="L98" s="215">
        <f t="shared" si="7"/>
        <v>1.7368421052631578E-2</v>
      </c>
      <c r="M98" s="157">
        <f t="shared" si="8"/>
        <v>0</v>
      </c>
      <c r="N98" s="157">
        <f t="shared" si="9"/>
        <v>0.98263157894736841</v>
      </c>
      <c r="O98" s="157">
        <f t="shared" si="10"/>
        <v>0.98263157894736841</v>
      </c>
      <c r="P98" s="13" t="s">
        <v>709</v>
      </c>
    </row>
    <row r="99" spans="1:16" x14ac:dyDescent="0.25">
      <c r="A99" s="15">
        <v>45</v>
      </c>
      <c r="B99" s="275" t="s">
        <v>625</v>
      </c>
      <c r="C99" s="275"/>
      <c r="D99" s="214">
        <v>171</v>
      </c>
      <c r="E99" s="214">
        <v>74</v>
      </c>
      <c r="F99" s="214">
        <v>0</v>
      </c>
      <c r="G99" s="214">
        <v>0</v>
      </c>
      <c r="H99" s="214">
        <v>0</v>
      </c>
      <c r="I99" s="214">
        <f t="shared" si="11"/>
        <v>0</v>
      </c>
      <c r="J99" s="214">
        <v>0</v>
      </c>
      <c r="K99" s="214">
        <f t="shared" si="6"/>
        <v>74</v>
      </c>
      <c r="L99" s="215">
        <f t="shared" si="7"/>
        <v>0</v>
      </c>
      <c r="M99" s="157">
        <f t="shared" si="8"/>
        <v>0</v>
      </c>
      <c r="N99" s="157">
        <f t="shared" si="9"/>
        <v>1</v>
      </c>
      <c r="O99" s="157">
        <f t="shared" si="10"/>
        <v>1</v>
      </c>
      <c r="P99" s="13"/>
    </row>
    <row r="100" spans="1:16" ht="15" customHeight="1" x14ac:dyDescent="0.25">
      <c r="A100" s="15">
        <v>46</v>
      </c>
      <c r="B100" s="275" t="s">
        <v>626</v>
      </c>
      <c r="C100" s="275"/>
      <c r="D100" s="214">
        <v>0</v>
      </c>
      <c r="E100" s="214">
        <v>256</v>
      </c>
      <c r="F100" s="214">
        <v>0</v>
      </c>
      <c r="G100" s="214">
        <v>0</v>
      </c>
      <c r="H100" s="214">
        <v>0</v>
      </c>
      <c r="I100" s="214">
        <f t="shared" si="11"/>
        <v>0</v>
      </c>
      <c r="J100" s="214">
        <v>0</v>
      </c>
      <c r="K100" s="214">
        <f t="shared" si="6"/>
        <v>256</v>
      </c>
      <c r="L100" s="215">
        <f t="shared" si="7"/>
        <v>0</v>
      </c>
      <c r="M100" s="157">
        <f t="shared" si="8"/>
        <v>0</v>
      </c>
      <c r="N100" s="157">
        <f t="shared" si="9"/>
        <v>1</v>
      </c>
      <c r="O100" s="157">
        <f t="shared" si="10"/>
        <v>1</v>
      </c>
      <c r="P100" s="13" t="s">
        <v>54</v>
      </c>
    </row>
    <row r="101" spans="1:16" ht="15" customHeight="1" x14ac:dyDescent="0.25">
      <c r="A101" s="15">
        <v>47</v>
      </c>
      <c r="B101" s="275" t="s">
        <v>627</v>
      </c>
      <c r="C101" s="275"/>
      <c r="D101" s="214">
        <v>36</v>
      </c>
      <c r="E101" s="214">
        <v>25</v>
      </c>
      <c r="F101" s="214">
        <v>0</v>
      </c>
      <c r="G101" s="214">
        <v>0</v>
      </c>
      <c r="H101" s="214">
        <v>0</v>
      </c>
      <c r="I101" s="214">
        <f t="shared" si="11"/>
        <v>0</v>
      </c>
      <c r="J101" s="214">
        <v>0</v>
      </c>
      <c r="K101" s="214">
        <f t="shared" si="6"/>
        <v>25</v>
      </c>
      <c r="L101" s="215">
        <f t="shared" si="7"/>
        <v>0</v>
      </c>
      <c r="M101" s="157">
        <f t="shared" si="8"/>
        <v>0</v>
      </c>
      <c r="N101" s="157">
        <f t="shared" si="9"/>
        <v>1</v>
      </c>
      <c r="O101" s="157">
        <f t="shared" si="10"/>
        <v>1</v>
      </c>
      <c r="P101" s="13" t="s">
        <v>54</v>
      </c>
    </row>
    <row r="102" spans="1:16" x14ac:dyDescent="0.25">
      <c r="A102" s="15">
        <v>48</v>
      </c>
      <c r="B102" s="275" t="s">
        <v>628</v>
      </c>
      <c r="C102" s="275"/>
      <c r="D102" s="214">
        <v>175</v>
      </c>
      <c r="E102" s="214">
        <v>155</v>
      </c>
      <c r="F102" s="214">
        <v>0</v>
      </c>
      <c r="G102" s="214">
        <v>0</v>
      </c>
      <c r="H102" s="214">
        <v>0</v>
      </c>
      <c r="I102" s="214">
        <f t="shared" si="11"/>
        <v>0</v>
      </c>
      <c r="J102" s="214">
        <v>0</v>
      </c>
      <c r="K102" s="214">
        <f t="shared" si="6"/>
        <v>155</v>
      </c>
      <c r="L102" s="215">
        <f t="shared" si="7"/>
        <v>0</v>
      </c>
      <c r="M102" s="157">
        <f t="shared" si="8"/>
        <v>0</v>
      </c>
      <c r="N102" s="157">
        <f t="shared" si="9"/>
        <v>1</v>
      </c>
      <c r="O102" s="157">
        <f t="shared" si="10"/>
        <v>1</v>
      </c>
      <c r="P102" s="13" t="s">
        <v>54</v>
      </c>
    </row>
    <row r="103" spans="1:16" ht="15.75" customHeight="1" x14ac:dyDescent="0.25">
      <c r="A103" s="15">
        <v>49</v>
      </c>
      <c r="B103" s="275" t="s">
        <v>629</v>
      </c>
      <c r="C103" s="275"/>
      <c r="D103" s="214">
        <v>8</v>
      </c>
      <c r="E103" s="214">
        <v>49</v>
      </c>
      <c r="F103" s="214">
        <v>0</v>
      </c>
      <c r="G103" s="214">
        <v>0</v>
      </c>
      <c r="H103" s="214">
        <v>0</v>
      </c>
      <c r="I103" s="214">
        <f t="shared" si="11"/>
        <v>0</v>
      </c>
      <c r="J103" s="214">
        <v>0</v>
      </c>
      <c r="K103" s="214">
        <f t="shared" si="6"/>
        <v>49</v>
      </c>
      <c r="L103" s="215">
        <f t="shared" si="7"/>
        <v>0</v>
      </c>
      <c r="M103" s="157">
        <f t="shared" si="8"/>
        <v>0</v>
      </c>
      <c r="N103" s="157">
        <f t="shared" si="9"/>
        <v>1</v>
      </c>
      <c r="O103" s="157">
        <f t="shared" si="10"/>
        <v>1</v>
      </c>
      <c r="P103" s="13" t="s">
        <v>54</v>
      </c>
    </row>
    <row r="104" spans="1:16" ht="15" customHeight="1" x14ac:dyDescent="0.25">
      <c r="A104" s="15">
        <v>50</v>
      </c>
      <c r="B104" s="275" t="s">
        <v>630</v>
      </c>
      <c r="C104" s="275"/>
      <c r="D104" s="214">
        <v>440</v>
      </c>
      <c r="E104" s="214">
        <v>125</v>
      </c>
      <c r="F104" s="214">
        <v>0</v>
      </c>
      <c r="G104" s="214">
        <v>0</v>
      </c>
      <c r="H104" s="214">
        <v>0</v>
      </c>
      <c r="I104" s="214">
        <f t="shared" si="11"/>
        <v>0</v>
      </c>
      <c r="J104" s="214">
        <v>0</v>
      </c>
      <c r="K104" s="214">
        <f t="shared" si="6"/>
        <v>125</v>
      </c>
      <c r="L104" s="215">
        <f t="shared" si="7"/>
        <v>0</v>
      </c>
      <c r="M104" s="157">
        <f t="shared" si="8"/>
        <v>0</v>
      </c>
      <c r="N104" s="157">
        <f t="shared" si="9"/>
        <v>1</v>
      </c>
      <c r="O104" s="157">
        <f t="shared" si="10"/>
        <v>1</v>
      </c>
      <c r="P104" s="13"/>
    </row>
    <row r="105" spans="1:16" ht="51" customHeight="1" x14ac:dyDescent="0.25">
      <c r="A105" s="15">
        <v>51</v>
      </c>
      <c r="B105" s="275" t="s">
        <v>631</v>
      </c>
      <c r="C105" s="275"/>
      <c r="D105" s="214">
        <v>350</v>
      </c>
      <c r="E105" s="214">
        <v>219</v>
      </c>
      <c r="F105" s="214">
        <v>3</v>
      </c>
      <c r="G105" s="214">
        <v>0</v>
      </c>
      <c r="H105" s="214">
        <v>0</v>
      </c>
      <c r="I105" s="214">
        <v>3</v>
      </c>
      <c r="J105" s="214">
        <v>0</v>
      </c>
      <c r="K105" s="214">
        <f t="shared" si="6"/>
        <v>216</v>
      </c>
      <c r="L105" s="215">
        <f t="shared" si="7"/>
        <v>1.3698630136986301E-2</v>
      </c>
      <c r="M105" s="157">
        <f t="shared" si="8"/>
        <v>0</v>
      </c>
      <c r="N105" s="157">
        <f t="shared" si="9"/>
        <v>0.98630136986301364</v>
      </c>
      <c r="O105" s="157">
        <f t="shared" si="10"/>
        <v>0.98630136986301364</v>
      </c>
      <c r="P105" s="13" t="s">
        <v>699</v>
      </c>
    </row>
    <row r="106" spans="1:16" x14ac:dyDescent="0.25">
      <c r="A106" s="15">
        <v>52</v>
      </c>
      <c r="B106" s="275" t="s">
        <v>632</v>
      </c>
      <c r="C106" s="275"/>
      <c r="D106" s="214">
        <v>0</v>
      </c>
      <c r="E106" s="214">
        <v>0</v>
      </c>
      <c r="F106" s="214">
        <v>0</v>
      </c>
      <c r="G106" s="214">
        <v>0</v>
      </c>
      <c r="H106" s="214">
        <v>0</v>
      </c>
      <c r="I106" s="214">
        <f t="shared" si="11"/>
        <v>0</v>
      </c>
      <c r="J106" s="214">
        <v>0</v>
      </c>
      <c r="K106" s="214">
        <f t="shared" si="6"/>
        <v>0</v>
      </c>
      <c r="L106" s="215" t="e">
        <f t="shared" si="7"/>
        <v>#DIV/0!</v>
      </c>
      <c r="M106" s="157" t="e">
        <f t="shared" si="8"/>
        <v>#DIV/0!</v>
      </c>
      <c r="N106" s="157" t="e">
        <f t="shared" si="9"/>
        <v>#DIV/0!</v>
      </c>
      <c r="O106" s="157" t="e">
        <f t="shared" si="10"/>
        <v>#DIV/0!</v>
      </c>
      <c r="P106" s="13"/>
    </row>
    <row r="107" spans="1:16" s="154" customFormat="1" ht="26.25" customHeight="1" x14ac:dyDescent="0.25">
      <c r="A107" s="206" t="s">
        <v>53</v>
      </c>
      <c r="B107" s="207"/>
      <c r="C107" s="207"/>
      <c r="D107" s="214"/>
      <c r="E107" s="214"/>
      <c r="F107" s="214"/>
      <c r="G107" s="214">
        <v>0</v>
      </c>
      <c r="H107" s="214">
        <v>0</v>
      </c>
      <c r="I107" s="214">
        <f t="shared" si="11"/>
        <v>0</v>
      </c>
      <c r="J107" s="214">
        <v>0</v>
      </c>
      <c r="K107" s="214">
        <f t="shared" si="6"/>
        <v>0</v>
      </c>
      <c r="L107" s="215" t="e">
        <f t="shared" si="7"/>
        <v>#DIV/0!</v>
      </c>
      <c r="M107" s="157" t="e">
        <f t="shared" si="8"/>
        <v>#DIV/0!</v>
      </c>
      <c r="N107" s="157" t="e">
        <f t="shared" si="9"/>
        <v>#DIV/0!</v>
      </c>
      <c r="O107" s="157" t="e">
        <f t="shared" si="10"/>
        <v>#DIV/0!</v>
      </c>
      <c r="P107" s="13" t="s">
        <v>54</v>
      </c>
    </row>
    <row r="108" spans="1:16" ht="42" customHeight="1" x14ac:dyDescent="0.25">
      <c r="A108" s="81">
        <v>53</v>
      </c>
      <c r="B108" s="274" t="s">
        <v>633</v>
      </c>
      <c r="C108" s="274"/>
      <c r="D108" s="214">
        <v>2441</v>
      </c>
      <c r="E108" s="214">
        <v>2249</v>
      </c>
      <c r="F108" s="214">
        <v>10</v>
      </c>
      <c r="G108" s="214">
        <v>0</v>
      </c>
      <c r="H108" s="214">
        <v>0</v>
      </c>
      <c r="I108" s="214">
        <v>10</v>
      </c>
      <c r="J108" s="214">
        <v>0</v>
      </c>
      <c r="K108" s="214">
        <f t="shared" si="6"/>
        <v>2239</v>
      </c>
      <c r="L108" s="215">
        <f t="shared" si="7"/>
        <v>4.4464206313917292E-3</v>
      </c>
      <c r="M108" s="157">
        <f t="shared" si="8"/>
        <v>0</v>
      </c>
      <c r="N108" s="157">
        <f t="shared" si="9"/>
        <v>0.99555357936860822</v>
      </c>
      <c r="O108" s="157">
        <f t="shared" si="10"/>
        <v>0.99555357936860822</v>
      </c>
      <c r="P108" s="13" t="s">
        <v>700</v>
      </c>
    </row>
    <row r="109" spans="1:16" x14ac:dyDescent="0.25">
      <c r="A109" s="81">
        <v>54</v>
      </c>
      <c r="B109" s="274" t="s">
        <v>634</v>
      </c>
      <c r="C109" s="274"/>
      <c r="D109" s="214">
        <v>39</v>
      </c>
      <c r="E109" s="214">
        <v>26</v>
      </c>
      <c r="F109" s="214">
        <v>1</v>
      </c>
      <c r="G109" s="214">
        <v>0</v>
      </c>
      <c r="H109" s="214">
        <v>0</v>
      </c>
      <c r="I109" s="214">
        <f t="shared" si="11"/>
        <v>1</v>
      </c>
      <c r="J109" s="214">
        <v>0</v>
      </c>
      <c r="K109" s="214">
        <f t="shared" si="6"/>
        <v>25</v>
      </c>
      <c r="L109" s="215">
        <f t="shared" si="7"/>
        <v>3.8461538461538464E-2</v>
      </c>
      <c r="M109" s="157">
        <f t="shared" si="8"/>
        <v>0</v>
      </c>
      <c r="N109" s="157">
        <f t="shared" si="9"/>
        <v>0.96153846153846156</v>
      </c>
      <c r="O109" s="157">
        <f t="shared" si="10"/>
        <v>0.96153846153846156</v>
      </c>
      <c r="P109" s="13" t="s">
        <v>705</v>
      </c>
    </row>
    <row r="110" spans="1:16" x14ac:dyDescent="0.25">
      <c r="A110" s="81">
        <v>55</v>
      </c>
      <c r="B110" s="274" t="s">
        <v>635</v>
      </c>
      <c r="C110" s="274"/>
      <c r="D110" s="214">
        <v>20</v>
      </c>
      <c r="E110" s="214">
        <v>31</v>
      </c>
      <c r="F110" s="214">
        <v>0</v>
      </c>
      <c r="G110" s="214">
        <v>0</v>
      </c>
      <c r="H110" s="214">
        <v>0</v>
      </c>
      <c r="I110" s="214">
        <f t="shared" si="11"/>
        <v>0</v>
      </c>
      <c r="J110" s="214">
        <v>0</v>
      </c>
      <c r="K110" s="214">
        <f t="shared" si="6"/>
        <v>31</v>
      </c>
      <c r="L110" s="215">
        <f t="shared" si="7"/>
        <v>0</v>
      </c>
      <c r="M110" s="157">
        <f t="shared" si="8"/>
        <v>0</v>
      </c>
      <c r="N110" s="157">
        <f t="shared" si="9"/>
        <v>1</v>
      </c>
      <c r="O110" s="157">
        <f t="shared" si="10"/>
        <v>1</v>
      </c>
      <c r="P110" s="13" t="s">
        <v>54</v>
      </c>
    </row>
    <row r="111" spans="1:16" x14ac:dyDescent="0.25">
      <c r="A111" s="81">
        <v>56</v>
      </c>
      <c r="B111" s="274" t="s">
        <v>636</v>
      </c>
      <c r="C111" s="274"/>
      <c r="D111" s="214">
        <v>331</v>
      </c>
      <c r="E111" s="214">
        <v>289</v>
      </c>
      <c r="F111" s="214">
        <v>3</v>
      </c>
      <c r="G111" s="214">
        <v>0</v>
      </c>
      <c r="H111" s="214">
        <v>0</v>
      </c>
      <c r="I111" s="214">
        <f t="shared" si="11"/>
        <v>3</v>
      </c>
      <c r="J111" s="214">
        <v>0</v>
      </c>
      <c r="K111" s="214">
        <f t="shared" si="6"/>
        <v>286</v>
      </c>
      <c r="L111" s="215">
        <f t="shared" si="7"/>
        <v>1.0380622837370242E-2</v>
      </c>
      <c r="M111" s="157">
        <f t="shared" si="8"/>
        <v>0</v>
      </c>
      <c r="N111" s="157">
        <f t="shared" si="9"/>
        <v>0.98961937716262971</v>
      </c>
      <c r="O111" s="157">
        <f t="shared" si="10"/>
        <v>0.98961937716262971</v>
      </c>
      <c r="P111" s="13" t="s">
        <v>710</v>
      </c>
    </row>
    <row r="112" spans="1:16" ht="33.75" customHeight="1" x14ac:dyDescent="0.25">
      <c r="A112" s="81">
        <v>57</v>
      </c>
      <c r="B112" s="274" t="s">
        <v>637</v>
      </c>
      <c r="C112" s="274"/>
      <c r="D112" s="214">
        <v>227</v>
      </c>
      <c r="E112" s="214">
        <v>199</v>
      </c>
      <c r="F112" s="214">
        <v>2</v>
      </c>
      <c r="G112" s="214">
        <v>0</v>
      </c>
      <c r="H112" s="214">
        <v>0</v>
      </c>
      <c r="I112" s="214">
        <v>2</v>
      </c>
      <c r="J112" s="214">
        <v>0</v>
      </c>
      <c r="K112" s="214">
        <f t="shared" si="6"/>
        <v>197</v>
      </c>
      <c r="L112" s="215">
        <f t="shared" si="7"/>
        <v>1.0050251256281407E-2</v>
      </c>
      <c r="M112" s="157">
        <f t="shared" si="8"/>
        <v>0</v>
      </c>
      <c r="N112" s="157">
        <f t="shared" si="9"/>
        <v>0.98994974874371855</v>
      </c>
      <c r="O112" s="157">
        <f t="shared" si="10"/>
        <v>0.98994974874371855</v>
      </c>
      <c r="P112" s="228" t="s">
        <v>160</v>
      </c>
    </row>
    <row r="113" spans="1:16" s="154" customFormat="1" x14ac:dyDescent="0.25">
      <c r="A113" s="81">
        <v>58</v>
      </c>
      <c r="B113" s="274" t="s">
        <v>638</v>
      </c>
      <c r="C113" s="274"/>
      <c r="D113" s="214">
        <v>322</v>
      </c>
      <c r="E113" s="214">
        <v>303</v>
      </c>
      <c r="F113" s="214">
        <v>0</v>
      </c>
      <c r="G113" s="214">
        <v>0</v>
      </c>
      <c r="H113" s="214">
        <v>0</v>
      </c>
      <c r="I113" s="214">
        <f t="shared" si="11"/>
        <v>0</v>
      </c>
      <c r="J113" s="214">
        <v>0</v>
      </c>
      <c r="K113" s="214">
        <f t="shared" si="6"/>
        <v>303</v>
      </c>
      <c r="L113" s="215">
        <f t="shared" si="7"/>
        <v>0</v>
      </c>
      <c r="M113" s="157">
        <f t="shared" si="8"/>
        <v>0</v>
      </c>
      <c r="N113" s="157">
        <f t="shared" si="9"/>
        <v>1</v>
      </c>
      <c r="O113" s="157">
        <f t="shared" si="10"/>
        <v>1</v>
      </c>
      <c r="P113" s="13" t="s">
        <v>54</v>
      </c>
    </row>
    <row r="114" spans="1:16" x14ac:dyDescent="0.25">
      <c r="A114" s="81">
        <v>59</v>
      </c>
      <c r="B114" s="274" t="s">
        <v>639</v>
      </c>
      <c r="C114" s="274"/>
      <c r="D114" s="214">
        <v>110</v>
      </c>
      <c r="E114" s="214">
        <v>69</v>
      </c>
      <c r="F114" s="214">
        <v>0</v>
      </c>
      <c r="G114" s="214">
        <v>0</v>
      </c>
      <c r="H114" s="214">
        <v>0</v>
      </c>
      <c r="I114" s="214">
        <f t="shared" si="11"/>
        <v>0</v>
      </c>
      <c r="J114" s="214">
        <v>0</v>
      </c>
      <c r="K114" s="214">
        <f t="shared" si="6"/>
        <v>69</v>
      </c>
      <c r="L114" s="215">
        <f t="shared" si="7"/>
        <v>0</v>
      </c>
      <c r="M114" s="157">
        <f t="shared" si="8"/>
        <v>0</v>
      </c>
      <c r="N114" s="157">
        <f t="shared" si="9"/>
        <v>1</v>
      </c>
      <c r="O114" s="157">
        <f t="shared" si="10"/>
        <v>1</v>
      </c>
      <c r="P114" s="13" t="s">
        <v>54</v>
      </c>
    </row>
    <row r="115" spans="1:16" x14ac:dyDescent="0.25">
      <c r="A115" s="81">
        <v>60</v>
      </c>
      <c r="B115" s="274" t="s">
        <v>640</v>
      </c>
      <c r="C115" s="274"/>
      <c r="D115" s="214">
        <v>993</v>
      </c>
      <c r="E115" s="214">
        <v>1049</v>
      </c>
      <c r="F115" s="214">
        <v>0</v>
      </c>
      <c r="G115" s="214">
        <v>0</v>
      </c>
      <c r="H115" s="214">
        <v>0</v>
      </c>
      <c r="I115" s="214">
        <f t="shared" si="11"/>
        <v>0</v>
      </c>
      <c r="J115" s="214">
        <v>0</v>
      </c>
      <c r="K115" s="214">
        <f t="shared" si="6"/>
        <v>1049</v>
      </c>
      <c r="L115" s="215">
        <f t="shared" si="7"/>
        <v>0</v>
      </c>
      <c r="M115" s="157">
        <f t="shared" si="8"/>
        <v>0</v>
      </c>
      <c r="N115" s="157">
        <f t="shared" si="9"/>
        <v>1</v>
      </c>
      <c r="O115" s="157">
        <f t="shared" si="10"/>
        <v>1</v>
      </c>
      <c r="P115" s="13" t="s">
        <v>54</v>
      </c>
    </row>
    <row r="116" spans="1:16" ht="23.25" customHeight="1" x14ac:dyDescent="0.25">
      <c r="A116" s="81">
        <v>61</v>
      </c>
      <c r="B116" s="274" t="s">
        <v>641</v>
      </c>
      <c r="C116" s="274"/>
      <c r="D116" s="214">
        <v>99</v>
      </c>
      <c r="E116" s="214">
        <v>113</v>
      </c>
      <c r="F116" s="214">
        <v>0</v>
      </c>
      <c r="G116" s="214">
        <v>0</v>
      </c>
      <c r="H116" s="214">
        <v>0</v>
      </c>
      <c r="I116" s="214">
        <f t="shared" si="11"/>
        <v>0</v>
      </c>
      <c r="J116" s="214">
        <v>0</v>
      </c>
      <c r="K116" s="214">
        <f t="shared" si="6"/>
        <v>113</v>
      </c>
      <c r="L116" s="215">
        <f t="shared" si="7"/>
        <v>0</v>
      </c>
      <c r="M116" s="157">
        <f t="shared" si="8"/>
        <v>0</v>
      </c>
      <c r="N116" s="157">
        <f t="shared" si="9"/>
        <v>1</v>
      </c>
      <c r="O116" s="157">
        <f t="shared" si="10"/>
        <v>1</v>
      </c>
      <c r="P116" s="13" t="s">
        <v>54</v>
      </c>
    </row>
    <row r="117" spans="1:16" s="154" customFormat="1" ht="30.75" customHeight="1" x14ac:dyDescent="0.25">
      <c r="A117" s="81">
        <v>62</v>
      </c>
      <c r="B117" s="274" t="s">
        <v>642</v>
      </c>
      <c r="C117" s="274"/>
      <c r="D117" s="214">
        <v>0</v>
      </c>
      <c r="E117" s="214">
        <v>0</v>
      </c>
      <c r="F117" s="214">
        <v>0</v>
      </c>
      <c r="G117" s="214">
        <v>0</v>
      </c>
      <c r="H117" s="214">
        <v>0</v>
      </c>
      <c r="I117" s="214">
        <f t="shared" si="11"/>
        <v>0</v>
      </c>
      <c r="J117" s="214">
        <v>0</v>
      </c>
      <c r="K117" s="214">
        <f t="shared" si="6"/>
        <v>0</v>
      </c>
      <c r="L117" s="215" t="e">
        <f t="shared" si="7"/>
        <v>#DIV/0!</v>
      </c>
      <c r="M117" s="157" t="e">
        <f t="shared" si="8"/>
        <v>#DIV/0!</v>
      </c>
      <c r="N117" s="157" t="e">
        <f t="shared" si="9"/>
        <v>#DIV/0!</v>
      </c>
      <c r="O117" s="157" t="e">
        <f t="shared" si="10"/>
        <v>#DIV/0!</v>
      </c>
      <c r="P117" s="13" t="s">
        <v>54</v>
      </c>
    </row>
    <row r="118" spans="1:16" s="154" customFormat="1" ht="20.25" customHeight="1" x14ac:dyDescent="0.25">
      <c r="A118" s="81">
        <v>63</v>
      </c>
      <c r="B118" s="274" t="s">
        <v>643</v>
      </c>
      <c r="C118" s="274"/>
      <c r="D118" s="214">
        <v>6</v>
      </c>
      <c r="E118" s="214">
        <v>20</v>
      </c>
      <c r="F118" s="214">
        <v>0</v>
      </c>
      <c r="G118" s="214">
        <v>0</v>
      </c>
      <c r="H118" s="214">
        <v>0</v>
      </c>
      <c r="I118" s="214">
        <f t="shared" si="11"/>
        <v>0</v>
      </c>
      <c r="J118" s="214">
        <v>0</v>
      </c>
      <c r="K118" s="214">
        <f t="shared" si="6"/>
        <v>20</v>
      </c>
      <c r="L118" s="215">
        <f t="shared" si="7"/>
        <v>0</v>
      </c>
      <c r="M118" s="157">
        <f t="shared" si="8"/>
        <v>0</v>
      </c>
      <c r="N118" s="157">
        <f t="shared" si="9"/>
        <v>1</v>
      </c>
      <c r="O118" s="157">
        <f t="shared" si="10"/>
        <v>1</v>
      </c>
      <c r="P118" s="13" t="s">
        <v>54</v>
      </c>
    </row>
    <row r="119" spans="1:16" x14ac:dyDescent="0.25">
      <c r="A119" s="81">
        <v>64</v>
      </c>
      <c r="B119" s="274" t="s">
        <v>644</v>
      </c>
      <c r="C119" s="274"/>
      <c r="D119" s="214">
        <v>216</v>
      </c>
      <c r="E119" s="214">
        <v>260</v>
      </c>
      <c r="F119" s="214">
        <v>0</v>
      </c>
      <c r="G119" s="214">
        <v>0</v>
      </c>
      <c r="H119" s="214">
        <v>0</v>
      </c>
      <c r="I119" s="214">
        <f t="shared" si="11"/>
        <v>0</v>
      </c>
      <c r="J119" s="214">
        <v>0</v>
      </c>
      <c r="K119" s="214">
        <f t="shared" si="6"/>
        <v>260</v>
      </c>
      <c r="L119" s="215">
        <f t="shared" si="7"/>
        <v>0</v>
      </c>
      <c r="M119" s="157">
        <f t="shared" si="8"/>
        <v>0</v>
      </c>
      <c r="N119" s="157">
        <f t="shared" si="9"/>
        <v>1</v>
      </c>
      <c r="O119" s="157">
        <f t="shared" si="10"/>
        <v>1</v>
      </c>
      <c r="P119" s="13" t="s">
        <v>54</v>
      </c>
    </row>
    <row r="120" spans="1:16" x14ac:dyDescent="0.25">
      <c r="A120" s="81">
        <v>65</v>
      </c>
      <c r="B120" s="274" t="s">
        <v>645</v>
      </c>
      <c r="C120" s="274"/>
      <c r="D120" s="214">
        <v>3013</v>
      </c>
      <c r="E120" s="214">
        <v>2813</v>
      </c>
      <c r="F120" s="214">
        <v>0</v>
      </c>
      <c r="G120" s="214">
        <v>0</v>
      </c>
      <c r="H120" s="214">
        <v>0</v>
      </c>
      <c r="I120" s="214">
        <f t="shared" si="11"/>
        <v>0</v>
      </c>
      <c r="J120" s="214">
        <v>0</v>
      </c>
      <c r="K120" s="214">
        <f t="shared" si="6"/>
        <v>2813</v>
      </c>
      <c r="L120" s="215">
        <f t="shared" si="7"/>
        <v>0</v>
      </c>
      <c r="M120" s="157">
        <f t="shared" si="8"/>
        <v>0</v>
      </c>
      <c r="N120" s="157">
        <f t="shared" si="9"/>
        <v>1</v>
      </c>
      <c r="O120" s="157">
        <f t="shared" si="10"/>
        <v>1</v>
      </c>
      <c r="P120" s="13" t="s">
        <v>54</v>
      </c>
    </row>
    <row r="121" spans="1:16" s="154" customFormat="1" x14ac:dyDescent="0.25">
      <c r="A121" s="81">
        <v>66</v>
      </c>
      <c r="B121" s="274" t="s">
        <v>646</v>
      </c>
      <c r="C121" s="274"/>
      <c r="D121" s="214">
        <v>59</v>
      </c>
      <c r="E121" s="214">
        <v>6</v>
      </c>
      <c r="F121" s="214">
        <v>0</v>
      </c>
      <c r="G121" s="214">
        <v>0</v>
      </c>
      <c r="H121" s="214">
        <v>0</v>
      </c>
      <c r="I121" s="214">
        <f t="shared" si="11"/>
        <v>0</v>
      </c>
      <c r="J121" s="214">
        <v>0</v>
      </c>
      <c r="K121" s="214">
        <f t="shared" si="6"/>
        <v>6</v>
      </c>
      <c r="L121" s="215">
        <f t="shared" si="7"/>
        <v>0</v>
      </c>
      <c r="M121" s="157">
        <f t="shared" si="8"/>
        <v>0</v>
      </c>
      <c r="N121" s="157">
        <f t="shared" si="9"/>
        <v>1</v>
      </c>
      <c r="O121" s="157">
        <f t="shared" si="10"/>
        <v>1</v>
      </c>
      <c r="P121" s="13" t="s">
        <v>54</v>
      </c>
    </row>
    <row r="122" spans="1:16" s="154" customFormat="1" x14ac:dyDescent="0.25">
      <c r="A122" s="81">
        <v>67</v>
      </c>
      <c r="B122" s="273" t="s">
        <v>647</v>
      </c>
      <c r="C122" s="273"/>
      <c r="D122" s="214">
        <v>189</v>
      </c>
      <c r="E122" s="214">
        <v>297</v>
      </c>
      <c r="F122" s="214">
        <v>0</v>
      </c>
      <c r="G122" s="214">
        <v>0</v>
      </c>
      <c r="H122" s="214">
        <v>0</v>
      </c>
      <c r="I122" s="214">
        <f t="shared" si="11"/>
        <v>0</v>
      </c>
      <c r="J122" s="214">
        <v>0</v>
      </c>
      <c r="K122" s="214">
        <f t="shared" si="6"/>
        <v>297</v>
      </c>
      <c r="L122" s="215">
        <f t="shared" si="7"/>
        <v>0</v>
      </c>
      <c r="M122" s="157">
        <f t="shared" si="8"/>
        <v>0</v>
      </c>
      <c r="N122" s="157">
        <f t="shared" si="9"/>
        <v>1</v>
      </c>
      <c r="O122" s="157">
        <f t="shared" si="10"/>
        <v>1</v>
      </c>
      <c r="P122" s="13" t="s">
        <v>54</v>
      </c>
    </row>
    <row r="123" spans="1:16" ht="30.75" x14ac:dyDescent="0.25">
      <c r="A123" s="81">
        <v>68</v>
      </c>
      <c r="B123" s="273" t="s">
        <v>648</v>
      </c>
      <c r="C123" s="273"/>
      <c r="D123" s="214">
        <v>174</v>
      </c>
      <c r="E123" s="214">
        <v>155</v>
      </c>
      <c r="F123" s="214">
        <v>5</v>
      </c>
      <c r="G123" s="214">
        <v>0</v>
      </c>
      <c r="H123" s="214">
        <v>0</v>
      </c>
      <c r="I123" s="214">
        <v>5</v>
      </c>
      <c r="J123" s="214">
        <v>0</v>
      </c>
      <c r="K123" s="214">
        <f t="shared" si="6"/>
        <v>150</v>
      </c>
      <c r="L123" s="215">
        <f t="shared" si="7"/>
        <v>3.2258064516129031E-2</v>
      </c>
      <c r="M123" s="157">
        <f t="shared" si="8"/>
        <v>0</v>
      </c>
      <c r="N123" s="157">
        <f t="shared" si="9"/>
        <v>0.967741935483871</v>
      </c>
      <c r="O123" s="157">
        <f t="shared" si="10"/>
        <v>0.967741935483871</v>
      </c>
      <c r="P123" s="228" t="s">
        <v>711</v>
      </c>
    </row>
    <row r="124" spans="1:16" s="154" customFormat="1" x14ac:dyDescent="0.25">
      <c r="A124" s="81">
        <v>69</v>
      </c>
      <c r="B124" s="273" t="s">
        <v>649</v>
      </c>
      <c r="C124" s="273"/>
      <c r="D124" s="214">
        <v>137</v>
      </c>
      <c r="E124" s="214">
        <v>82</v>
      </c>
      <c r="F124" s="214">
        <v>0</v>
      </c>
      <c r="G124" s="214">
        <v>0</v>
      </c>
      <c r="H124" s="214">
        <v>0</v>
      </c>
      <c r="I124" s="214">
        <f t="shared" si="11"/>
        <v>0</v>
      </c>
      <c r="J124" s="214">
        <v>0</v>
      </c>
      <c r="K124" s="214">
        <f t="shared" si="6"/>
        <v>82</v>
      </c>
      <c r="L124" s="215">
        <f t="shared" si="7"/>
        <v>0</v>
      </c>
      <c r="M124" s="157">
        <f t="shared" si="8"/>
        <v>0</v>
      </c>
      <c r="N124" s="157">
        <f t="shared" si="9"/>
        <v>1</v>
      </c>
      <c r="O124" s="157">
        <f t="shared" si="10"/>
        <v>1</v>
      </c>
      <c r="P124" s="13" t="s">
        <v>54</v>
      </c>
    </row>
    <row r="125" spans="1:16" ht="18" customHeight="1" x14ac:dyDescent="0.25">
      <c r="A125" s="81">
        <v>70</v>
      </c>
      <c r="B125" s="273" t="s">
        <v>650</v>
      </c>
      <c r="C125" s="273"/>
      <c r="D125" s="214">
        <v>2</v>
      </c>
      <c r="E125" s="214">
        <v>3</v>
      </c>
      <c r="F125" s="214">
        <v>0</v>
      </c>
      <c r="G125" s="214">
        <v>0</v>
      </c>
      <c r="H125" s="214">
        <v>0</v>
      </c>
      <c r="I125" s="214">
        <f t="shared" si="11"/>
        <v>0</v>
      </c>
      <c r="J125" s="214">
        <v>0</v>
      </c>
      <c r="K125" s="214">
        <f t="shared" si="6"/>
        <v>3</v>
      </c>
      <c r="L125" s="215">
        <f t="shared" si="7"/>
        <v>0</v>
      </c>
      <c r="M125" s="157">
        <f t="shared" si="8"/>
        <v>0</v>
      </c>
      <c r="N125" s="157">
        <f t="shared" si="9"/>
        <v>1</v>
      </c>
      <c r="O125" s="157">
        <f t="shared" si="10"/>
        <v>1</v>
      </c>
      <c r="P125" s="13" t="s">
        <v>54</v>
      </c>
    </row>
    <row r="126" spans="1:16" s="154" customFormat="1" x14ac:dyDescent="0.25">
      <c r="A126" s="81">
        <v>71</v>
      </c>
      <c r="B126" s="273" t="s">
        <v>651</v>
      </c>
      <c r="C126" s="273"/>
      <c r="D126" s="214">
        <v>341</v>
      </c>
      <c r="E126" s="214">
        <v>325</v>
      </c>
      <c r="F126" s="214">
        <v>0</v>
      </c>
      <c r="G126" s="214">
        <v>0</v>
      </c>
      <c r="H126" s="214">
        <v>0</v>
      </c>
      <c r="I126" s="214">
        <f t="shared" si="11"/>
        <v>0</v>
      </c>
      <c r="J126" s="214">
        <v>0</v>
      </c>
      <c r="K126" s="214">
        <f t="shared" si="6"/>
        <v>325</v>
      </c>
      <c r="L126" s="215">
        <f t="shared" si="7"/>
        <v>0</v>
      </c>
      <c r="M126" s="157">
        <f t="shared" si="8"/>
        <v>0</v>
      </c>
      <c r="N126" s="157">
        <f t="shared" si="9"/>
        <v>1</v>
      </c>
      <c r="O126" s="157">
        <f t="shared" si="10"/>
        <v>1</v>
      </c>
      <c r="P126" s="13" t="s">
        <v>54</v>
      </c>
    </row>
    <row r="127" spans="1:16" s="154" customFormat="1" ht="15.75" customHeight="1" x14ac:dyDescent="0.25">
      <c r="A127" s="81">
        <v>72</v>
      </c>
      <c r="B127" s="273" t="s">
        <v>652</v>
      </c>
      <c r="C127" s="273"/>
      <c r="D127" s="214">
        <v>20</v>
      </c>
      <c r="E127" s="214">
        <v>4</v>
      </c>
      <c r="F127" s="214">
        <v>0</v>
      </c>
      <c r="G127" s="214">
        <v>0</v>
      </c>
      <c r="H127" s="214">
        <v>0</v>
      </c>
      <c r="I127" s="214">
        <f t="shared" si="11"/>
        <v>0</v>
      </c>
      <c r="J127" s="214">
        <v>0</v>
      </c>
      <c r="K127" s="214">
        <f t="shared" si="6"/>
        <v>4</v>
      </c>
      <c r="L127" s="215">
        <f t="shared" si="7"/>
        <v>0</v>
      </c>
      <c r="M127" s="157">
        <f t="shared" si="8"/>
        <v>0</v>
      </c>
      <c r="N127" s="157">
        <f t="shared" si="9"/>
        <v>1</v>
      </c>
      <c r="O127" s="157">
        <f t="shared" si="10"/>
        <v>1</v>
      </c>
      <c r="P127" s="13" t="s">
        <v>54</v>
      </c>
    </row>
    <row r="128" spans="1:16" s="154" customFormat="1" ht="29.25" customHeight="1" x14ac:dyDescent="0.25">
      <c r="A128" s="81">
        <v>73</v>
      </c>
      <c r="B128" s="273" t="s">
        <v>653</v>
      </c>
      <c r="C128" s="273"/>
      <c r="D128" s="214">
        <v>621</v>
      </c>
      <c r="E128" s="214">
        <v>682</v>
      </c>
      <c r="F128" s="214">
        <v>0</v>
      </c>
      <c r="G128" s="214">
        <v>1</v>
      </c>
      <c r="H128" s="214">
        <v>0</v>
      </c>
      <c r="I128" s="214">
        <v>1</v>
      </c>
      <c r="J128" s="214">
        <v>0</v>
      </c>
      <c r="K128" s="214">
        <f t="shared" si="6"/>
        <v>681</v>
      </c>
      <c r="L128" s="215">
        <f t="shared" si="7"/>
        <v>1.4662756598240469E-3</v>
      </c>
      <c r="M128" s="157">
        <f t="shared" si="8"/>
        <v>0</v>
      </c>
      <c r="N128" s="157">
        <f t="shared" si="9"/>
        <v>0.99853372434017595</v>
      </c>
      <c r="O128" s="157">
        <f t="shared" si="10"/>
        <v>0.99853372434017595</v>
      </c>
      <c r="P128" s="13" t="s">
        <v>702</v>
      </c>
    </row>
    <row r="129" spans="1:16" x14ac:dyDescent="0.25">
      <c r="A129" s="81">
        <v>74</v>
      </c>
      <c r="B129" s="273" t="s">
        <v>654</v>
      </c>
      <c r="C129" s="273"/>
      <c r="D129" s="214">
        <v>1156</v>
      </c>
      <c r="E129" s="214">
        <v>1237</v>
      </c>
      <c r="F129" s="214">
        <v>0</v>
      </c>
      <c r="G129" s="214">
        <v>0</v>
      </c>
      <c r="H129" s="214">
        <v>0</v>
      </c>
      <c r="I129" s="214">
        <f t="shared" si="11"/>
        <v>0</v>
      </c>
      <c r="J129" s="214">
        <v>0</v>
      </c>
      <c r="K129" s="214">
        <f t="shared" si="6"/>
        <v>1237</v>
      </c>
      <c r="L129" s="215">
        <f t="shared" si="7"/>
        <v>0</v>
      </c>
      <c r="M129" s="157">
        <f t="shared" si="8"/>
        <v>0</v>
      </c>
      <c r="N129" s="157">
        <f t="shared" si="9"/>
        <v>1</v>
      </c>
      <c r="O129" s="157">
        <f t="shared" si="10"/>
        <v>1</v>
      </c>
      <c r="P129" s="13" t="s">
        <v>54</v>
      </c>
    </row>
    <row r="130" spans="1:16" x14ac:dyDescent="0.25">
      <c r="A130" s="81">
        <v>75</v>
      </c>
      <c r="B130" s="273" t="s">
        <v>655</v>
      </c>
      <c r="C130" s="273"/>
      <c r="D130" s="214">
        <v>1826</v>
      </c>
      <c r="E130" s="214">
        <v>1813</v>
      </c>
      <c r="F130" s="214">
        <v>0</v>
      </c>
      <c r="G130" s="214">
        <v>0</v>
      </c>
      <c r="H130" s="214">
        <v>0</v>
      </c>
      <c r="I130" s="214">
        <f t="shared" si="11"/>
        <v>0</v>
      </c>
      <c r="J130" s="214">
        <v>0</v>
      </c>
      <c r="K130" s="214">
        <f t="shared" si="6"/>
        <v>1813</v>
      </c>
      <c r="L130" s="215">
        <f t="shared" si="7"/>
        <v>0</v>
      </c>
      <c r="M130" s="157">
        <f t="shared" si="8"/>
        <v>0</v>
      </c>
      <c r="N130" s="157">
        <f t="shared" si="9"/>
        <v>1</v>
      </c>
      <c r="O130" s="157">
        <f t="shared" si="10"/>
        <v>1</v>
      </c>
      <c r="P130" s="13" t="s">
        <v>54</v>
      </c>
    </row>
    <row r="131" spans="1:16" ht="15" customHeight="1" x14ac:dyDescent="0.25">
      <c r="A131" s="81">
        <v>76</v>
      </c>
      <c r="B131" s="273" t="s">
        <v>656</v>
      </c>
      <c r="C131" s="273"/>
      <c r="D131" s="214">
        <v>0</v>
      </c>
      <c r="E131" s="214">
        <v>61</v>
      </c>
      <c r="F131" s="214">
        <v>0</v>
      </c>
      <c r="G131" s="214">
        <v>0</v>
      </c>
      <c r="H131" s="214">
        <v>0</v>
      </c>
      <c r="I131" s="214">
        <f t="shared" si="11"/>
        <v>0</v>
      </c>
      <c r="J131" s="214">
        <v>0</v>
      </c>
      <c r="K131" s="214">
        <f t="shared" si="6"/>
        <v>61</v>
      </c>
      <c r="L131" s="215">
        <f t="shared" si="7"/>
        <v>0</v>
      </c>
      <c r="M131" s="157">
        <f t="shared" si="8"/>
        <v>0</v>
      </c>
      <c r="N131" s="157">
        <f t="shared" si="9"/>
        <v>1</v>
      </c>
      <c r="O131" s="157">
        <f t="shared" si="10"/>
        <v>1</v>
      </c>
      <c r="P131" s="13" t="s">
        <v>54</v>
      </c>
    </row>
    <row r="132" spans="1:16" s="187" customFormat="1" x14ac:dyDescent="0.25">
      <c r="A132" s="81">
        <v>77</v>
      </c>
      <c r="B132" s="273" t="s">
        <v>657</v>
      </c>
      <c r="C132" s="273"/>
      <c r="D132" s="214">
        <v>30</v>
      </c>
      <c r="E132" s="214">
        <v>22</v>
      </c>
      <c r="F132" s="214">
        <v>0</v>
      </c>
      <c r="G132" s="214">
        <v>0</v>
      </c>
      <c r="H132" s="214">
        <v>0</v>
      </c>
      <c r="I132" s="214">
        <f t="shared" si="11"/>
        <v>0</v>
      </c>
      <c r="J132" s="214">
        <v>0</v>
      </c>
      <c r="K132" s="214">
        <f t="shared" si="6"/>
        <v>22</v>
      </c>
      <c r="L132" s="215">
        <f t="shared" si="7"/>
        <v>0</v>
      </c>
      <c r="M132" s="157">
        <f t="shared" si="8"/>
        <v>0</v>
      </c>
      <c r="N132" s="157">
        <f t="shared" si="9"/>
        <v>1</v>
      </c>
      <c r="O132" s="157">
        <f t="shared" si="10"/>
        <v>1</v>
      </c>
      <c r="P132" s="13" t="s">
        <v>54</v>
      </c>
    </row>
    <row r="133" spans="1:16" ht="15.75" customHeight="1" x14ac:dyDescent="0.25">
      <c r="A133" s="81">
        <v>78</v>
      </c>
      <c r="B133" s="273" t="s">
        <v>658</v>
      </c>
      <c r="C133" s="273"/>
      <c r="D133" s="214">
        <v>16</v>
      </c>
      <c r="E133" s="214">
        <v>0</v>
      </c>
      <c r="F133" s="214">
        <v>0</v>
      </c>
      <c r="G133" s="214">
        <v>0</v>
      </c>
      <c r="H133" s="214">
        <v>0</v>
      </c>
      <c r="I133" s="214">
        <f t="shared" si="11"/>
        <v>0</v>
      </c>
      <c r="J133" s="214">
        <v>0</v>
      </c>
      <c r="K133" s="214">
        <f t="shared" si="6"/>
        <v>0</v>
      </c>
      <c r="L133" s="215" t="e">
        <f t="shared" si="7"/>
        <v>#DIV/0!</v>
      </c>
      <c r="M133" s="157" t="e">
        <f t="shared" si="8"/>
        <v>#DIV/0!</v>
      </c>
      <c r="N133" s="157" t="e">
        <f t="shared" si="9"/>
        <v>#DIV/0!</v>
      </c>
      <c r="O133" s="157" t="e">
        <f t="shared" si="10"/>
        <v>#DIV/0!</v>
      </c>
      <c r="P133" s="13" t="s">
        <v>54</v>
      </c>
    </row>
    <row r="134" spans="1:16" ht="15.75" customHeight="1" x14ac:dyDescent="0.25">
      <c r="A134" s="81">
        <v>79</v>
      </c>
      <c r="B134" s="273" t="s">
        <v>659</v>
      </c>
      <c r="C134" s="273"/>
      <c r="D134" s="214">
        <v>4</v>
      </c>
      <c r="E134" s="214">
        <v>6</v>
      </c>
      <c r="F134" s="214">
        <v>0</v>
      </c>
      <c r="G134" s="214">
        <v>0</v>
      </c>
      <c r="H134" s="214">
        <v>0</v>
      </c>
      <c r="I134" s="214">
        <f t="shared" si="11"/>
        <v>0</v>
      </c>
      <c r="J134" s="214">
        <v>0</v>
      </c>
      <c r="K134" s="214">
        <f t="shared" si="6"/>
        <v>6</v>
      </c>
      <c r="L134" s="215">
        <f t="shared" si="7"/>
        <v>0</v>
      </c>
      <c r="M134" s="157">
        <f t="shared" si="8"/>
        <v>0</v>
      </c>
      <c r="N134" s="157">
        <f t="shared" si="9"/>
        <v>1</v>
      </c>
      <c r="O134" s="157">
        <f t="shared" si="10"/>
        <v>1</v>
      </c>
      <c r="P134" s="13" t="s">
        <v>54</v>
      </c>
    </row>
    <row r="135" spans="1:16" x14ac:dyDescent="0.25">
      <c r="A135" s="81">
        <v>80</v>
      </c>
      <c r="B135" s="273" t="s">
        <v>660</v>
      </c>
      <c r="C135" s="273"/>
      <c r="D135" s="214">
        <v>176</v>
      </c>
      <c r="E135" s="214">
        <v>613</v>
      </c>
      <c r="F135" s="214">
        <v>0</v>
      </c>
      <c r="G135" s="214">
        <v>0</v>
      </c>
      <c r="H135" s="214">
        <v>0</v>
      </c>
      <c r="I135" s="214">
        <f t="shared" ref="I135:I169" si="12">F135+G135+H135+H135</f>
        <v>0</v>
      </c>
      <c r="J135" s="214">
        <v>0</v>
      </c>
      <c r="K135" s="214">
        <f t="shared" ref="K135:K169" si="13">E135-I135</f>
        <v>613</v>
      </c>
      <c r="L135" s="215">
        <f t="shared" ref="L135:L169" si="14">(I135/E135)</f>
        <v>0</v>
      </c>
      <c r="M135" s="157">
        <f t="shared" ref="M135:M169" si="15">J135/E135</f>
        <v>0</v>
      </c>
      <c r="N135" s="157">
        <f t="shared" ref="N135:N169" si="16">K135/E135</f>
        <v>1</v>
      </c>
      <c r="O135" s="157">
        <f t="shared" ref="O135:O169" si="17">M135+N135</f>
        <v>1</v>
      </c>
      <c r="P135" s="13" t="s">
        <v>54</v>
      </c>
    </row>
    <row r="136" spans="1:16" x14ac:dyDescent="0.25">
      <c r="A136" s="81">
        <v>81</v>
      </c>
      <c r="B136" s="273" t="s">
        <v>661</v>
      </c>
      <c r="C136" s="273"/>
      <c r="D136" s="214">
        <v>246</v>
      </c>
      <c r="E136" s="214">
        <v>192</v>
      </c>
      <c r="F136" s="214">
        <v>0</v>
      </c>
      <c r="G136" s="214">
        <v>0</v>
      </c>
      <c r="H136" s="214">
        <v>0</v>
      </c>
      <c r="I136" s="214">
        <f t="shared" si="12"/>
        <v>0</v>
      </c>
      <c r="J136" s="214">
        <v>0</v>
      </c>
      <c r="K136" s="214">
        <f t="shared" si="13"/>
        <v>192</v>
      </c>
      <c r="L136" s="215">
        <f t="shared" si="14"/>
        <v>0</v>
      </c>
      <c r="M136" s="157">
        <f t="shared" si="15"/>
        <v>0</v>
      </c>
      <c r="N136" s="157">
        <f t="shared" si="16"/>
        <v>1</v>
      </c>
      <c r="O136" s="157">
        <f t="shared" si="17"/>
        <v>1</v>
      </c>
      <c r="P136" s="13" t="s">
        <v>54</v>
      </c>
    </row>
    <row r="137" spans="1:16" x14ac:dyDescent="0.25">
      <c r="A137" s="81">
        <v>82</v>
      </c>
      <c r="B137" s="273" t="s">
        <v>662</v>
      </c>
      <c r="C137" s="273"/>
      <c r="D137" s="214">
        <v>0</v>
      </c>
      <c r="E137" s="214">
        <v>0</v>
      </c>
      <c r="F137" s="214">
        <v>0</v>
      </c>
      <c r="G137" s="214">
        <v>0</v>
      </c>
      <c r="H137" s="214">
        <v>0</v>
      </c>
      <c r="I137" s="214">
        <f t="shared" si="12"/>
        <v>0</v>
      </c>
      <c r="J137" s="214">
        <v>0</v>
      </c>
      <c r="K137" s="214">
        <f t="shared" si="13"/>
        <v>0</v>
      </c>
      <c r="L137" s="215" t="e">
        <f t="shared" si="14"/>
        <v>#DIV/0!</v>
      </c>
      <c r="M137" s="157" t="e">
        <f t="shared" si="15"/>
        <v>#DIV/0!</v>
      </c>
      <c r="N137" s="157" t="e">
        <f t="shared" si="16"/>
        <v>#DIV/0!</v>
      </c>
      <c r="O137" s="157" t="e">
        <f t="shared" si="17"/>
        <v>#DIV/0!</v>
      </c>
      <c r="P137" s="13" t="s">
        <v>54</v>
      </c>
    </row>
    <row r="138" spans="1:16" ht="15.75" customHeight="1" x14ac:dyDescent="0.25">
      <c r="A138" s="81">
        <v>83</v>
      </c>
      <c r="B138" s="273" t="s">
        <v>663</v>
      </c>
      <c r="C138" s="273"/>
      <c r="D138" s="214">
        <v>0</v>
      </c>
      <c r="E138" s="214">
        <v>0</v>
      </c>
      <c r="F138" s="214">
        <v>0</v>
      </c>
      <c r="G138" s="214">
        <v>0</v>
      </c>
      <c r="H138" s="214">
        <v>0</v>
      </c>
      <c r="I138" s="214">
        <f t="shared" si="12"/>
        <v>0</v>
      </c>
      <c r="J138" s="214">
        <v>0</v>
      </c>
      <c r="K138" s="214">
        <f t="shared" si="13"/>
        <v>0</v>
      </c>
      <c r="L138" s="215" t="e">
        <f t="shared" si="14"/>
        <v>#DIV/0!</v>
      </c>
      <c r="M138" s="157" t="e">
        <f t="shared" si="15"/>
        <v>#DIV/0!</v>
      </c>
      <c r="N138" s="157" t="e">
        <f t="shared" si="16"/>
        <v>#DIV/0!</v>
      </c>
      <c r="O138" s="157" t="e">
        <f t="shared" si="17"/>
        <v>#DIV/0!</v>
      </c>
      <c r="P138" s="13" t="s">
        <v>54</v>
      </c>
    </row>
    <row r="139" spans="1:16" ht="15" customHeight="1" x14ac:dyDescent="0.25">
      <c r="A139" s="81">
        <v>84</v>
      </c>
      <c r="B139" s="273" t="s">
        <v>664</v>
      </c>
      <c r="C139" s="273"/>
      <c r="D139" s="214">
        <v>14</v>
      </c>
      <c r="E139" s="214">
        <v>3</v>
      </c>
      <c r="F139" s="214">
        <v>0</v>
      </c>
      <c r="G139" s="214">
        <v>0</v>
      </c>
      <c r="H139" s="214">
        <v>0</v>
      </c>
      <c r="I139" s="214">
        <f t="shared" si="12"/>
        <v>0</v>
      </c>
      <c r="J139" s="214">
        <v>0</v>
      </c>
      <c r="K139" s="214">
        <f t="shared" si="13"/>
        <v>3</v>
      </c>
      <c r="L139" s="215">
        <f t="shared" si="14"/>
        <v>0</v>
      </c>
      <c r="M139" s="157">
        <f t="shared" si="15"/>
        <v>0</v>
      </c>
      <c r="N139" s="157">
        <f t="shared" si="16"/>
        <v>1</v>
      </c>
      <c r="O139" s="157">
        <f t="shared" si="17"/>
        <v>1</v>
      </c>
      <c r="P139" s="13" t="s">
        <v>54</v>
      </c>
    </row>
    <row r="140" spans="1:16" ht="15.75" customHeight="1" x14ac:dyDescent="0.25">
      <c r="A140" s="81">
        <v>85</v>
      </c>
      <c r="B140" s="273" t="s">
        <v>665</v>
      </c>
      <c r="C140" s="273"/>
      <c r="D140" s="214">
        <v>47</v>
      </c>
      <c r="E140" s="214">
        <v>49</v>
      </c>
      <c r="F140" s="214">
        <v>0</v>
      </c>
      <c r="G140" s="214">
        <v>0</v>
      </c>
      <c r="H140" s="214">
        <v>0</v>
      </c>
      <c r="I140" s="214">
        <f t="shared" si="12"/>
        <v>0</v>
      </c>
      <c r="J140" s="214">
        <v>0</v>
      </c>
      <c r="K140" s="214">
        <f t="shared" si="13"/>
        <v>49</v>
      </c>
      <c r="L140" s="215">
        <f t="shared" si="14"/>
        <v>0</v>
      </c>
      <c r="M140" s="157">
        <f t="shared" si="15"/>
        <v>0</v>
      </c>
      <c r="N140" s="157">
        <f t="shared" si="16"/>
        <v>1</v>
      </c>
      <c r="O140" s="157">
        <f t="shared" si="17"/>
        <v>1</v>
      </c>
      <c r="P140" s="13" t="s">
        <v>54</v>
      </c>
    </row>
    <row r="141" spans="1:16" ht="15.75" customHeight="1" x14ac:dyDescent="0.25">
      <c r="A141" s="81">
        <v>86</v>
      </c>
      <c r="B141" s="273" t="s">
        <v>666</v>
      </c>
      <c r="C141" s="273"/>
      <c r="D141" s="214">
        <v>0</v>
      </c>
      <c r="E141" s="214">
        <v>0</v>
      </c>
      <c r="F141" s="214">
        <v>0</v>
      </c>
      <c r="G141" s="214">
        <v>0</v>
      </c>
      <c r="H141" s="214">
        <v>0</v>
      </c>
      <c r="I141" s="214">
        <f t="shared" si="12"/>
        <v>0</v>
      </c>
      <c r="J141" s="214">
        <v>0</v>
      </c>
      <c r="K141" s="214">
        <f t="shared" si="13"/>
        <v>0</v>
      </c>
      <c r="L141" s="215" t="e">
        <f t="shared" si="14"/>
        <v>#DIV/0!</v>
      </c>
      <c r="M141" s="157" t="e">
        <f t="shared" si="15"/>
        <v>#DIV/0!</v>
      </c>
      <c r="N141" s="157" t="e">
        <f t="shared" si="16"/>
        <v>#DIV/0!</v>
      </c>
      <c r="O141" s="157" t="e">
        <f t="shared" si="17"/>
        <v>#DIV/0!</v>
      </c>
      <c r="P141" s="13" t="s">
        <v>54</v>
      </c>
    </row>
    <row r="142" spans="1:16" ht="15.75" customHeight="1" x14ac:dyDescent="0.25">
      <c r="A142" s="81">
        <v>87</v>
      </c>
      <c r="B142" s="273" t="s">
        <v>667</v>
      </c>
      <c r="C142" s="273"/>
      <c r="D142" s="214">
        <v>55</v>
      </c>
      <c r="E142" s="214">
        <v>35</v>
      </c>
      <c r="F142" s="214">
        <v>0</v>
      </c>
      <c r="G142" s="214">
        <v>0</v>
      </c>
      <c r="H142" s="214">
        <v>0</v>
      </c>
      <c r="I142" s="214">
        <f t="shared" si="12"/>
        <v>0</v>
      </c>
      <c r="J142" s="214">
        <v>0</v>
      </c>
      <c r="K142" s="214">
        <f t="shared" si="13"/>
        <v>35</v>
      </c>
      <c r="L142" s="215">
        <f t="shared" si="14"/>
        <v>0</v>
      </c>
      <c r="M142" s="157">
        <f t="shared" si="15"/>
        <v>0</v>
      </c>
      <c r="N142" s="157">
        <f t="shared" si="16"/>
        <v>1</v>
      </c>
      <c r="O142" s="157">
        <f t="shared" si="17"/>
        <v>1</v>
      </c>
      <c r="P142" s="13" t="s">
        <v>54</v>
      </c>
    </row>
    <row r="143" spans="1:16" ht="15.75" customHeight="1" x14ac:dyDescent="0.25">
      <c r="A143" s="81">
        <v>88</v>
      </c>
      <c r="B143" s="273" t="s">
        <v>668</v>
      </c>
      <c r="C143" s="273"/>
      <c r="D143" s="214">
        <v>7</v>
      </c>
      <c r="E143" s="214">
        <v>11</v>
      </c>
      <c r="F143" s="214">
        <v>0</v>
      </c>
      <c r="G143" s="214">
        <v>0</v>
      </c>
      <c r="H143" s="214">
        <v>0</v>
      </c>
      <c r="I143" s="214">
        <f t="shared" si="12"/>
        <v>0</v>
      </c>
      <c r="J143" s="214">
        <v>0</v>
      </c>
      <c r="K143" s="214">
        <f t="shared" si="13"/>
        <v>11</v>
      </c>
      <c r="L143" s="215">
        <f t="shared" si="14"/>
        <v>0</v>
      </c>
      <c r="M143" s="157">
        <f t="shared" si="15"/>
        <v>0</v>
      </c>
      <c r="N143" s="157">
        <f t="shared" si="16"/>
        <v>1</v>
      </c>
      <c r="O143" s="157">
        <f t="shared" si="17"/>
        <v>1</v>
      </c>
      <c r="P143" s="13" t="s">
        <v>54</v>
      </c>
    </row>
    <row r="144" spans="1:16" s="154" customFormat="1" ht="66" customHeight="1" x14ac:dyDescent="0.25">
      <c r="A144" s="81">
        <v>89</v>
      </c>
      <c r="B144" s="273" t="s">
        <v>669</v>
      </c>
      <c r="C144" s="273"/>
      <c r="D144" s="214">
        <v>80</v>
      </c>
      <c r="E144" s="214">
        <v>80</v>
      </c>
      <c r="F144" s="214">
        <v>0</v>
      </c>
      <c r="G144" s="214">
        <v>0</v>
      </c>
      <c r="H144" s="214"/>
      <c r="I144" s="214">
        <v>5</v>
      </c>
      <c r="J144" s="214">
        <v>0</v>
      </c>
      <c r="K144" s="214">
        <f t="shared" si="13"/>
        <v>75</v>
      </c>
      <c r="L144" s="215">
        <f t="shared" si="14"/>
        <v>6.25E-2</v>
      </c>
      <c r="M144" s="157">
        <f t="shared" si="15"/>
        <v>0</v>
      </c>
      <c r="N144" s="157">
        <f t="shared" si="16"/>
        <v>0.9375</v>
      </c>
      <c r="O144" s="157">
        <f t="shared" si="17"/>
        <v>0.9375</v>
      </c>
      <c r="P144" s="7" t="s">
        <v>703</v>
      </c>
    </row>
    <row r="145" spans="1:16" ht="15.75" customHeight="1" x14ac:dyDescent="0.25">
      <c r="A145" s="81">
        <v>90</v>
      </c>
      <c r="B145" s="273" t="s">
        <v>670</v>
      </c>
      <c r="C145" s="273"/>
      <c r="D145" s="214">
        <v>0</v>
      </c>
      <c r="E145" s="214">
        <v>0</v>
      </c>
      <c r="F145" s="214">
        <v>0</v>
      </c>
      <c r="G145" s="214">
        <v>0</v>
      </c>
      <c r="H145" s="214">
        <v>0</v>
      </c>
      <c r="I145" s="214">
        <f t="shared" si="12"/>
        <v>0</v>
      </c>
      <c r="J145" s="214">
        <v>0</v>
      </c>
      <c r="K145" s="214">
        <f t="shared" si="13"/>
        <v>0</v>
      </c>
      <c r="L145" s="215" t="e">
        <f t="shared" si="14"/>
        <v>#DIV/0!</v>
      </c>
      <c r="M145" s="157" t="e">
        <f t="shared" si="15"/>
        <v>#DIV/0!</v>
      </c>
      <c r="N145" s="157" t="e">
        <f t="shared" si="16"/>
        <v>#DIV/0!</v>
      </c>
      <c r="O145" s="157" t="e">
        <f t="shared" si="17"/>
        <v>#DIV/0!</v>
      </c>
      <c r="P145" s="13"/>
    </row>
    <row r="146" spans="1:16" x14ac:dyDescent="0.25">
      <c r="A146" s="81">
        <v>91</v>
      </c>
      <c r="B146" s="273" t="s">
        <v>671</v>
      </c>
      <c r="C146" s="273"/>
      <c r="D146" s="214">
        <v>0</v>
      </c>
      <c r="E146" s="214">
        <v>0</v>
      </c>
      <c r="F146" s="214">
        <v>0</v>
      </c>
      <c r="G146" s="214">
        <v>0</v>
      </c>
      <c r="H146" s="214">
        <v>0</v>
      </c>
      <c r="I146" s="214">
        <f t="shared" si="12"/>
        <v>0</v>
      </c>
      <c r="J146" s="214">
        <v>0</v>
      </c>
      <c r="K146" s="214">
        <f t="shared" si="13"/>
        <v>0</v>
      </c>
      <c r="L146" s="215" t="e">
        <f t="shared" si="14"/>
        <v>#DIV/0!</v>
      </c>
      <c r="M146" s="157" t="e">
        <f t="shared" si="15"/>
        <v>#DIV/0!</v>
      </c>
      <c r="N146" s="157" t="e">
        <f t="shared" si="16"/>
        <v>#DIV/0!</v>
      </c>
      <c r="O146" s="157" t="e">
        <f t="shared" si="17"/>
        <v>#DIV/0!</v>
      </c>
      <c r="P146" s="13" t="s">
        <v>54</v>
      </c>
    </row>
    <row r="147" spans="1:16" x14ac:dyDescent="0.25">
      <c r="A147" s="81">
        <v>92</v>
      </c>
      <c r="B147" s="273" t="s">
        <v>672</v>
      </c>
      <c r="C147" s="273"/>
      <c r="D147" s="214">
        <v>0</v>
      </c>
      <c r="E147" s="214">
        <v>0</v>
      </c>
      <c r="F147" s="214">
        <v>0</v>
      </c>
      <c r="G147" s="214">
        <v>0</v>
      </c>
      <c r="H147" s="214">
        <v>0</v>
      </c>
      <c r="I147" s="214">
        <f t="shared" si="12"/>
        <v>0</v>
      </c>
      <c r="J147" s="214">
        <v>0</v>
      </c>
      <c r="K147" s="214">
        <f t="shared" si="13"/>
        <v>0</v>
      </c>
      <c r="L147" s="215" t="e">
        <f t="shared" si="14"/>
        <v>#DIV/0!</v>
      </c>
      <c r="M147" s="157" t="e">
        <f t="shared" si="15"/>
        <v>#DIV/0!</v>
      </c>
      <c r="N147" s="157" t="e">
        <f t="shared" si="16"/>
        <v>#DIV/0!</v>
      </c>
      <c r="O147" s="157" t="e">
        <f t="shared" si="17"/>
        <v>#DIV/0!</v>
      </c>
      <c r="P147" s="13" t="s">
        <v>54</v>
      </c>
    </row>
    <row r="148" spans="1:16" x14ac:dyDescent="0.25">
      <c r="A148" s="81">
        <v>93</v>
      </c>
      <c r="B148" s="273" t="s">
        <v>673</v>
      </c>
      <c r="C148" s="273"/>
      <c r="D148" s="214">
        <v>0</v>
      </c>
      <c r="E148" s="214">
        <v>0</v>
      </c>
      <c r="F148" s="214">
        <v>0</v>
      </c>
      <c r="G148" s="214">
        <v>0</v>
      </c>
      <c r="H148" s="214">
        <v>0</v>
      </c>
      <c r="I148" s="214">
        <f t="shared" si="12"/>
        <v>0</v>
      </c>
      <c r="J148" s="214">
        <v>0</v>
      </c>
      <c r="K148" s="214">
        <f t="shared" si="13"/>
        <v>0</v>
      </c>
      <c r="L148" s="215" t="e">
        <f t="shared" si="14"/>
        <v>#DIV/0!</v>
      </c>
      <c r="M148" s="157" t="e">
        <f t="shared" si="15"/>
        <v>#DIV/0!</v>
      </c>
      <c r="N148" s="157" t="e">
        <f t="shared" si="16"/>
        <v>#DIV/0!</v>
      </c>
      <c r="O148" s="157" t="e">
        <f t="shared" si="17"/>
        <v>#DIV/0!</v>
      </c>
      <c r="P148" s="13" t="s">
        <v>54</v>
      </c>
    </row>
    <row r="149" spans="1:16" ht="15.75" customHeight="1" x14ac:dyDescent="0.25">
      <c r="A149" s="81">
        <v>94</v>
      </c>
      <c r="B149" s="273" t="s">
        <v>674</v>
      </c>
      <c r="C149" s="273"/>
      <c r="D149" s="214">
        <v>0</v>
      </c>
      <c r="E149" s="214">
        <v>0</v>
      </c>
      <c r="F149" s="214">
        <v>0</v>
      </c>
      <c r="G149" s="214">
        <v>0</v>
      </c>
      <c r="H149" s="214">
        <v>0</v>
      </c>
      <c r="I149" s="214">
        <f t="shared" si="12"/>
        <v>0</v>
      </c>
      <c r="J149" s="214">
        <v>0</v>
      </c>
      <c r="K149" s="214">
        <f t="shared" si="13"/>
        <v>0</v>
      </c>
      <c r="L149" s="215" t="e">
        <f t="shared" si="14"/>
        <v>#DIV/0!</v>
      </c>
      <c r="M149" s="157" t="e">
        <f t="shared" si="15"/>
        <v>#DIV/0!</v>
      </c>
      <c r="N149" s="157" t="e">
        <f t="shared" si="16"/>
        <v>#DIV/0!</v>
      </c>
      <c r="O149" s="157" t="e">
        <f t="shared" si="17"/>
        <v>#DIV/0!</v>
      </c>
      <c r="P149" s="13" t="s">
        <v>54</v>
      </c>
    </row>
    <row r="150" spans="1:16" s="3" customFormat="1" ht="15" customHeight="1" x14ac:dyDescent="0.25">
      <c r="A150" s="81">
        <v>95</v>
      </c>
      <c r="B150" s="273" t="s">
        <v>675</v>
      </c>
      <c r="C150" s="273"/>
      <c r="D150" s="214">
        <v>0</v>
      </c>
      <c r="E150" s="214">
        <v>0</v>
      </c>
      <c r="F150" s="214">
        <v>0</v>
      </c>
      <c r="G150" s="214">
        <v>0</v>
      </c>
      <c r="H150" s="214">
        <v>0</v>
      </c>
      <c r="I150" s="214">
        <f t="shared" si="12"/>
        <v>0</v>
      </c>
      <c r="J150" s="214">
        <v>0</v>
      </c>
      <c r="K150" s="214">
        <f t="shared" si="13"/>
        <v>0</v>
      </c>
      <c r="L150" s="215" t="e">
        <f t="shared" si="14"/>
        <v>#DIV/0!</v>
      </c>
      <c r="M150" s="157" t="e">
        <f t="shared" si="15"/>
        <v>#DIV/0!</v>
      </c>
      <c r="N150" s="157" t="e">
        <f t="shared" si="16"/>
        <v>#DIV/0!</v>
      </c>
      <c r="O150" s="157" t="e">
        <f t="shared" si="17"/>
        <v>#DIV/0!</v>
      </c>
      <c r="P150" s="13" t="s">
        <v>54</v>
      </c>
    </row>
    <row r="151" spans="1:16" s="154" customFormat="1" x14ac:dyDescent="0.25">
      <c r="A151" s="81">
        <v>96</v>
      </c>
      <c r="B151" s="273" t="s">
        <v>676</v>
      </c>
      <c r="C151" s="273"/>
      <c r="D151" s="214">
        <v>60</v>
      </c>
      <c r="E151" s="214">
        <v>139</v>
      </c>
      <c r="F151" s="214">
        <v>0</v>
      </c>
      <c r="G151" s="214">
        <v>0</v>
      </c>
      <c r="H151" s="214">
        <v>0</v>
      </c>
      <c r="I151" s="214">
        <f t="shared" si="12"/>
        <v>0</v>
      </c>
      <c r="J151" s="214">
        <v>0</v>
      </c>
      <c r="K151" s="214">
        <f t="shared" si="13"/>
        <v>139</v>
      </c>
      <c r="L151" s="215">
        <f t="shared" si="14"/>
        <v>0</v>
      </c>
      <c r="M151" s="157">
        <f t="shared" si="15"/>
        <v>0</v>
      </c>
      <c r="N151" s="157">
        <f t="shared" si="16"/>
        <v>1</v>
      </c>
      <c r="O151" s="157">
        <f t="shared" si="17"/>
        <v>1</v>
      </c>
      <c r="P151" s="13" t="s">
        <v>54</v>
      </c>
    </row>
    <row r="152" spans="1:16" s="154" customFormat="1" ht="17.25" customHeight="1" x14ac:dyDescent="0.25">
      <c r="A152" s="81">
        <v>97</v>
      </c>
      <c r="B152" s="273" t="s">
        <v>677</v>
      </c>
      <c r="C152" s="273"/>
      <c r="D152" s="214">
        <v>0</v>
      </c>
      <c r="E152" s="214">
        <v>0</v>
      </c>
      <c r="F152" s="214">
        <v>0</v>
      </c>
      <c r="G152" s="214">
        <v>0</v>
      </c>
      <c r="H152" s="214">
        <v>0</v>
      </c>
      <c r="I152" s="214">
        <f t="shared" si="12"/>
        <v>0</v>
      </c>
      <c r="J152" s="214">
        <v>0</v>
      </c>
      <c r="K152" s="214">
        <f t="shared" si="13"/>
        <v>0</v>
      </c>
      <c r="L152" s="215" t="e">
        <f t="shared" si="14"/>
        <v>#DIV/0!</v>
      </c>
      <c r="M152" s="157" t="e">
        <f t="shared" si="15"/>
        <v>#DIV/0!</v>
      </c>
      <c r="N152" s="157" t="e">
        <f t="shared" si="16"/>
        <v>#DIV/0!</v>
      </c>
      <c r="O152" s="157" t="e">
        <f t="shared" si="17"/>
        <v>#DIV/0!</v>
      </c>
      <c r="P152" s="13" t="s">
        <v>54</v>
      </c>
    </row>
    <row r="153" spans="1:16" x14ac:dyDescent="0.25">
      <c r="A153" s="81">
        <v>98</v>
      </c>
      <c r="B153" s="273" t="s">
        <v>678</v>
      </c>
      <c r="C153" s="273"/>
      <c r="D153" s="214"/>
      <c r="E153" s="214">
        <v>1789</v>
      </c>
      <c r="F153" s="214">
        <v>15</v>
      </c>
      <c r="G153" s="214">
        <v>0</v>
      </c>
      <c r="H153" s="214">
        <v>0</v>
      </c>
      <c r="I153" s="214">
        <f t="shared" si="12"/>
        <v>15</v>
      </c>
      <c r="J153" s="214">
        <v>0</v>
      </c>
      <c r="K153" s="214">
        <f t="shared" si="13"/>
        <v>1774</v>
      </c>
      <c r="L153" s="215">
        <f t="shared" si="14"/>
        <v>8.3845723868082728E-3</v>
      </c>
      <c r="M153" s="157">
        <f t="shared" si="15"/>
        <v>0</v>
      </c>
      <c r="N153" s="157">
        <f t="shared" si="16"/>
        <v>0.99161542761319177</v>
      </c>
      <c r="O153" s="157">
        <f t="shared" si="17"/>
        <v>0.99161542761319177</v>
      </c>
      <c r="P153" s="13"/>
    </row>
    <row r="154" spans="1:16" x14ac:dyDescent="0.25">
      <c r="A154" s="81">
        <v>99</v>
      </c>
      <c r="B154" s="273" t="s">
        <v>679</v>
      </c>
      <c r="C154" s="273"/>
      <c r="D154" s="214"/>
      <c r="E154" s="214">
        <v>64</v>
      </c>
      <c r="F154" s="214"/>
      <c r="G154" s="214">
        <v>0</v>
      </c>
      <c r="H154" s="214">
        <v>0</v>
      </c>
      <c r="I154" s="214">
        <f t="shared" si="12"/>
        <v>0</v>
      </c>
      <c r="J154" s="214">
        <v>0</v>
      </c>
      <c r="K154" s="214">
        <f t="shared" si="13"/>
        <v>64</v>
      </c>
      <c r="L154" s="215">
        <f t="shared" si="14"/>
        <v>0</v>
      </c>
      <c r="M154" s="157">
        <f t="shared" si="15"/>
        <v>0</v>
      </c>
      <c r="N154" s="157">
        <f t="shared" si="16"/>
        <v>1</v>
      </c>
      <c r="O154" s="157">
        <f t="shared" si="17"/>
        <v>1</v>
      </c>
      <c r="P154" s="13"/>
    </row>
    <row r="155" spans="1:16" s="154" customFormat="1" x14ac:dyDescent="0.25">
      <c r="A155" s="81">
        <v>100</v>
      </c>
      <c r="B155" s="273" t="s">
        <v>680</v>
      </c>
      <c r="C155" s="273"/>
      <c r="D155" s="214"/>
      <c r="E155" s="214">
        <v>763</v>
      </c>
      <c r="F155" s="214">
        <v>3</v>
      </c>
      <c r="G155" s="214">
        <v>0</v>
      </c>
      <c r="H155" s="214">
        <v>0</v>
      </c>
      <c r="I155" s="214">
        <f t="shared" si="12"/>
        <v>3</v>
      </c>
      <c r="J155" s="214">
        <v>0</v>
      </c>
      <c r="K155" s="214">
        <f t="shared" si="13"/>
        <v>760</v>
      </c>
      <c r="L155" s="215">
        <f t="shared" si="14"/>
        <v>3.9318479685452159E-3</v>
      </c>
      <c r="M155" s="157">
        <f t="shared" si="15"/>
        <v>0</v>
      </c>
      <c r="N155" s="157">
        <f t="shared" si="16"/>
        <v>0.99606815203145482</v>
      </c>
      <c r="O155" s="157">
        <f t="shared" si="17"/>
        <v>0.99606815203145482</v>
      </c>
      <c r="P155" s="13"/>
    </row>
    <row r="156" spans="1:16" x14ac:dyDescent="0.25">
      <c r="A156" s="81">
        <v>101</v>
      </c>
      <c r="B156" s="273" t="s">
        <v>681</v>
      </c>
      <c r="C156" s="273"/>
      <c r="D156" s="214">
        <v>0</v>
      </c>
      <c r="E156" s="214">
        <v>0</v>
      </c>
      <c r="F156" s="214">
        <v>0</v>
      </c>
      <c r="G156" s="214">
        <v>0</v>
      </c>
      <c r="H156" s="214">
        <v>0</v>
      </c>
      <c r="I156" s="214">
        <f t="shared" si="12"/>
        <v>0</v>
      </c>
      <c r="J156" s="214">
        <v>0</v>
      </c>
      <c r="K156" s="214">
        <f t="shared" si="13"/>
        <v>0</v>
      </c>
      <c r="L156" s="215" t="e">
        <f t="shared" si="14"/>
        <v>#DIV/0!</v>
      </c>
      <c r="M156" s="157" t="e">
        <f t="shared" si="15"/>
        <v>#DIV/0!</v>
      </c>
      <c r="N156" s="157" t="e">
        <f t="shared" si="16"/>
        <v>#DIV/0!</v>
      </c>
      <c r="O156" s="157" t="e">
        <f t="shared" si="17"/>
        <v>#DIV/0!</v>
      </c>
      <c r="P156" s="13" t="s">
        <v>54</v>
      </c>
    </row>
    <row r="157" spans="1:16" x14ac:dyDescent="0.25">
      <c r="A157" s="81">
        <v>102</v>
      </c>
      <c r="B157" s="273" t="s">
        <v>682</v>
      </c>
      <c r="C157" s="273"/>
      <c r="D157" s="214">
        <v>0</v>
      </c>
      <c r="E157" s="214">
        <v>0</v>
      </c>
      <c r="F157" s="214">
        <v>0</v>
      </c>
      <c r="G157" s="214">
        <v>0</v>
      </c>
      <c r="H157" s="214">
        <v>0</v>
      </c>
      <c r="I157" s="214">
        <f t="shared" si="12"/>
        <v>0</v>
      </c>
      <c r="J157" s="214">
        <v>0</v>
      </c>
      <c r="K157" s="214">
        <f t="shared" si="13"/>
        <v>0</v>
      </c>
      <c r="L157" s="215" t="e">
        <f t="shared" si="14"/>
        <v>#DIV/0!</v>
      </c>
      <c r="M157" s="157" t="e">
        <f t="shared" si="15"/>
        <v>#DIV/0!</v>
      </c>
      <c r="N157" s="157" t="e">
        <f t="shared" si="16"/>
        <v>#DIV/0!</v>
      </c>
      <c r="O157" s="157" t="e">
        <f t="shared" si="17"/>
        <v>#DIV/0!</v>
      </c>
      <c r="P157" s="13" t="s">
        <v>54</v>
      </c>
    </row>
    <row r="158" spans="1:16" x14ac:dyDescent="0.25">
      <c r="A158" s="81">
        <v>103</v>
      </c>
      <c r="B158" s="273" t="s">
        <v>683</v>
      </c>
      <c r="C158" s="273"/>
      <c r="D158" s="214">
        <v>0</v>
      </c>
      <c r="E158" s="214">
        <v>0</v>
      </c>
      <c r="F158" s="214">
        <v>0</v>
      </c>
      <c r="G158" s="214">
        <v>0</v>
      </c>
      <c r="H158" s="214">
        <v>0</v>
      </c>
      <c r="I158" s="214">
        <f t="shared" si="12"/>
        <v>0</v>
      </c>
      <c r="J158" s="214">
        <v>0</v>
      </c>
      <c r="K158" s="214">
        <f t="shared" si="13"/>
        <v>0</v>
      </c>
      <c r="L158" s="215" t="e">
        <f t="shared" si="14"/>
        <v>#DIV/0!</v>
      </c>
      <c r="M158" s="157" t="e">
        <f t="shared" si="15"/>
        <v>#DIV/0!</v>
      </c>
      <c r="N158" s="157" t="e">
        <f t="shared" si="16"/>
        <v>#DIV/0!</v>
      </c>
      <c r="O158" s="157" t="e">
        <f t="shared" si="17"/>
        <v>#DIV/0!</v>
      </c>
      <c r="P158" s="13" t="s">
        <v>54</v>
      </c>
    </row>
    <row r="159" spans="1:16" ht="25.5" customHeight="1" x14ac:dyDescent="0.25">
      <c r="A159" s="81">
        <v>104</v>
      </c>
      <c r="B159" s="273" t="s">
        <v>684</v>
      </c>
      <c r="C159" s="273"/>
      <c r="D159" s="214">
        <v>408</v>
      </c>
      <c r="E159" s="214">
        <v>569</v>
      </c>
      <c r="F159" s="214">
        <v>0</v>
      </c>
      <c r="G159" s="214">
        <v>0</v>
      </c>
      <c r="H159" s="214">
        <v>0</v>
      </c>
      <c r="I159" s="214">
        <f t="shared" si="12"/>
        <v>0</v>
      </c>
      <c r="J159" s="214">
        <v>0</v>
      </c>
      <c r="K159" s="214">
        <f t="shared" si="13"/>
        <v>569</v>
      </c>
      <c r="L159" s="215">
        <f t="shared" si="14"/>
        <v>0</v>
      </c>
      <c r="M159" s="157">
        <f t="shared" si="15"/>
        <v>0</v>
      </c>
      <c r="N159" s="157">
        <f t="shared" si="16"/>
        <v>1</v>
      </c>
      <c r="O159" s="157">
        <f t="shared" si="17"/>
        <v>1</v>
      </c>
      <c r="P159" s="13" t="s">
        <v>54</v>
      </c>
    </row>
    <row r="160" spans="1:16" ht="19.5" customHeight="1" x14ac:dyDescent="0.25">
      <c r="A160" s="81">
        <v>105</v>
      </c>
      <c r="B160" s="273" t="s">
        <v>685</v>
      </c>
      <c r="C160" s="273"/>
      <c r="D160" s="214">
        <v>0</v>
      </c>
      <c r="E160" s="214">
        <v>0</v>
      </c>
      <c r="F160" s="214">
        <v>0</v>
      </c>
      <c r="G160" s="214">
        <v>0</v>
      </c>
      <c r="H160" s="214">
        <v>0</v>
      </c>
      <c r="I160" s="214">
        <f t="shared" si="12"/>
        <v>0</v>
      </c>
      <c r="J160" s="214">
        <v>0</v>
      </c>
      <c r="K160" s="214">
        <f t="shared" si="13"/>
        <v>0</v>
      </c>
      <c r="L160" s="215" t="e">
        <f t="shared" si="14"/>
        <v>#DIV/0!</v>
      </c>
      <c r="M160" s="157" t="e">
        <f t="shared" si="15"/>
        <v>#DIV/0!</v>
      </c>
      <c r="N160" s="157" t="e">
        <f t="shared" si="16"/>
        <v>#DIV/0!</v>
      </c>
      <c r="O160" s="157" t="e">
        <f t="shared" si="17"/>
        <v>#DIV/0!</v>
      </c>
      <c r="P160" s="13" t="s">
        <v>54</v>
      </c>
    </row>
    <row r="161" spans="1:16" ht="19.5" customHeight="1" x14ac:dyDescent="0.25">
      <c r="A161" s="81">
        <v>106</v>
      </c>
      <c r="B161" s="273" t="s">
        <v>686</v>
      </c>
      <c r="C161" s="273"/>
      <c r="D161" s="214">
        <v>0</v>
      </c>
      <c r="E161" s="214">
        <v>0</v>
      </c>
      <c r="F161" s="214">
        <v>0</v>
      </c>
      <c r="G161" s="214">
        <v>0</v>
      </c>
      <c r="H161" s="214">
        <v>0</v>
      </c>
      <c r="I161" s="214">
        <f t="shared" si="12"/>
        <v>0</v>
      </c>
      <c r="J161" s="214">
        <v>0</v>
      </c>
      <c r="K161" s="214">
        <f t="shared" si="13"/>
        <v>0</v>
      </c>
      <c r="L161" s="215" t="e">
        <f t="shared" si="14"/>
        <v>#DIV/0!</v>
      </c>
      <c r="M161" s="157" t="e">
        <f t="shared" si="15"/>
        <v>#DIV/0!</v>
      </c>
      <c r="N161" s="157" t="e">
        <f t="shared" si="16"/>
        <v>#DIV/0!</v>
      </c>
      <c r="O161" s="157" t="e">
        <f t="shared" si="17"/>
        <v>#DIV/0!</v>
      </c>
      <c r="P161" s="13" t="s">
        <v>54</v>
      </c>
    </row>
    <row r="162" spans="1:16" ht="19.5" customHeight="1" x14ac:dyDescent="0.25">
      <c r="A162" s="81">
        <v>107</v>
      </c>
      <c r="B162" s="273" t="s">
        <v>687</v>
      </c>
      <c r="C162" s="273"/>
      <c r="D162" s="214">
        <v>0</v>
      </c>
      <c r="E162" s="214">
        <v>0</v>
      </c>
      <c r="F162" s="214">
        <v>0</v>
      </c>
      <c r="G162" s="214">
        <v>0</v>
      </c>
      <c r="H162" s="214">
        <v>0</v>
      </c>
      <c r="I162" s="214">
        <f t="shared" si="12"/>
        <v>0</v>
      </c>
      <c r="J162" s="214">
        <v>0</v>
      </c>
      <c r="K162" s="214">
        <f t="shared" si="13"/>
        <v>0</v>
      </c>
      <c r="L162" s="215" t="e">
        <f t="shared" si="14"/>
        <v>#DIV/0!</v>
      </c>
      <c r="M162" s="157" t="e">
        <f t="shared" si="15"/>
        <v>#DIV/0!</v>
      </c>
      <c r="N162" s="157" t="e">
        <f t="shared" si="16"/>
        <v>#DIV/0!</v>
      </c>
      <c r="O162" s="157" t="e">
        <f t="shared" si="17"/>
        <v>#DIV/0!</v>
      </c>
      <c r="P162" s="13" t="s">
        <v>54</v>
      </c>
    </row>
    <row r="163" spans="1:16" ht="19.5" customHeight="1" x14ac:dyDescent="0.25">
      <c r="A163" s="81">
        <v>108</v>
      </c>
      <c r="B163" s="273" t="s">
        <v>688</v>
      </c>
      <c r="C163" s="273"/>
      <c r="D163" s="214">
        <v>0</v>
      </c>
      <c r="E163" s="214">
        <v>0</v>
      </c>
      <c r="F163" s="214">
        <v>0</v>
      </c>
      <c r="G163" s="214">
        <v>0</v>
      </c>
      <c r="H163" s="214">
        <v>0</v>
      </c>
      <c r="I163" s="214">
        <f t="shared" si="12"/>
        <v>0</v>
      </c>
      <c r="J163" s="214">
        <v>0</v>
      </c>
      <c r="K163" s="214">
        <f t="shared" si="13"/>
        <v>0</v>
      </c>
      <c r="L163" s="215" t="e">
        <f t="shared" si="14"/>
        <v>#DIV/0!</v>
      </c>
      <c r="M163" s="157" t="e">
        <f t="shared" si="15"/>
        <v>#DIV/0!</v>
      </c>
      <c r="N163" s="157" t="e">
        <f t="shared" si="16"/>
        <v>#DIV/0!</v>
      </c>
      <c r="O163" s="157" t="e">
        <f t="shared" si="17"/>
        <v>#DIV/0!</v>
      </c>
      <c r="P163" s="13" t="s">
        <v>54</v>
      </c>
    </row>
    <row r="164" spans="1:16" ht="19.5" customHeight="1" x14ac:dyDescent="0.25">
      <c r="A164" s="81">
        <v>109</v>
      </c>
      <c r="B164" s="273" t="s">
        <v>689</v>
      </c>
      <c r="C164" s="273"/>
      <c r="D164" s="214">
        <v>0</v>
      </c>
      <c r="E164" s="214">
        <v>0</v>
      </c>
      <c r="F164" s="214">
        <v>0</v>
      </c>
      <c r="G164" s="214">
        <v>0</v>
      </c>
      <c r="H164" s="214">
        <v>0</v>
      </c>
      <c r="I164" s="214">
        <f t="shared" si="12"/>
        <v>0</v>
      </c>
      <c r="J164" s="214">
        <v>0</v>
      </c>
      <c r="K164" s="214">
        <f t="shared" si="13"/>
        <v>0</v>
      </c>
      <c r="L164" s="215" t="e">
        <f t="shared" si="14"/>
        <v>#DIV/0!</v>
      </c>
      <c r="M164" s="157" t="e">
        <f t="shared" si="15"/>
        <v>#DIV/0!</v>
      </c>
      <c r="N164" s="157" t="e">
        <f t="shared" si="16"/>
        <v>#DIV/0!</v>
      </c>
      <c r="O164" s="157" t="e">
        <f t="shared" si="17"/>
        <v>#DIV/0!</v>
      </c>
      <c r="P164" s="13" t="s">
        <v>54</v>
      </c>
    </row>
    <row r="165" spans="1:16" ht="19.5" customHeight="1" x14ac:dyDescent="0.25">
      <c r="A165" s="81">
        <v>110</v>
      </c>
      <c r="B165" s="273" t="s">
        <v>690</v>
      </c>
      <c r="C165" s="273"/>
      <c r="D165" s="214">
        <v>0</v>
      </c>
      <c r="E165" s="214">
        <v>0</v>
      </c>
      <c r="F165" s="214">
        <v>0</v>
      </c>
      <c r="G165" s="214">
        <v>0</v>
      </c>
      <c r="H165" s="214">
        <v>0</v>
      </c>
      <c r="I165" s="214">
        <f t="shared" si="12"/>
        <v>0</v>
      </c>
      <c r="J165" s="214">
        <v>0</v>
      </c>
      <c r="K165" s="214">
        <f t="shared" si="13"/>
        <v>0</v>
      </c>
      <c r="L165" s="215" t="e">
        <f t="shared" si="14"/>
        <v>#DIV/0!</v>
      </c>
      <c r="M165" s="157" t="e">
        <f t="shared" si="15"/>
        <v>#DIV/0!</v>
      </c>
      <c r="N165" s="157" t="e">
        <f t="shared" si="16"/>
        <v>#DIV/0!</v>
      </c>
      <c r="O165" s="157" t="e">
        <f t="shared" si="17"/>
        <v>#DIV/0!</v>
      </c>
      <c r="P165" s="13" t="s">
        <v>54</v>
      </c>
    </row>
    <row r="166" spans="1:16" ht="19.5" customHeight="1" x14ac:dyDescent="0.25">
      <c r="A166" s="81">
        <v>111</v>
      </c>
      <c r="B166" s="273" t="s">
        <v>691</v>
      </c>
      <c r="C166" s="273"/>
      <c r="D166" s="214">
        <v>3</v>
      </c>
      <c r="E166" s="214">
        <v>1</v>
      </c>
      <c r="F166" s="214">
        <v>1</v>
      </c>
      <c r="G166" s="214">
        <v>0</v>
      </c>
      <c r="H166" s="214">
        <v>0</v>
      </c>
      <c r="I166" s="214">
        <f t="shared" si="12"/>
        <v>1</v>
      </c>
      <c r="J166" s="214">
        <v>0</v>
      </c>
      <c r="K166" s="214">
        <f t="shared" si="13"/>
        <v>0</v>
      </c>
      <c r="L166" s="215">
        <f t="shared" si="14"/>
        <v>1</v>
      </c>
      <c r="M166" s="157">
        <f t="shared" si="15"/>
        <v>0</v>
      </c>
      <c r="N166" s="157">
        <f t="shared" si="16"/>
        <v>0</v>
      </c>
      <c r="O166" s="157">
        <f t="shared" si="17"/>
        <v>0</v>
      </c>
      <c r="P166" s="13" t="s">
        <v>59</v>
      </c>
    </row>
    <row r="167" spans="1:16" s="154" customFormat="1" ht="100.5" customHeight="1" x14ac:dyDescent="0.25">
      <c r="A167" s="81">
        <v>112</v>
      </c>
      <c r="B167" s="273" t="s">
        <v>692</v>
      </c>
      <c r="C167" s="273"/>
      <c r="D167" s="214">
        <v>0</v>
      </c>
      <c r="E167" s="214">
        <v>23</v>
      </c>
      <c r="F167" s="214">
        <v>1</v>
      </c>
      <c r="G167" s="214">
        <v>0</v>
      </c>
      <c r="H167" s="214">
        <v>0</v>
      </c>
      <c r="I167" s="214">
        <f t="shared" si="12"/>
        <v>1</v>
      </c>
      <c r="J167" s="214">
        <v>0</v>
      </c>
      <c r="K167" s="214">
        <f t="shared" si="13"/>
        <v>22</v>
      </c>
      <c r="L167" s="215">
        <f t="shared" si="14"/>
        <v>4.3478260869565216E-2</v>
      </c>
      <c r="M167" s="157">
        <f t="shared" si="15"/>
        <v>0</v>
      </c>
      <c r="N167" s="157">
        <f t="shared" si="16"/>
        <v>0.95652173913043481</v>
      </c>
      <c r="O167" s="157">
        <f t="shared" si="17"/>
        <v>0.95652173913043481</v>
      </c>
      <c r="P167" s="13" t="s">
        <v>142</v>
      </c>
    </row>
    <row r="168" spans="1:16" ht="33.75" customHeight="1" x14ac:dyDescent="0.25">
      <c r="A168" s="229">
        <v>113</v>
      </c>
      <c r="B168" s="273" t="s">
        <v>693</v>
      </c>
      <c r="C168" s="273"/>
      <c r="D168" s="214">
        <v>0</v>
      </c>
      <c r="E168" s="214">
        <v>0</v>
      </c>
      <c r="F168" s="214">
        <v>0</v>
      </c>
      <c r="G168" s="214">
        <v>0</v>
      </c>
      <c r="H168" s="214">
        <v>0</v>
      </c>
      <c r="I168" s="214">
        <f t="shared" si="12"/>
        <v>0</v>
      </c>
      <c r="J168" s="214">
        <v>0</v>
      </c>
      <c r="K168" s="214">
        <f t="shared" si="13"/>
        <v>0</v>
      </c>
      <c r="L168" s="215" t="e">
        <f t="shared" si="14"/>
        <v>#DIV/0!</v>
      </c>
      <c r="M168" s="157" t="e">
        <f t="shared" si="15"/>
        <v>#DIV/0!</v>
      </c>
      <c r="N168" s="157" t="e">
        <f t="shared" si="16"/>
        <v>#DIV/0!</v>
      </c>
      <c r="O168" s="157" t="e">
        <f t="shared" si="17"/>
        <v>#DIV/0!</v>
      </c>
      <c r="P168" s="13" t="s">
        <v>54</v>
      </c>
    </row>
    <row r="169" spans="1:16" ht="33.75" customHeight="1" x14ac:dyDescent="0.25">
      <c r="A169" s="229">
        <v>114</v>
      </c>
      <c r="B169" s="273" t="s">
        <v>694</v>
      </c>
      <c r="C169" s="273"/>
      <c r="D169" s="214">
        <v>0</v>
      </c>
      <c r="E169" s="214">
        <v>0</v>
      </c>
      <c r="F169" s="214">
        <v>0</v>
      </c>
      <c r="G169" s="214">
        <v>0</v>
      </c>
      <c r="H169" s="214">
        <v>0</v>
      </c>
      <c r="I169" s="214">
        <f t="shared" si="12"/>
        <v>0</v>
      </c>
      <c r="J169" s="214">
        <v>0</v>
      </c>
      <c r="K169" s="214">
        <f t="shared" si="13"/>
        <v>0</v>
      </c>
      <c r="L169" s="215" t="e">
        <f t="shared" si="14"/>
        <v>#DIV/0!</v>
      </c>
      <c r="M169" s="157" t="e">
        <f t="shared" si="15"/>
        <v>#DIV/0!</v>
      </c>
      <c r="N169" s="157" t="e">
        <f t="shared" si="16"/>
        <v>#DIV/0!</v>
      </c>
      <c r="O169" s="157" t="e">
        <f t="shared" si="17"/>
        <v>#DIV/0!</v>
      </c>
      <c r="P169" s="13" t="s">
        <v>54</v>
      </c>
    </row>
    <row r="170" spans="1:16" x14ac:dyDescent="0.25">
      <c r="C170" s="220"/>
    </row>
  </sheetData>
  <autoFilter ref="A2:R169" xr:uid="{4A4F915A-C83C-4422-AB2D-891786D76F45}"/>
  <mergeCells count="100">
    <mergeCell ref="B169:C169"/>
    <mergeCell ref="A1:P1"/>
    <mergeCell ref="B84:C84"/>
    <mergeCell ref="B122:C122"/>
    <mergeCell ref="B159:C159"/>
    <mergeCell ref="B167:C167"/>
    <mergeCell ref="B168:C168"/>
    <mergeCell ref="B68:C68"/>
    <mergeCell ref="B69:C69"/>
    <mergeCell ref="B70:C70"/>
    <mergeCell ref="B71:C71"/>
    <mergeCell ref="B72:C72"/>
    <mergeCell ref="B73:C73"/>
    <mergeCell ref="B74:C74"/>
    <mergeCell ref="B81:C81"/>
    <mergeCell ref="B82:C82"/>
    <mergeCell ref="B83:C83"/>
    <mergeCell ref="B85:C85"/>
    <mergeCell ref="B75:C75"/>
    <mergeCell ref="B76:C76"/>
    <mergeCell ref="B77:C77"/>
    <mergeCell ref="B78:C78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103:C103"/>
    <mergeCell ref="B104:C104"/>
    <mergeCell ref="B105:C105"/>
    <mergeCell ref="B108:C108"/>
    <mergeCell ref="B98:C98"/>
    <mergeCell ref="B99:C99"/>
    <mergeCell ref="B100:C100"/>
    <mergeCell ref="B101:C101"/>
    <mergeCell ref="B102:C102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66:C166"/>
    <mergeCell ref="B79:C79"/>
    <mergeCell ref="B86:C86"/>
    <mergeCell ref="B106:C106"/>
    <mergeCell ref="B161:C161"/>
    <mergeCell ref="B162:C162"/>
    <mergeCell ref="B163:C163"/>
    <mergeCell ref="B164:C164"/>
    <mergeCell ref="B165:C165"/>
    <mergeCell ref="B155:C155"/>
    <mergeCell ref="B156:C156"/>
    <mergeCell ref="B157:C157"/>
    <mergeCell ref="B158:C158"/>
    <mergeCell ref="B160:C160"/>
    <mergeCell ref="B150:C150"/>
    <mergeCell ref="B151:C151"/>
  </mergeCells>
  <dataValidations count="1">
    <dataValidation type="whole" allowBlank="1" showInputMessage="1" showErrorMessage="1" sqref="D6:K169" xr:uid="{46C0497C-BACC-49AE-AC49-2D72FC224336}">
      <formula1>0</formula1>
      <formula2>50000</formula2>
    </dataValidation>
  </dataValidations>
  <pageMargins left="0.23" right="0.37" top="0.36" bottom="0.37" header="0.3" footer="0.3"/>
  <pageSetup paperSize="9" scale="60" orientation="landscape" r:id="rId1"/>
  <rowBreaks count="1" manualBreakCount="1">
    <brk id="43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A Vehicle</vt:lpstr>
      <vt:lpstr>B Vehicle</vt:lpstr>
      <vt:lpstr>C Vehicle</vt:lpstr>
      <vt:lpstr>ARMT</vt:lpstr>
      <vt:lpstr>SA</vt:lpstr>
      <vt:lpstr>INSTS</vt:lpstr>
      <vt:lpstr>'A Vehicle'!Print_Area</vt:lpstr>
      <vt:lpstr>ARMT!Print_Area</vt:lpstr>
      <vt:lpstr>'B Vehicle'!Print_Area</vt:lpstr>
      <vt:lpstr>'C Vehicle'!Print_Area</vt:lpstr>
      <vt:lpstr>INSTS!Print_Area</vt:lpstr>
      <vt:lpstr>SA!Print_Area</vt:lpstr>
      <vt:lpstr>'A Vehicle'!Print_Titles</vt:lpstr>
      <vt:lpstr>INSTS!Print_Titles</vt:lpstr>
      <vt:lpstr>SA!Print_Titles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clk4emebr_33c</dc:creator>
  <cp:lastModifiedBy>Suman Biswas</cp:lastModifiedBy>
  <cp:lastPrinted>2025-10-01T07:20:58Z</cp:lastPrinted>
  <dcterms:created xsi:type="dcterms:W3CDTF">2015-06-05T18:17:20Z</dcterms:created>
  <dcterms:modified xsi:type="dcterms:W3CDTF">2026-03-25T03:04:24Z</dcterms:modified>
</cp:coreProperties>
</file>